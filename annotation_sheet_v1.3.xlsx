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Annotation" sheetId="2" state="visible" r:id="rId4"/>
    <sheet name="Codebook (shor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<sst xmlns="http://schemas.openxmlformats.org/spreadsheetml/2006/main" count="4388" uniqueCount="1909">
  <si>
    <t xml:space="preserve">Test annotation — 5 items, 80 papers (guide v1.3)</t>
  </si>
  <si>
    <t xml:space="preserve">Guide</t>
  </si>
  <si>
    <t xml:space="preserve">docs/codebook_v1.3.md — read it once before you start; the sheet "Codebook (short)" is the one-page version.</t>
  </si>
  <si>
    <t xml:space="preserve">WHAT YOU FILL (sheet "Annotation", from row 48 down)</t>
  </si>
  <si>
    <t xml:space="preserve">Columns</t>
  </si>
  <si>
    <t xml:space="preserve">eligible, exclusion_reason, A1, A4, B2, C1, C2 (drop-downs) and their evidence cells, notes, minutes, annotated_on, codebook_version = 1.3. The other items are hidden: they are not part of the test set.</t>
  </si>
  <si>
    <t xml:space="preserve">Do not type in</t>
  </si>
  <si>
    <t xml:space="preserve">set and status (they fill themselves).</t>
  </si>
  <si>
    <t xml:space="preserve">FOR EACH PAPER</t>
  </si>
  <si>
    <t xml:space="preserve">Step 1</t>
  </si>
  <si>
    <t xml:space="preserve">Open ONLY this paper (Europe PMC link). Close other paper tabs.</t>
  </si>
  <si>
    <t xml:space="preserve">Step 2</t>
  </si>
  <si>
    <t xml:space="preserve">Eligible? Y = trains a model that classifies medical images and reports held-out results. Otherwise N + reason.</t>
  </si>
  <si>
    <t xml:space="preserve">Step 3</t>
  </si>
  <si>
    <t xml:space="preserve">Read: Abstract, Methods (data, split, training, evaluation), main Results table, Data/Code availability statements.</t>
  </si>
  <si>
    <t xml:space="preserve">Step 4</t>
  </si>
  <si>
    <t xml:space="preserve">Answer A1, A4, B2, C1, C2 with the ordered steps in the guide. Ctrl+F the search words before choosing UNCLEAR or NO.</t>
  </si>
  <si>
    <t xml:space="preserve">Step 5</t>
  </si>
  <si>
    <t xml:space="preserve">Copy-paste the evidence (never retype). SAFE/RISK/YES/REQUEST/PUBLIC/RESTRICTED always need a quote.</t>
  </si>
  <si>
    <t xml:space="preserve">Step 6</t>
  </si>
  <si>
    <t xml:space="preserve">Fill minutes (real time), date, codebook_version 1.3. Close the tab.</t>
  </si>
  <si>
    <t xml:space="preserve">BEFORE SENDING 20 PAPERS</t>
  </si>
  <si>
    <t xml:space="preserve">Run the checker</t>
  </si>
  <si>
    <t xml:space="preserve">python -m mrscreen.check_annotations annotation_sheet_v1.3.xlsx --from 48   → fix every line until it prints OK.</t>
  </si>
  <si>
    <t xml:space="preserve">PROGRESS</t>
  </si>
  <si>
    <t xml:space="preserve">Papers screened</t>
  </si>
  <si>
    <t xml:space="preserve">Test papers done (target 80)</t>
  </si>
  <si>
    <t xml:space="preserve">Mean minutes per test paper</t>
  </si>
  <si>
    <t xml:space="preserve">order_no</t>
  </si>
  <si>
    <t xml:space="preserve">set</t>
  </si>
  <si>
    <t xml:space="preserve">status</t>
  </si>
  <si>
    <t xml:space="preserve">pmcid</t>
  </si>
  <si>
    <t xml:space="preserve">open</t>
  </si>
  <si>
    <t xml:space="preserve">title</t>
  </si>
  <si>
    <t xml:space="preserve">journal</t>
  </si>
  <si>
    <t xml:space="preserve">auto_hint</t>
  </si>
  <si>
    <t xml:space="preserve">eligible</t>
  </si>
  <si>
    <t xml:space="preserve">exclusion_reason</t>
  </si>
  <si>
    <t xml:space="preserve">A1_split_unit</t>
  </si>
  <si>
    <t xml:space="preserve">A1_evidence</t>
  </si>
  <si>
    <t xml:space="preserve">A2_preproc_before_split</t>
  </si>
  <si>
    <t xml:space="preserve">A2_evidence</t>
  </si>
  <si>
    <t xml:space="preserve">A3_aug_before_split</t>
  </si>
  <si>
    <t xml:space="preserve">A3_evidence</t>
  </si>
  <si>
    <t xml:space="preserve">A4_test_for_selection</t>
  </si>
  <si>
    <t xml:space="preserve">A4_evidence</t>
  </si>
  <si>
    <t xml:space="preserve">A5_duplicate_check</t>
  </si>
  <si>
    <t xml:space="preserve">A5_evidence</t>
  </si>
  <si>
    <t xml:space="preserve">B1_external_validation</t>
  </si>
  <si>
    <t xml:space="preserve">B1_evidence</t>
  </si>
  <si>
    <t xml:space="preserve">B2_variability_reported</t>
  </si>
  <si>
    <t xml:space="preserve">B2_evidence</t>
  </si>
  <si>
    <t xml:space="preserve">B3_stat_test_for_claim</t>
  </si>
  <si>
    <t xml:space="preserve">B3_evidence</t>
  </si>
  <si>
    <t xml:space="preserve">B4_baseline_protocol</t>
  </si>
  <si>
    <t xml:space="preserve">B4_evidence</t>
  </si>
  <si>
    <t xml:space="preserve">C1_code_available</t>
  </si>
  <si>
    <t xml:space="preserve">C1_evidence</t>
  </si>
  <si>
    <t xml:space="preserve">C2_data_available</t>
  </si>
  <si>
    <t xml:space="preserve">C2_evidence</t>
  </si>
  <si>
    <t xml:space="preserve">notes</t>
  </si>
  <si>
    <t xml:space="preserve">external_note</t>
  </si>
  <si>
    <t xml:space="preserve">minutes</t>
  </si>
  <si>
    <t xml:space="preserve">annotated_on</t>
  </si>
  <si>
    <t xml:space="preserve">codebook_version</t>
  </si>
  <si>
    <t xml:space="preserve">EX</t>
  </si>
  <si>
    <t xml:space="preserve">EXAMPLE</t>
  </si>
  <si>
    <t xml:space="preserve">example</t>
  </si>
  <si>
    <t xml:space="preserve">PMC0000000</t>
  </si>
  <si>
    <t xml:space="preserve">-</t>
  </si>
  <si>
    <t xml:space="preserve">EXAMPLE (fictional paper, not in the corpus): ResNet-50 classification of chest radiographs</t>
  </si>
  <si>
    <t xml:space="preserve">Y</t>
  </si>
  <si>
    <t xml:space="preserve">RISK</t>
  </si>
  <si>
    <t xml:space="preserve">1,200 radiographs from 400 patients || images were randomly split into 80% training and 20% testing</t>
  </si>
  <si>
    <t xml:space="preserve">SAFE</t>
  </si>
  <si>
    <t xml:space="preserve">images were resized to 224 x 224 and scaled to [0, 1]</t>
  </si>
  <si>
    <t xml:space="preserve">after augmentation, the dataset of 6,000 images was split</t>
  </si>
  <si>
    <t xml:space="preserve">UNCLEAR</t>
  </si>
  <si>
    <t xml:space="preserve">ABSENT</t>
  </si>
  <si>
    <t xml:space="preserve">NO</t>
  </si>
  <si>
    <t xml:space="preserve">our model outperformed all compared methods</t>
  </si>
  <si>
    <t xml:space="preserve">Table 5 compares our accuracy with the values reported in previous studies</t>
  </si>
  <si>
    <t xml:space="preserve">YES</t>
  </si>
  <si>
    <t xml:space="preserve">code is available at https://github.com/example/repo</t>
  </si>
  <si>
    <t xml:space="preserve">PUBLIC</t>
  </si>
  <si>
    <t xml:space="preserve">the dataset is publicly available on Kaggle</t>
  </si>
  <si>
    <t xml:space="preserve">headline result = 3-class experiment</t>
  </si>
  <si>
    <t xml:space="preserve">2026-09-24</t>
  </si>
  <si>
    <t xml:space="preserve">1.3</t>
  </si>
  <si>
    <t xml:space="preserve">PMC11975892</t>
  </si>
  <si>
    <t xml:space="preserve">Europe PMC</t>
  </si>
  <si>
    <t xml:space="preserve">Early diagnosis of sepsis-associated AKI: based on destruction-replenishment contrast-enhanced ultrasonography</t>
  </si>
  <si>
    <t xml:space="preserve">Frontiers in medicine</t>
  </si>
  <si>
    <t xml:space="preserve">The data from 135 patients with sepsis were randomly divided into a training set (n = 95) and a testing set (n = 45) in an 7:3 ratio.</t>
  </si>
  <si>
    <t xml:space="preserve">N/A</t>
  </si>
  <si>
    <t xml:space="preserve">The data preprocessing steps encompass data augmentation and image normalization.</t>
  </si>
  <si>
    <t xml:space="preserve">3D image augmentation techniques, such as random flipping and random cropping, are applied to the training data.</t>
  </si>
  <si>
    <t xml:space="preserve">After evaluating the deep learning modeling experiments, features were extracted from the fully connected layers of the best-performing deep learning model.</t>
  </si>
  <si>
    <t xml:space="preserve">In the testing set, the AUC of DLUR-LR was 0.973 (95% CI: 0.949–0.998).</t>
  </si>
  <si>
    <t xml:space="preserve">The DeLong test was used to compare the significance of the AUCs among the different models.</t>
  </si>
  <si>
    <t xml:space="preserve">Compared with other deep learning models on the testing dataset, ResNet 18 exhibited superior overall performance.</t>
  </si>
  <si>
    <t xml:space="preserve">RESTRICTED</t>
  </si>
  <si>
    <t xml:space="preserve">The datasets presented in this article are not readily available because the dataset is subject to several restrictions.</t>
  </si>
  <si>
    <t xml:space="preserve">Headline = sepsis-associated AKI classification; model comparison was performed on the testing set.</t>
  </si>
  <si>
    <t xml:space="preserve">2026-09-23</t>
  </si>
  <si>
    <t xml:space="preserve">1.1</t>
  </si>
  <si>
    <t xml:space="preserve">PMC12412478</t>
  </si>
  <si>
    <t xml:space="preserve">A Dynamic Contrast‐Enhanced MRI‐Based Vision Transformer Model for Distinguishing HER2‐Zero, ‐Low, and ‐Positive Expression in Breast Cancer and Exploring Model Interpretability</t>
  </si>
  <si>
    <t xml:space="preserve">Advanced science (Weinheim, Baden-Wurttemberg, Germany)</t>
  </si>
  <si>
    <t xml:space="preserve">patients from the FUSCC cohort were randomly allocated into training and validation sets at a ratio of 8:2</t>
  </si>
  <si>
    <t xml:space="preserve">Tumor regions of interest (ROIs) were delineated semiautomatically on the early enhanced phase of DCE-MRI by 3D Slicer software (version 4.10; www.slicer.org), with the largest cross-sectional slice selected as the model input.</t>
  </si>
  <si>
    <t xml:space="preserve">patients from the GFPH cohort and FHCMU cohort were used as external test sets.</t>
  </si>
  <si>
    <t xml:space="preserve">Bootstrapped 95% confidence intervals (CI) were calculated using 1000 resamples.</t>
  </si>
  <si>
    <t xml:space="preserve">All codes used for models and data analysis are available on GitHub.</t>
  </si>
  <si>
    <t xml:space="preserve">All data in this study are available from the corresponding author by reasonable request.</t>
  </si>
  <si>
    <t xml:space="preserve">Headline = 3-class HER2 classification; FUSCC used for development and two independent external cohorts for testing.</t>
  </si>
  <si>
    <t xml:space="preserve">PMC12330392</t>
  </si>
  <si>
    <t xml:space="preserve">Risk assessment of thyroid nodules with a multi-instance convolutional neural network</t>
  </si>
  <si>
    <t xml:space="preserve">Frontiers in oncology</t>
  </si>
  <si>
    <t xml:space="preserve">12,283 images from 1,500 patients were used for the training set.</t>
  </si>
  <si>
    <t xml:space="preserve">The model outperformed the other two classification models (accuracy 0.8386±0.0334, 0.7999±0.0188, 0.7839±0.0267</t>
  </si>
  <si>
    <t xml:space="preserve">The raw data supporting the conclusions of this article will be made available by the authors, without undue reservation.</t>
  </si>
  <si>
    <t xml:space="preserve">Headline = thyroid-nodule risk classification using multi-instance CNN.</t>
  </si>
  <si>
    <t xml:space="preserve">PMC12387691</t>
  </si>
  <si>
    <t xml:space="preserve">Evaluating the Impact of 2D MRI Slice Orientation and Location on Alzheimer’s Disease Diagnosis Using a Lightweight Convolutional Neural Network</t>
  </si>
  <si>
    <t xml:space="preserve">Journal of imaging</t>
  </si>
  <si>
    <t xml:space="preserve">In all three comparisons, the proposed model achieved higher classification accuracy than the standard CNN and both versions of MobileNet.</t>
  </si>
  <si>
    <t xml:space="preserve">Data are available at: https://adni.loni.usc.edu/</t>
  </si>
  <si>
    <t xml:space="preserve">Headline = Alzheimer’s disease classification from 2D MRI slices; ADNI source named by the article.</t>
  </si>
  <si>
    <t xml:space="preserve">PMC12034867</t>
  </si>
  <si>
    <t xml:space="preserve">Pilot Study of Using Machine Learning to Detect Atherosclerotic Renal Artery Stenosis From Spectral Doppler Waveforms</t>
  </si>
  <si>
    <t xml:space="preserve">Kidney international reports</t>
  </si>
  <si>
    <t xml:space="preserve">N</t>
  </si>
  <si>
    <t xml:space="preserve">Non-image input: the model classifies 1-D spectral Doppler velocity signals/waveforms, not medical images.</t>
  </si>
  <si>
    <t xml:space="preserve">PMC12649958</t>
  </si>
  <si>
    <t xml:space="preserve">A Study on the Interpretability of Diabetic Retinopathy Diagnostic Models</t>
  </si>
  <si>
    <t xml:space="preserve">Bioengineering (Basel, Switzerland)</t>
  </si>
  <si>
    <t xml:space="preserve">the dataset was randomly split into 80% for training and 20% for testing</t>
  </si>
  <si>
    <t xml:space="preserve">Test images and their corresponding mask images are read as.jpg files and uniformly resized to 224 × 224 resolution to meet model input requirements.</t>
  </si>
  <si>
    <t xml:space="preserve">model performance was evaluated on the validation set every two epochs.</t>
  </si>
  <si>
    <t xml:space="preserve">all models adopted a unified set of hyperparameters in cross-comparative analysis.</t>
  </si>
  <si>
    <t xml:space="preserve">The raw data supporting the conclusions of this article will be made available by the authors on request.</t>
  </si>
  <si>
    <t xml:space="preserve">Headline = diabetic-retinopathy diagnostic model interpretability/classification; the reported test set was monitored during training.</t>
  </si>
  <si>
    <t xml:space="preserve">PMC12747359</t>
  </si>
  <si>
    <t xml:space="preserve">Development of an automated ultrasonographic detection method for fecal retention using a transgluteal cleft approach</t>
  </si>
  <si>
    <t xml:space="preserve">PloS one</t>
  </si>
  <si>
    <t xml:space="preserve">Segmentation-only study: the primary U-Net model produces fecal-retention segmentation masks; no trained medical-image classification output is reported.</t>
  </si>
  <si>
    <t xml:space="preserve">PMC11729117</t>
  </si>
  <si>
    <t xml:space="preserve">Predicting intraoperative 5-ALA-induced tumor fluorescence via MRI and deep learning in gliomas with radiographic lower-grade characteristics</t>
  </si>
  <si>
    <t xml:space="preserve">Journal of neuro-oncology</t>
  </si>
  <si>
    <t xml:space="preserve">Considering the feature vector's high dimensionality relative to the number of samples, principal component analysis (PCA) and partial least squares discriminant analysis (PLS-DA) techniques were employed to reduce the feature space's dimensionality and avoid overfitting.</t>
  </si>
  <si>
    <t xml:space="preserve">For every iteration of the cross-validation process, the optimal number of components for PCA and PLS-DA was determined to maximize the overall accuracy.</t>
  </si>
  <si>
    <t xml:space="preserve">Our proposed approach's performance was assessed using mean balanced accuracy, mean sensitivity, and mean specificity.</t>
  </si>
  <si>
    <t xml:space="preserve">Headline = prediction of intraoperative 5-ALA-induced glioma fluorescence; classification follows MRI-derived deep features.</t>
  </si>
  <si>
    <t xml:space="preserve">1.2</t>
  </si>
  <si>
    <t xml:space="preserve">PMC11873101</t>
  </si>
  <si>
    <t xml:space="preserve">Contrastive self-supervised learning for neurodegenerative disorder classification</t>
  </si>
  <si>
    <t xml:space="preserve">Frontiers in neuroinformatics</t>
  </si>
  <si>
    <t xml:space="preserve">If more than one MRI recording per participant, all participant's MRI scans only to one set, avoiding leakage.</t>
  </si>
  <si>
    <t xml:space="preserve">For each trial, we created random training and test sets. || We applied three different data augmentation techniques with a probability of 0.5 to produce views visualized in Figures 2B–D: horizontal flip, cropping and resizing, and occlusion.</t>
  </si>
  <si>
    <t xml:space="preserve">For each trial, we created random training and test sets. These sets were held constant for all experiments.</t>
  </si>
  <si>
    <t xml:space="preserve">Notably, the data from ADNI3, ADNI2 and FTLDNI was used for training all models, and AIBL was used as independent test dataset.</t>
  </si>
  <si>
    <t xml:space="preserve">Our method | SSL, 2D slice-level CNN | 0.797 ± 0.009</t>
  </si>
  <si>
    <t xml:space="preserve">Our source code for data processing, model training and evaluation, and creating attribution maps will be made publicly available at: (https://github.com/VadymV/clinic-net).</t>
  </si>
  <si>
    <t xml:space="preserve">Publicly available datasets were analyzed in this study. This data can be found here: Alzheimer's Disease Neuroimaging Initiative (ADNI), Australian Imaging Biomarkers and Lifestyle flagship study of aging (AIBL), and Frontotemporal Lobar Degeneration Neuroimaging Initiative (FTLDNI).</t>
  </si>
  <si>
    <t xml:space="preserve">B2: prior evidence was reworded; no verified verbatim sentence retained, so label set to NO per the fix instruction.</t>
  </si>
  <si>
    <t xml:space="preserve">PMC12468973</t>
  </si>
  <si>
    <t xml:space="preserve">GlioSurvQNet: A DuelContextAttn DQN Framework for Brain Tumor Prognosis with Metaheuristic Optimization</t>
  </si>
  <si>
    <t xml:space="preserve">Diagnostics (Basel, Switzerland)</t>
  </si>
  <si>
    <t xml:space="preserve">the data split was performed with unique patient identifiers to ensure no augmented versions of same patient appeared in both training/testing.</t>
  </si>
  <si>
    <t xml:space="preserve">Both the majority voting and subsequent feature filtering steps were performed separately within each training fold.</t>
  </si>
  <si>
    <t xml:space="preserve">Importantly, the data split was performed with unique patient identifiers to ensure that no augmented versions of the same patient appeared in both the training and testing sets, thereby preventing any risk of data leakage.</t>
  </si>
  <si>
    <t xml:space="preserve">Hyperparameter tuning was conducted to optimize model performance, focusing on γ (Gamma), ε (Epsilon), ε_min (Epsilon_min), and ε_decay (Epsilon_decay).</t>
  </si>
  <si>
    <t xml:space="preserve">Among the single modalities, T1 achieved the highest accuracy (99.02 ± 0.08%)</t>
  </si>
  <si>
    <t xml:space="preserve">Table 7 presents a comparative analysis of existing state-of-the-art models used for glioma classification on the BraTS dataset, showcasing their reported accuracy.</t>
  </si>
  <si>
    <t xml:space="preserve">The BraTS2020 dataset used for this study is publicly available at https://www.med.upenn.edu/cbica/brats2020/data.html accessed on 28 August 2025.</t>
  </si>
  <si>
    <t xml:space="preserve">Headline = brain-tumor grade/prognosis classification; synthetic augmentation preceded the patient-ID split.</t>
  </si>
  <si>
    <t xml:space="preserve">PMC12729362</t>
  </si>
  <si>
    <t xml:space="preserve">Beyond VI-RADS Uncertainty: Leveraging Spatiotemporal DCE-MRI to Predict Bladder Cancer Muscle Invasion</t>
  </si>
  <si>
    <t xml:space="preserve">After applying these criteria, eligible patients were randomly assigned to the training, validation, and testing cohorts roughly at a 6:1:3 ratio, as shown in Figure S1.</t>
  </si>
  <si>
    <t xml:space="preserve">The TM3DConvNet model was developed using the training cohort, with NMIBC cases labeled as negative. The model was then validated in the testing cohort and compared to common DL models like VGG-16, ResNet-101, DenseNet-121, and ViT for NMIBC diagnosis.</t>
  </si>
  <si>
    <t xml:space="preserve">achieving a sensitivity of 0.90 (95% CI: 0.81–0.96) for NMIBC and an area under the curve (AUC) of 0.82 (95% CI: 0.75–0.89) for overall classification.</t>
  </si>
  <si>
    <t xml:space="preserve">The original contributions presented in the study are included in the article/Supplementary Material, further inquiries can be directed to the corresponding author.</t>
  </si>
  <si>
    <t xml:space="preserve">Headline = prediction of bladder-cancer muscle invasion from DCE-MRI; 184-patient development/test cohort.</t>
  </si>
  <si>
    <t xml:space="preserve">PMC12673201</t>
  </si>
  <si>
    <t xml:space="preserve">Development of a deep learning algorithm for detecting significant coronary artery stenosis in whole-heart coronary magnetic resonance angiography</t>
  </si>
  <si>
    <t xml:space="preserve">Journal of cardiovascular magnetic resonance : official journal of the Society for Cardiovascular Magnetic Resonance</t>
  </si>
  <si>
    <t xml:space="preserve">A four-fold cross-validation method was used to train and test the DL algorithm.</t>
  </si>
  <si>
    <t xml:space="preserve">The average AUC of trainees was significantly improved using the DL algorithm (0.898) compared to that without the algorithm (0.821, p &lt; 0.001).</t>
  </si>
  <si>
    <t xml:space="preserve">Three radiology experts and three radiology trainees independently rated the likelihood of the presence of stenosis in each coronary segment with a continuous scale from 0 to 1, first without the support of the DL algorithm || then using the DL algorithm.</t>
  </si>
  <si>
    <t xml:space="preserve">Headline = significant coronary stenosis classification on coronary segments; observer study is a same-test-set comparison.</t>
  </si>
  <si>
    <t xml:space="preserve">PMC12022092</t>
  </si>
  <si>
    <t xml:space="preserve">Vision transformer and deep learning based weighted ensemble model for automated spine fracture type identification with GAN generated CT images</t>
  </si>
  <si>
    <t xml:space="preserve">Scientific reports</t>
  </si>
  <si>
    <t xml:space="preserve">After annotation, the data is divided in the ratio 80:20 as training and testing data.</t>
  </si>
  <si>
    <t xml:space="preserve">The datasets analyzed during the current study are not publicly available due to privacy concerns and ethical restrictions on patient data. However, they are available from the corresponding author on reasonable request.</t>
  </si>
  <si>
    <t xml:space="preserve">Headline = spine-fracture type classification using an ensemble model and GAN-generated CT images.</t>
  </si>
  <si>
    <t xml:space="preserve">PMC12303355</t>
  </si>
  <si>
    <t xml:space="preserve">Hyperparameter tuned deep learning-driven medical image analysis for intracranial hemorrhage detection</t>
  </si>
  <si>
    <t xml:space="preserve">In the presented HPDL-MIAIHD technique, the median filtering (MF) approach is utilized for the image preprocessing step.</t>
  </si>
  <si>
    <t xml:space="preserve">To increase the efficiency of the EfficientNet method, the hyperparameter tuning process is performed by utilizing the chimp optimizer algorithm (COA) method.</t>
  </si>
  <si>
    <t xml:space="preserve">This dataset is publicly accessible, and no special access privileges were provided to the authors.</t>
  </si>
  <si>
    <t xml:space="preserve">Headline = intracranial-hemorrhage classification from CT images.</t>
  </si>
  <si>
    <t xml:space="preserve">PMC12454033</t>
  </si>
  <si>
    <t xml:space="preserve">Deep learning-based prediction of cerebral white matter hyperintensity burden using carotid magnetic resonance angiography</t>
  </si>
  <si>
    <t xml:space="preserve">Frontiers in neurology</t>
  </si>
  <si>
    <t xml:space="preserve">all splits performed at the subject level to prevent data leakage.</t>
  </si>
  <si>
    <t xml:space="preserve">The voxel intensities were then normalized on a per-subject basis via z-score normalization, to reduces inter-subject intensity variability and improve training stability.</t>
  </si>
  <si>
    <t xml:space="preserve">The dataset was divided into training, validation, and test sets in an 8:1:1 ratio.</t>
  </si>
  <si>
    <t xml:space="preserve">Model performance is reported as the mean value with 95% confidence intervals across five runs.</t>
  </si>
  <si>
    <t xml:space="preserve">We implemented and compared several deep learning models, including 3D CNNs and a transformer-based model.</t>
  </si>
  <si>
    <t xml:space="preserve">The original contributions presented in the study are included in the article/supplementary material; further inquiries can be directed to the corresponding author.</t>
  </si>
  <si>
    <t xml:space="preserve">Headline = binary and three-class WMH severity classification from carotid TOF-MRA.</t>
  </si>
  <si>
    <t xml:space="preserve">PMC12540149</t>
  </si>
  <si>
    <t xml:space="preserve">Enhancing clinical diagnosis of laryngeal cancer through fusion-based transfer learning with Osprey Optimisation Algorithm using histology images</t>
  </si>
  <si>
    <t xml:space="preserve">Initially, the CDLCHI-FTLOOA model utilizes median filtering (MF)-based noise elimination during the image pre-processing process.</t>
  </si>
  <si>
    <t xml:space="preserve">The Osprey Optimisation Algorithm is used for hyperparameter tuning to choose the optimal parameters.</t>
  </si>
  <si>
    <t xml:space="preserve">Headline = laryngeal-cancer classification from histology images; fusion feature extraction plus autoencoder classifier.</t>
  </si>
  <si>
    <t xml:space="preserve">PMC12418695</t>
  </si>
  <si>
    <t xml:space="preserve">Use of artificial intelligence for classification of fractures around the elbow in adults according to the 2018 AO/OTA classification system</t>
  </si>
  <si>
    <t xml:space="preserve">BMC musculoskeletal disorders</t>
  </si>
  <si>
    <t xml:space="preserve">a patient appearing on multiple occasions could be included several times in the same set, but without overlap between the three sets.</t>
  </si>
  <si>
    <t xml:space="preserve">All available radiographs in each series were presented to the network and each radiograph was automatically cropped to the area of the active image, i.e. black borders were removed, and the image was reduced to a maximum of 256 pixels.</t>
  </si>
  <si>
    <t xml:space="preserve">data augmentation was implemented during training, including white noise and random deletion of five blocks.</t>
  </si>
  <si>
    <t xml:space="preserve">a validation set for fine-tuning network parameters, choosing labeling strategies, and evaluating performance.</t>
  </si>
  <si>
    <t xml:space="preserve">Only the initial exam within 90 days of each patient was included to avoid duplication of cases at different stages preventing an overestimation of the network.</t>
  </si>
  <si>
    <t xml:space="preserve">Overall fracture detection achieved an AUC of 0.88 (95% CI 0.83–0.93).</t>
  </si>
  <si>
    <t xml:space="preserve">Data is available from the corresponding author on reasonable request.</t>
  </si>
  <si>
    <t xml:space="preserve">Headline = AO/OTA elbow-fracture classification; patient repetition was constrained within sets.</t>
  </si>
  <si>
    <t xml:space="preserve">PMC11811177</t>
  </si>
  <si>
    <t xml:space="preserve">BO-CLAHE enhancing neonatal chest X-ray image quality for improved lesion classification</t>
  </si>
  <si>
    <t xml:space="preserve">The data supporting the findings of this study are not publicly available due to privacy concerns and the protection of personal medical information. || However, data may be available from the corresponding author upon reasonable request, subject to appropriate ethical and legal considerations</t>
  </si>
  <si>
    <t xml:space="preserve">Headline = neonatal chest-X-ray lesion classification; U-Net segmentation is an auxiliary preprocessing component.</t>
  </si>
  <si>
    <t xml:space="preserve">PMC12471060</t>
  </si>
  <si>
    <t xml:space="preserve">Deep Learning Algorithm to Determine the Presence of Rectal Cancer from Transrectal Ultrasound Images</t>
  </si>
  <si>
    <t xml:space="preserve">Life (Basel, Switzerland)</t>
  </si>
  <si>
    <t xml:space="preserve">A single representative image was selected from each examination.</t>
  </si>
  <si>
    <t xml:space="preserve">Normalization was performed using the ImageNet dataset’s channel-wise mean and standard deviation.</t>
  </si>
  <si>
    <t xml:space="preserve">We applied random horizontal flip, random rotation (±10°), and random resized crop techniques during training for data augmentation.</t>
  </si>
  <si>
    <t xml:space="preserve">No separate independent test set was conducted, and final model performance was assessed using the validation dataset.</t>
  </si>
  <si>
    <t xml:space="preserve">No separate independent test set was conducted.</t>
  </si>
  <si>
    <t xml:space="preserve">Additionally, the validation accuracy was high at 90.5%, with an AUC of 0.945 (95% CI: 0.907–0.983) (Figure 2).</t>
  </si>
  <si>
    <t xml:space="preserve">Headline = rectal-cancer vs normal-rectum classification from TRUS images; validation set served as the final evaluation set.</t>
  </si>
  <si>
    <t xml:space="preserve">PMC12573454</t>
  </si>
  <si>
    <t xml:space="preserve">Identification of critical brain regions for autism diagnosis from fMRI data using explainable AI: an observational analysis of the ABIDE dataset</t>
  </si>
  <si>
    <t xml:space="preserve">EClinicalMedicine</t>
  </si>
  <si>
    <t xml:space="preserve">Non-image input: functional-connectivity matrices computed from atlas-region fMRI time series, rather than medical images.</t>
  </si>
  <si>
    <t xml:space="preserve">The ABIDE dataset is a public and freely available dataset.</t>
  </si>
  <si>
    <t xml:space="preserve">Headline = autism diagnosis from ABIDE fMRI using explainable AI; treated as medical-image classification.</t>
  </si>
  <si>
    <t xml:space="preserve">PMC11634984</t>
  </si>
  <si>
    <t xml:space="preserve">Automated Detection of Central Retinal Artery Occlusion Using OCT Imaging via Explainable Deep Learning</t>
  </si>
  <si>
    <t xml:space="preserve">Ophthalmology science</t>
  </si>
  <si>
    <t xml:space="preserve">none were given in 2 different folds, preventing cross-fold data leakage, as some entities allowed the usage of both eyes.</t>
  </si>
  <si>
    <t xml:space="preserve">To further support a more accurate and unbiased estimation of the model performance, we deployed a nested approach, with an inner train and validation loop and an outer test loop.</t>
  </si>
  <si>
    <t xml:space="preserve">The results demonstrated AUC of 0.96 (95% confidence interval [CI], ± 0.01); 0.99 (95% CI, ± 0.00); and 0.90 (95% CI, ± 0.03) for each class, respectively.</t>
  </si>
  <si>
    <t xml:space="preserve">REQUEST</t>
  </si>
  <si>
    <t xml:space="preserve">Supporting code for the conclusion of this article will be made available by the authors on request.</t>
  </si>
  <si>
    <t xml:space="preserve">Headline = 3-class CRAO/differential/control classification from OCT; nested five-fold CV with participant IDs kept within folds.</t>
  </si>
  <si>
    <t xml:space="preserve">PMC12178899</t>
  </si>
  <si>
    <t xml:space="preserve">Application of deep learning based on convolutional neural network model in multimodal ultrasound diagnosis of unexplained cervical lymph node enlargement</t>
  </si>
  <si>
    <t xml:space="preserve">For fine-tuning, we applied five-fold cross-validation.</t>
  </si>
  <si>
    <t xml:space="preserve">All images were resized to a uniform size of 384x384 to ensure consistency in the input data.</t>
  </si>
  <si>
    <t xml:space="preserve">The validation set was then used to evaluate early stopping, with a patience of 5.</t>
  </si>
  <si>
    <t xml:space="preserve">During evaluation, multiple performance metrics were employed, including AUC, accuracy, precision, recall, F1 score, and MCC, to compare the performance of pre-trained and non-pre-trained models.</t>
  </si>
  <si>
    <t xml:space="preserve">The datasets presented in this study can be found in online repositories.</t>
  </si>
  <si>
    <t xml:space="preserve">Headline = multimodal ultrasound cervical-lymph-node classification; self-supervised/pretrained and scratch models were evaluated with five-fold CV.</t>
  </si>
  <si>
    <t xml:space="preserve">PMC12226554</t>
  </si>
  <si>
    <t xml:space="preserve">Carotid plaque segmentation and classification using MRI-based plaque texture analysis and convolutional neural network</t>
  </si>
  <si>
    <t xml:space="preserve">These images represent both vulnerable and stable carotid plaques, and the data was partitioned into 90% for training and 10% for testing.</t>
  </si>
  <si>
    <t xml:space="preserve">we calculated four evaluation metrics: the Dice similarity score (DSC) of (0.736 ± 0.10)</t>
  </si>
  <si>
    <t xml:space="preserve">While in the second part, we used a 13-layer traditional convolution neural network and Inception V3 for the training and classification of stable and vulnerable carotid plaque for stroke risk assessment.</t>
  </si>
  <si>
    <t xml:space="preserve">Headline experiment = stable vs vulnerable carotid-plaque classification. The article reports 610 images from 106 patients; split is by image, so the article indicates more images than patients.</t>
  </si>
  <si>
    <t xml:space="preserve">PMC12364712</t>
  </si>
  <si>
    <t xml:space="preserve">Histopathology-based protein multiplex generation using deep learning</t>
  </si>
  <si>
    <t xml:space="preserve">Nature machine intelligence</t>
  </si>
  <si>
    <t xml:space="preserve">Not an eligible medical-image classification study: the paper develops a deep-learning method for histopathology-based protein multiplex image generation rather than a supervised medical-image classification model.</t>
  </si>
  <si>
    <t xml:space="preserve">Excluded under codebook v1.1 eligibility criteria.</t>
  </si>
  <si>
    <t xml:space="preserve">PMC12364636</t>
  </si>
  <si>
    <t xml:space="preserve">A multi-data fusion deep learning model for prognostic prediction in upper tract urothelial carcinoma</t>
  </si>
  <si>
    <t xml:space="preserve">Patients were divided into a training set (n=103) and a testing set (n=30).</t>
  </si>
  <si>
    <t xml:space="preserve">All feature extraction, data normalization, and model architecture design were conducted exclusively within the Training set, with no access to the Testing set at any stage of model development.</t>
  </si>
  <si>
    <t xml:space="preserve">The Testing set was reserved strictly for final model evaluation and was accessed only once, after all model parameters were fixed.</t>
  </si>
  <si>
    <t xml:space="preserve">In the Testing set, the MICC model maintained notably stable performance, with all indicators closely aligning with those of the Training set: accuracy (0.867, 95% CI = 0.859–0.874)</t>
  </si>
  <si>
    <t xml:space="preserve">The p-value is calculated using McNemar’s Chi-squared test with continuity correction.</t>
  </si>
  <si>
    <t xml:space="preserve">All models were fully trained and finalized using only the Training set and the cross-validation procedure.</t>
  </si>
  <si>
    <t xml:space="preserve">Headline experiment = MICC image-clinical prognostic classification. Training/test roles and feature-processing isolation are explicitly described.</t>
  </si>
  <si>
    <t xml:space="preserve">PMC12592200</t>
  </si>
  <si>
    <t xml:space="preserve">Integrating clinical indications and patient demographics for multilabel abnormality classification and automated report generation in 3D chest CT scans</t>
  </si>
  <si>
    <t xml:space="preserve">Frontiers in radiology</t>
  </si>
  <si>
    <t xml:space="preserve">We ensured there was no overlap of patients between the training, validation, and test sets.</t>
  </si>
  <si>
    <t xml:space="preserve">For the multilabel classification task, the model was trained on 40 epochs on a GPU with 48GB of memory.</t>
  </si>
  <si>
    <t xml:space="preserve">+ clinical ind. + demographics | 81.51 ± 0.26</t>
  </si>
  <si>
    <t xml:space="preserve">For the report generation experiments, we adopted the same setup as used for CT2Rep and CT-AGRG.</t>
  </si>
  <si>
    <t xml:space="preserve">The original contributions presented in the study are included in the article/Supplementary Material; further inquiries can be directed to the corresponding author/s.</t>
  </si>
  <si>
    <t xml:space="preserve">Headline experiment = multilabel abnormality classification from 3D chest CT, integrating clinical indications and demographics.</t>
  </si>
  <si>
    <t xml:space="preserve">PMC12221888</t>
  </si>
  <si>
    <t xml:space="preserve">Development of intelligent tools to predict neuroblastoma risk stratification and overall prognosis based on multiphase enhanced CT and clinical features</t>
  </si>
  <si>
    <t xml:space="preserve">In order to prevent data leakage leading to overestimation of model performance, we use the training cohort for the training process of the model and the testing cohort is only used for the performance evaluation of the model.</t>
  </si>
  <si>
    <t xml:space="preserve">For qualified clinical indicators, we dealt with missing values through multiple interpolation using the mice package, specifying the interpolation method as “predictive mean matching” (PMM) with an upper limit of 50 iterations (12).</t>
  </si>
  <si>
    <t xml:space="preserve">In the training cohort, we applied data enhancement strategies to improve the generalizable performance of the model.</t>
  </si>
  <si>
    <t xml:space="preserve">Swin-ART based on arterial phase images was the best risk stratification classifier with an AUC of 0.770 (95% CI: 0.613–0.909) and an accuracy of 0.780 in the testing cohort.</t>
  </si>
  <si>
    <t xml:space="preserve">Four risk stratification classifiers were developed using the Swin Transformer model and evaluated in training and testing cohorts.</t>
  </si>
  <si>
    <t xml:space="preserve">The original contributions presented in the study are included in the article/Supplementary material, further inquiries can be directed to the corresponding author/s.</t>
  </si>
  <si>
    <t xml:space="preserve">Headline experiment = neuroblastoma risk-stratification classification using multiphase CT. Multiple imputation is data-dependent, but the subset on which it is fitted is not stated.</t>
  </si>
  <si>
    <t xml:space="preserve">PMC12153539</t>
  </si>
  <si>
    <t xml:space="preserve">Multiple Instance Learning for the Detection of Lymph Node and Omental Metastases in Carcinoma of the Ovaries, Fallopian Tubes and Peritoneum</t>
  </si>
  <si>
    <t xml:space="preserve">Cancers</t>
  </si>
  <si>
    <t xml:space="preserve">Overall, this comprised training data from 715 WSIs (258 patients) and a hold-out independent test set of 140 WSIs (140 patients).</t>
  </si>
  <si>
    <t xml:space="preserve">Training was centred on the use of stratified five-fold cross-validation (split 60-20-20 training–validation–testing at the case level to avoid data leakage and prevent model memorisation).</t>
  </si>
  <si>
    <t xml:space="preserve">Our training and test data originated from a single centre.</t>
  </si>
  <si>
    <t xml:space="preserve">The model to detect metastatic carcinoma within lymph nodes achieved an AUROC of 0.959 (95% CI, 0.929–0.983) in cross-validation, and an AUROC of 0.998 (95% CI, 0.985–1.0) on the hold-out test set.</t>
  </si>
  <si>
    <t xml:space="preserve">All the code used in this research is available at https://github.com/kea-llen/Ovarian_Features (accessed on 13 February 2025).</t>
  </si>
  <si>
    <t xml:space="preserve">Approval for these data to be shared outside of the research group is awaited. Please contact the authors for information on collaboration.</t>
  </si>
  <si>
    <t xml:space="preserve">Headline experiment = WSI classification of nodal and omental metastases. Independent test set is explicitly held out; same-centre development/testing means B1 is NO.</t>
  </si>
  <si>
    <t xml:space="preserve">PMC11994760</t>
  </si>
  <si>
    <t xml:space="preserve">Hybrid of DSR-GAN and CNN for Alzheimer disease detection based on MRI images</t>
  </si>
  <si>
    <t xml:space="preserve">Additionally, we overcomed the limited number of available MRI images through a technique called data augmentation was employed to enhance the size of dataset during the training phase.</t>
  </si>
  <si>
    <t xml:space="preserve">Comparing the proposed work against the latest state-of-the-art (SOTA) techniques that used for MRI image classification toward AD.</t>
  </si>
  <si>
    <t xml:space="preserve">The DSR-GAN and CNN models are trained using a dataset obtained from the Kaggle platform.</t>
  </si>
  <si>
    <t xml:space="preserve">Headline experiment = Alzheimer image classification using DSR-GAN + CNN. The available article text establishes training and augmentation, but the train/test partition details are not sufficiently explicit in the retrieved evidence.</t>
  </si>
  <si>
    <t xml:space="preserve">PMC11820013</t>
  </si>
  <si>
    <t xml:space="preserve">A Novel Framework for Whole-Slide Pathological Image Classification Based on the Cascaded Attention Mechanism</t>
  </si>
  <si>
    <t xml:space="preserve">Sensors (Basel, Switzerland)</t>
  </si>
  <si>
    <t xml:space="preserve">CAMIL | 0.8897 ± 0.0376 | 0.9125 ± 0.0407</t>
  </si>
  <si>
    <t xml:space="preserve">The data used in this study are publicly available and can be accessed at https://camelyon16.grand-challenge.org for the CAMELYON16 dataset, accessed on 10 October 2023.</t>
  </si>
  <si>
    <t xml:space="preserve">Headline experiment = whole-slide pathological image classification with cascaded attention. Public CAMELYON16 and TCGA Lung Cancer datasets are explicitly named in the article.</t>
  </si>
  <si>
    <t xml:space="preserve">PMC12405159</t>
  </si>
  <si>
    <t xml:space="preserve">Novel deep learning for multi-class classification of Alzheimer’s in disability using MRI datasets</t>
  </si>
  <si>
    <t xml:space="preserve">Frontiers in bioinformatics</t>
  </si>
  <si>
    <t xml:space="preserve">We have done image resizing, rescaling and augmentation as our pre-processing step.</t>
  </si>
  <si>
    <t xml:space="preserve">The average accuracy and corresponding standard deviation across the 7 folds were as follows: 97.25% ± 2.30 for Dataset 1</t>
  </si>
  <si>
    <t xml:space="preserve">Publicly available datasets were analyzed in this study. This data can be found here: https://www.oasis-brains.org/and https://adni.loni.usc.edu/.</t>
  </si>
  <si>
    <t xml:space="preserve">Headline experiment = multi-class Alzheimer disability classification from MRI datasets. The article states resizing, rescaling and augmentation but the timing of augmentation relative to the classification split is not explicit in the retrieved text.</t>
  </si>
  <si>
    <t xml:space="preserve">PMC11928541</t>
  </si>
  <si>
    <t xml:space="preserve">Automated classification of tertiary lymphoid structures in colorectal cancer using TLS-PAT artificial intelligence tool</t>
  </si>
  <si>
    <t xml:space="preserve">More details and the code are available at https://github.com/LBAI-InfoLab.</t>
  </si>
  <si>
    <t xml:space="preserve">Headline experiment = automated TLS classification in colorectal-cancer pathology images. Conservative labels are used where the retrieved article text does not explicitly establish the relevant methodological detail. | checked C2</t>
  </si>
  <si>
    <t xml:space="preserve">PMC12654495</t>
  </si>
  <si>
    <t xml:space="preserve">Evaluation of a Hybrid CNN Model for Automatic Detection of Malignant and Benign Lesions</t>
  </si>
  <si>
    <t xml:space="preserve">Medicina (Kaunas, Lithuania)</t>
  </si>
  <si>
    <t xml:space="preserve">The dataset was divided at the patient level to ensure that images from the same patient did not appear in multiple subsets, thereby avoiding potential data leakage.</t>
  </si>
  <si>
    <t xml:space="preserve">Augmentations were applied probabilistically during training only, ensuring that validation and test sets remained unaltered to provide an unbiased performance estimate.</t>
  </si>
  <si>
    <t xml:space="preserve">The split was stratified to preserve the proportion of benign and malignant cases across the training (70%), validation (20%), and test (10%) sets.</t>
  </si>
  <si>
    <t xml:space="preserve">The results indicated that EfficientNet-B3 achieved significantly higher mean accuracy (89.7 ± 0.6%)</t>
  </si>
  <si>
    <t xml:space="preserve">The TN5000 dataset is a publicly available collection described by the TN5000 Consortium (Scientific Data, 2021).</t>
  </si>
  <si>
    <t xml:space="preserve">Headline experiment = malignant vs benign lesion classification. Patient-level split and training-only augmentation are explicit.</t>
  </si>
  <si>
    <t xml:space="preserve">PMC12338767</t>
  </si>
  <si>
    <t xml:space="preserve">Enhancing meningioma tumor classification accuracy through multi-task learning approach and image analysis of MRI images</t>
  </si>
  <si>
    <t xml:space="preserve">To train both single-task and multi-task supervised models, it is necessary to divide the dataset into 3 subsets for training, validation, and test.</t>
  </si>
  <si>
    <t xml:space="preserve">Data preprocessing steps are data augmentation with simple operations including shifting, cropping and adding small random noise to images. Moreover, images are normalized with min-max normalization technique.</t>
  </si>
  <si>
    <t xml:space="preserve">To further facilitate domain adaptation and reduce overfitting, we applied augmentation techniques such as random rotations, flips, and adding small random noise during training.</t>
  </si>
  <si>
    <t xml:space="preserve">The approximate ratio of data in these subsets should be 60%, 12%, and 28% respectively.</t>
  </si>
  <si>
    <t xml:space="preserve">It is widely recognized that in the multitasking learning approach, all architectures achieved the utmost accuracy, with evaluation criteria for each of the three architectures reaching 99.6% ± 0.2 in 95% confidence interval.</t>
  </si>
  <si>
    <t xml:space="preserve">Section 4 will mention the results of all these models and compare the performance of these architectures with the multi-task learning approach in detail.</t>
  </si>
  <si>
    <t xml:space="preserve">The data used in this study cannot be shared publicly due to ethical restrictions.</t>
  </si>
  <si>
    <t xml:space="preserve">Headline experiment = meningioma tumor classification with MRI plus demographic auxiliary tasks. Train/validation/test subsets are stated, while patient-level separation of the final test set is not explicit.</t>
  </si>
  <si>
    <t xml:space="preserve">PMC12477006</t>
  </si>
  <si>
    <t xml:space="preserve">Comparative analysis of machine learning techniques on the BraTS dataset for brain tumor classification</t>
  </si>
  <si>
    <t xml:space="preserve">As shown in Table 3, our Random Forest model with PCA-based feature reduction achieved superior classification accuracy (87.5%) compared to existing methods: the Probabilistic Neural Network (83.33%) (43) and Vision Transformer (81.5%) (44).</t>
  </si>
  <si>
    <t xml:space="preserve">Requests to access these datasets should be directed to ML, lm979308367@163.com.</t>
  </si>
  <si>
    <t xml:space="preserve">Headline experiment = brain-tumor classification on BraTS. Comparative analysis is explicitly described; detailed split/protocol information was not established in the retrieved article text.</t>
  </si>
  <si>
    <t xml:space="preserve">PMC12191917</t>
  </si>
  <si>
    <t xml:space="preserve">Characterizing Breast Tumor Heterogeneity Through IVIM-DWI Parameters and Signal Decay Analysis</t>
  </si>
  <si>
    <t xml:space="preserve">Not eligible because the study's deep-learning task is pixel-level tissue detection/segmentation/characterization and no held-out medical-image classification evaluation is reported.</t>
  </si>
  <si>
    <t xml:space="preserve">PMC11742393</t>
  </si>
  <si>
    <t xml:space="preserve">Comparison of 1D and 3D volume measurement techniques in NF2-associated vestibular schwannoma monitoring</t>
  </si>
  <si>
    <t xml:space="preserve">no training/test wording found</t>
  </si>
  <si>
    <t xml:space="preserve">Not eligible: the study compares 1D and 3D volume measurement techniques and does not train a supervised medical-image classification model with held-out evaluation.</t>
  </si>
  <si>
    <t xml:space="preserve">PMC12654790</t>
  </si>
  <si>
    <t xml:space="preserve">Interfacial Gap Prediction in Laser Welding of Pure Copper Overlap Joints Using Multiple Sensors</t>
  </si>
  <si>
    <t xml:space="preserve">Materials (Basel, Switzerland)</t>
  </si>
  <si>
    <t xml:space="preserve">Non-medical images/input: the study concerns laser welding of pure copper overlap joints rather than medical-image classification.</t>
  </si>
  <si>
    <t xml:space="preserve">PMC12842669</t>
  </si>
  <si>
    <t xml:space="preserve">Adaptive Normalization Enhances the Generalization of Deep Learning Model in Chest X-Ray Classification</t>
  </si>
  <si>
    <t xml:space="preserve">This study presents a controlled benchmarking analysis of min–max scaling, Z-score normalization, and an adaptive preprocessing pipeline that combines percentile-based ROI cropping with histogram standardization.</t>
  </si>
  <si>
    <t xml:space="preserve">To avoid confounding effects on intensity normalization, only mild geometric data augmentation was applied uniformly across all experiments.</t>
  </si>
  <si>
    <t xml:space="preserve">Train validation split | 80%/20%</t>
  </si>
  <si>
    <t xml:space="preserve">Friedman-Nemenyi and Wilcoxon signed-rank tests confirmed that the observed improvements were statistically significant across most dataset-model configurations.</t>
  </si>
  <si>
    <t xml:space="preserve">The evaluation was conducted across four public chest X-ray (CXR) datasets and three convolutional neural network architectures under controlled experimental settings.</t>
  </si>
  <si>
    <t xml:space="preserve">Headline experiment = cross-dataset chest-X-ray classification benchmarking. Adaptive histogram standardization is treated conservatively as data-dependent because the retrieved text does not establish the fitting subset.</t>
  </si>
  <si>
    <t xml:space="preserve">PMC12720023</t>
  </si>
  <si>
    <t xml:space="preserve">Proton radiography interpretation with artificial intelligence for treatment deviation detection in proton therapy☆</t>
  </si>
  <si>
    <t xml:space="preserve">Physics and imaging in radiation oncology</t>
  </si>
  <si>
    <t xml:space="preserve">Model trained on synthetic data, generalizes robustly to clinical head and neck cases.</t>
  </si>
  <si>
    <t xml:space="preserve">Headline experiment = proton-radiography treatment-deviation classification. The headline explicitly distinguishes synthetic training data from clinical head-and-neck cases.</t>
  </si>
  <si>
    <t xml:space="preserve">PMC12753960</t>
  </si>
  <si>
    <t xml:space="preserve">Secure pulmonary diagnosis using transformer-based approach to X-ray classification with KL divergence optimization</t>
  </si>
  <si>
    <t xml:space="preserve">The dataset was first divided into training, and testing subsets, and data augmentation was applied exclusively to the training set to prevent data leakage and ensure independence across splits.</t>
  </si>
  <si>
    <t xml:space="preserve">Augmentation was conducted only on the training set, ensuring that no augmented or near-duplicate images appeared in either the validation or testing sets.</t>
  </si>
  <si>
    <t xml:space="preserve">The original contributions presented in the study are included in this article/supplementary material, further inquiries can be directed to this corresponding author.</t>
  </si>
  <si>
    <t xml:space="preserve">Headline experiment = pulmonary diagnosis from chest X-ray classification using a transformer-based approach. Training-only augmentation is explicit; other partitioning/reporting details are conservatively marked when not established by retrieved text.</t>
  </si>
  <si>
    <t xml:space="preserve">PMC12105205</t>
  </si>
  <si>
    <t xml:space="preserve">Detecting microcephaly and macrocephaly from ultrasound images using artificial intelligence</t>
  </si>
  <si>
    <t xml:space="preserve">BMC medical imaging</t>
  </si>
  <si>
    <t xml:space="preserve">This involves various augmentations, including data augmentation, and horizontal and vertical flipping.</t>
  </si>
  <si>
    <t xml:space="preserve">The dataset used is split into 80% for training and 20% for testing to ensure that there is a strong generalization of the models being measured.</t>
  </si>
  <si>
    <t xml:space="preserve">Compared with industry experts, the model achieved accuracies of 92.5% and 91.2% for the BPD and HC measurements, respectively.</t>
  </si>
  <si>
    <t xml:space="preserve">The analysis is freely available on our public GitHub repository (https://github.com/abrahamekeffale/Fetal_detection_project.git).</t>
  </si>
  <si>
    <t xml:space="preserve">The datasets used and/or analyzed during the current study are available from the corresponding author upon reasonable request.</t>
  </si>
  <si>
    <t xml:space="preserve">Headline experiment = microcephaly/macrocephaly/normal classification from fetal ultrasound. The article compares model performance with industry experts.</t>
  </si>
  <si>
    <t xml:space="preserve">PMC12448012</t>
  </si>
  <si>
    <t xml:space="preserve">Improving risk stratification and detection of early HCC using ultrasound-based deep learning models</t>
  </si>
  <si>
    <t xml:space="preserve">JHEP reports : innovation in hepatology</t>
  </si>
  <si>
    <t xml:space="preserve">50 patients who were balanced in both groups were allocated to the independent testing set based on sample size calculation.</t>
  </si>
  <si>
    <t xml:space="preserve">To compensate for the imbalance between the two groups, we applied oversampling with data augmentation and weighted loss to penalise model errors for data from the minority group.</t>
  </si>
  <si>
    <t xml:space="preserve">STARHE-RISK achieved good prediction performances in the testing set with a 0.72 accuracy (95% CI 0.57–0.84) and an odds ratio of 6.6 (95% CI 1.9–22.7; p = 0.003).</t>
  </si>
  <si>
    <t xml:space="preserve">Data may be requested from the corresponding author (JD – IHU Strasbourg, Strasbourg, France).</t>
  </si>
  <si>
    <t xml:space="preserve">Headline experiment = STARHE-RISK / STARHE-DETECT ultrasound classification. Independent testing patients are described, but the test source is within the same multicentric study rather than a distinct external dataset/institution.</t>
  </si>
  <si>
    <t xml:space="preserve">PMC12141588</t>
  </si>
  <si>
    <t xml:space="preserve">KARNet: A Novel Deep-Learning Approach for Dementia Stage Detection in MRI Images</t>
  </si>
  <si>
    <t xml:space="preserve">Cureus</t>
  </si>
  <si>
    <t xml:space="preserve">All images were resized to a uniform dimension of 224×224 pixels to ensure consistency across the dataset.</t>
  </si>
  <si>
    <t xml:space="preserve">The preprocessing steps included resizing, reshaping, and image rotation to standardize input dimensions.</t>
  </si>
  <si>
    <t xml:space="preserve">The dataset was divided into three subsets for training, validation, and testing. || The training subset comprised 80% of the total dataset, which was used to fit the model. || The remaining data was split equally for the validation (10%) and testing (10%) phases.</t>
  </si>
  <si>
    <t xml:space="preserve">The data for this study was sourced from Kaggle, specifically from the dataset available in Ref. [18].</t>
  </si>
  <si>
    <t xml:space="preserve">Headline experiment = dementia-stage classification from MRI images. Train/validation/test roles are explicit; augmentation timing relative to the final split is not explicit.</t>
  </si>
  <si>
    <t xml:space="preserve">PMC12212162</t>
  </si>
  <si>
    <t xml:space="preserve">Recognition and diagnosis of Alzheimer’s Disease using T1-weighted magnetic resonance imaging via integrating CNN and Swin vision transformer</t>
  </si>
  <si>
    <t xml:space="preserve">Clinics (Sao Paulo, Brazil)</t>
  </si>
  <si>
    <t xml:space="preserve">The ADNI dataset used in this study can be downloaded from https://adni.loni.usc.edu/.</t>
  </si>
  <si>
    <t xml:space="preserve">Headline experiment = Alzheimer’s disease classification from T1-weighted MRI; conservative labels where the article evidence was not explicitly established in the reviewed text.</t>
  </si>
  <si>
    <t xml:space="preserve">2026-09-25</t>
  </si>
  <si>
    <t xml:space="preserve">PMC12191009</t>
  </si>
  <si>
    <t xml:space="preserve">Hybrid Deep Learning Architecture with Adaptive Feature Fusion for Multi-Stage Alzheimer’s Disease Classification</t>
  </si>
  <si>
    <t xml:space="preserve">Brain sciences</t>
  </si>
  <si>
    <t xml:space="preserve">The complete implementation is available at https://github.com/MuhammadAhmad7171/Alzheimer-s-Disease-5C (accessed on 5 May 2025).</t>
  </si>
  <si>
    <t xml:space="preserve">Not applicable, as this study used publicly available, anonymized datasets and did not involve human or animal subjects.</t>
  </si>
  <si>
    <t xml:space="preserve">Headline experiment = multi-stage Alzheimer’s disease classification; conservative labels where subset/timing details were not explicitly established.</t>
  </si>
  <si>
    <t xml:space="preserve">PMC11786091</t>
  </si>
  <si>
    <t xml:space="preserve">A deep learning approach versus expert clinician panel in the classification of posterior circulation infarction</t>
  </si>
  <si>
    <t xml:space="preserve">NeuroImage. Clinical</t>
  </si>
  <si>
    <t xml:space="preserve">NCCT, 95 % CI | 0.70 (0.65–0.75)</t>
  </si>
  <si>
    <t xml:space="preserve">Data will be made available on request.</t>
  </si>
  <si>
    <t xml:space="preserve">Headline experiment = posterior circulation infarction classification versus expert clinicians.</t>
  </si>
  <si>
    <t xml:space="preserve">PMC12389973</t>
  </si>
  <si>
    <t xml:space="preserve">Integrating Cortical Source Reconstruction and Adversarial Learning for EEG Classification</t>
  </si>
  <si>
    <t xml:space="preserve">Study uses EEG signals as data.</t>
  </si>
  <si>
    <t xml:space="preserve">PMC12838146</t>
  </si>
  <si>
    <t xml:space="preserve">RadioGuide-DCN: A Radiomics-Guided Decorrelated Network for Medical Image Classification</t>
  </si>
  <si>
    <t xml:space="preserve">Breast ultrasound dataset with 780 images from 600 patients, categorized as normal, benign, or malignant.</t>
  </si>
  <si>
    <t xml:space="preserve">All datasets were randomly split into training and testing sets with an 8:2 ratio, maintaining balanced class distributions. Models were trained for 200 epochs with a batch size of 32. We employed early stopping to prevent overfitting, terminating training if the validation performance did not improve within a fixed patience window.</t>
  </si>
  <si>
    <t xml:space="preserve">ur proposed RadioGuide-DCN achieves the best results across all evaluation metrics, reaching an accuracy of 93.63% and an AUC of 0.9853 || On the BUSI ultrasound dataset, the proposed framework achieves an accuracy of 93.63% and an AUC of 0.9853, surpassing the strongest baseline (Swin-B) by +3.8% in accuracy and +0.0055 in AUC. Similar improvements are observed on the private lymph node dataset (+2.3% accuracy, +0.0078 AUC) and the ChestXRay2017 and Brain Tumor MRI datasets, where RadioGuide-DCN achieves the highest overall results among all compared models.</t>
  </si>
  <si>
    <t xml:space="preserve">The original contributions presented in the study are included in the article; further inquiries can be directed to the corresponding author.</t>
  </si>
  <si>
    <t xml:space="preserve">Code is not available but code's algorithm specified in the study. Data on the other hand comprise of 4 data which 3 of them is public 4th one comes with the request.</t>
  </si>
  <si>
    <t xml:space="preserve">PMC12179520</t>
  </si>
  <si>
    <t xml:space="preserve">A pathology-attention multi-instance learning framework for multimodal classification of colorectal lesions</t>
  </si>
  <si>
    <t xml:space="preserve">Frontiers in pharmacology</t>
  </si>
  <si>
    <t xml:space="preserve">The WSIs do not overlap, and each WSI belongs to a different patient or colonoscopy procedure.</t>
  </si>
  <si>
    <t xml:space="preserve">Our training dataset comprises 1756 H&amp;E-stained whole slide images. In this study, we employed five-fold cross-validation for model training and validation, ensuring balanced representation of each class in the training, validation, and test sets through stratified splitting. Specifically, 1,263 samples were selected for training, 141 for validation, and 352 for testing. Additionally, 1,163 external cases were used as an external test set.</t>
  </si>
  <si>
    <t xml:space="preserve">On the colorectal 5-class dataset, our model achieved an accuracy of 86.45% and an AUC of 0.9624, representing improvements of 2.19% and 0.0043, respectively, compared to the best baseline model DSMIL. On the CRS-2024 dataset, our model performed exceptionally well, achieving an accuracy of 95.78% and an AUC of 0.9949, surpassing all other baseline models. On the UNITOPATHO dataset, our model also demonstrated excellent performance, with an accuracy of 84.09% and an AUC of 0.9568, representing improvements of 5.68% and 0.0137, respectively, compared to the best baseline model CLAM_SB.</t>
  </si>
  <si>
    <t xml:space="preserve">The original contributions presented in the study are included in the article/supplementary material, further inquiries can be directed to the corresponding authors.</t>
  </si>
  <si>
    <t xml:space="preserve">PMC12371411</t>
  </si>
  <si>
    <t xml:space="preserve">HeteroMRI: Robust white matter abnormality classification across multi-scanner MRI data</t>
  </si>
  <si>
    <t xml:space="preserve">GigaScience</t>
  </si>
  <si>
    <t xml:space="preserve">1 to 9 (344 images) are used for training and testing the model in the experimental settings explained below, and the datasets 10 and 11 (20 images) are used as holdout sets.</t>
  </si>
  <si>
    <t xml:space="preserve">The data of each dataset is split into training (70%), validation (10%), and test (20%) sets.</t>
  </si>
  <si>
    <t xml:space="preserve">As shown in Fig. 2, setting A00, in which the highest number of MRIs (174 training + 26 validation + 44 test) was included, demonstrates an average accuracy of 93.2% ± 4.3% in the classification of MRIs.</t>
  </si>
  <si>
    <t xml:space="preserve">Project homepage: https://github.com/ul-mds/HeteroMRI</t>
  </si>
  <si>
    <t xml:space="preserve">All the datasets used in this study are publicly available or are accessible upon request to the respective dataset providers as referenced in Table 1.</t>
  </si>
  <si>
    <t xml:space="preserve">There is no mention about the dataset's patients. Study talks about images but there is non info about how many patient.</t>
  </si>
  <si>
    <t xml:space="preserve">PMC12129765</t>
  </si>
  <si>
    <t xml:space="preserve">BrainTumNet: multi-task deep learning framework for brain tumor segmentation and classification using adaptive masked transformers</t>
  </si>
  <si>
    <t xml:space="preserve">The study included 485 pathologically confirmed cases, comprising T1-enhanced MRI sequence images of high-grade gliomas, metastatic tumors, and meningiomas.</t>
  </si>
  <si>
    <t xml:space="preserve">The dataset was proportionally divided into training (378 cases), testing (109 cases), and external validation (51 cases) sets.</t>
  </si>
  <si>
    <t xml:space="preserve">As shown in Table 1 , for glioma segmentation, the U-Net model achieved an IoU score of 0.75 (16) and a Dice coefficient (DSC) of 0.752, demonstrating basic tumor region segmentation capability.</t>
  </si>
  <si>
    <t xml:space="preserve">The original contributions presented in the study are included in the article/supplementary material. Further inquiries can be directed to the corresponding authors.</t>
  </si>
  <si>
    <t xml:space="preserve">PMC12191842</t>
  </si>
  <si>
    <t xml:space="preserve">Can AI-Based ChatGPT Models Accurately Analyze Hand–Wrist Radiographs? A Comparative Study</t>
  </si>
  <si>
    <t xml:space="preserve">For each growth stage, 15 radiographs from female patients and 15 from male patients were selected, resulting in a total of 30 radiographs per stage and 90 radiographs included in the study.</t>
  </si>
  <si>
    <t xml:space="preserve">The hand–wrist radiographs categorized into each growth stage were individually uploaded to three AI-based ChatGPT models.</t>
  </si>
  <si>
    <t xml:space="preserve">According to the results of the Pearson correlation analysis, the highest positive correlation with the reference bone age values was observed in the GPT-o1-pro group (r = 0.546, p &lt; 0.001), followed by the GPT-o4-mini-high group (r = 0.491, p &lt; 0.001) and the GPT-4o group (r = 0.395, p &lt; 0.001).</t>
  </si>
  <si>
    <t xml:space="preserve">This study evaluated the performance of three ChatGPT-based models (GPT-4o, GPT-o4-mini-high, and GPT-o1-pro) in predicting bone age and growth stage using 90 anonymized hand-wrist radiographs (30 from each growth stage-pre-peak, peak, and post-peak-with equal male and female distribution).</t>
  </si>
  <si>
    <t xml:space="preserve">Data are entirely contained within the article.</t>
  </si>
  <si>
    <t xml:space="preserve">Since study used LLM models to evaluate and there is no training phase steps were hard to choose.</t>
  </si>
  <si>
    <t xml:space="preserve">PMC12326743</t>
  </si>
  <si>
    <t xml:space="preserve">Federated knee injury diagnosis using few shot learning</t>
  </si>
  <si>
    <t xml:space="preserve">Frontiers in artificial intelligence</t>
  </si>
  <si>
    <t xml:space="preserve">The dataset is splitted into three separate sets: 1,130 exams from 1,088 patients comprise the training set; 120 exams from 111 patients make up the validation set; and 120 exams from 113 patients make up the hidden test set.</t>
  </si>
  <si>
    <t xml:space="preserve"> This resulted in an accuracy of 85.3% and an F1 Score of 0.852.</t>
  </si>
  <si>
    <t xml:space="preserve">Publicly available datasets were analyzed in this study. This data can be found here: https://stanfordmlgroup.github.io/competitions/mrnet/.</t>
  </si>
  <si>
    <t xml:space="preserve">PMC11680720</t>
  </si>
  <si>
    <t xml:space="preserve">Aiding Diagnosis and Classifying of Early Stage Osteonecrosis of the Femoral Head with Convolutional Neural Network Based on Magnetic Resonance Imaging</t>
  </si>
  <si>
    <t xml:space="preserve">Indian journal of orthopaedics</t>
  </si>
  <si>
    <t xml:space="preserve">Three orthopedic surgeons screened the data, and each layer of the patient’s MRI-T1 images was separated into one data, after which each hip image was also separated to become the final data set, with a total of 261 axial MRI-T1 pieces of femoral head image data.</t>
  </si>
  <si>
    <t xml:space="preserve">The training of the CNN model was then performed, and in this task, 80% of the images were randomly selected as the training set and the remaining 20% as the test set.</t>
  </si>
  <si>
    <t xml:space="preserve">The performance of our proposed CNN model for femoral head segmentation and threshold method shown in Table 1, which accuracy was 97.73%, sensitivity was 91.17%, specificity was 99.40%, positive predictive value was 96.98%.</t>
  </si>
  <si>
    <t xml:space="preserve">The data sets used and analyzed during the current study available from the corresponding author on reasonable request.</t>
  </si>
  <si>
    <t xml:space="preserve">PMC12404543</t>
  </si>
  <si>
    <t xml:space="preserve">Prediction of the ectasia screening index from raw Casia2 volume data for keratoconus identification by using convolutional neural networks</t>
  </si>
  <si>
    <t xml:space="preserve">From a total of 15457 3dv files, 5817 were selected for training, validation and testing.</t>
  </si>
  <si>
    <t xml:space="preserve">Table 2 presents the MAE and MSE values, rounded to two decimal places, derived from the evaluation of the adapted ResNet18, the adapted DenseNet121 and the adapted EfficientNetB0 on the test dataset.</t>
  </si>
  <si>
    <t xml:space="preserve">The dataset and codes have been uploaded to a repository. The DOI is: https://doi.org/10.5281/zenodo.16846551.</t>
  </si>
  <si>
    <t xml:space="preserve">PMC11781067</t>
  </si>
  <si>
    <t xml:space="preserve">Fully automated segmentation and classification of renal tumors on CT scans via machine learning</t>
  </si>
  <si>
    <t xml:space="preserve">BMC cancer</t>
  </si>
  <si>
    <t xml:space="preserve">We reviewed preoperative CT images and medical records of patients registered in a prospectively collected database, the Seoul National University Prospectively Enrolled Registry for RCC– Nephrectomy (SUPER-RCC-Nx) [7], who underwent partial or radical nephrectomy at a medical center between March 2016 and December 2020.</t>
  </si>
  <si>
    <t xml:space="preserve">The number of tumor subtypes was imbalanced; therefore, we employed a 5 fold data splitting strategy.</t>
  </si>
  <si>
    <t xml:space="preserve">For tumors larger than 4 cm, the accuracy of combining radiomics and conventional radiological features was 0.77 (95% CI, 0.69–0.86), which was higher than that of 0.74 (95% CI, 0.63–0.82) with radiomics and 0.67 (95% CI, 0.55–0.75) with conventional radiological features alone.</t>
  </si>
  <si>
    <t xml:space="preserve">The data sets generated during and/or analyzed during the current study are not publicly available due to retrospectively collected data but are available from the corresponding author on reasonable request.</t>
  </si>
  <si>
    <t xml:space="preserve">PMC12069281</t>
  </si>
  <si>
    <t xml:space="preserve">An efficient method for early Alzheimer’s disease detection based on MRI images using deep convolutional neural networks</t>
  </si>
  <si>
    <t xml:space="preserve">The dataset (Kaggle, 2021) includes 80.000 different MRIs (Magnetic Resonance Image) collected from different sources were given in this paper.</t>
  </si>
  <si>
    <t xml:space="preserve">The entire dataset is utilized for both training and testing, maintaining a ratio of 70% for training and 30% for testing.</t>
  </si>
  <si>
    <t xml:space="preserve">As indicated in Table 2, our model attained the highest accuracy rate of 99.68% and the average F1-Score of 99.25%, along with an average precision of 99.5%.</t>
  </si>
  <si>
    <t xml:space="preserve">The original contributions presented in the study are included in the article/supplementary material, further inquiries can be directed to the corresponding author.</t>
  </si>
  <si>
    <t xml:space="preserve">Dataset is in the Kaggle: Kaggle . (2021). Alzheimer MRI preprocessed dataset. Available online at: https://www.kaggle.com/datasets/ninadaithal/imagesoasis?resource=download</t>
  </si>
  <si>
    <t xml:space="preserve">PMC12250696</t>
  </si>
  <si>
    <t xml:space="preserve">Multi-Stage Cascaded Deep Learning-Based Model for Acute Aortic Syndrome Detection: A Multisite Validation Study</t>
  </si>
  <si>
    <t xml:space="preserve">Journal of clinical medicine</t>
  </si>
  <si>
    <t xml:space="preserve">A total of 260 anonymized chest CTAs were consecutively collected between 2011 and 2022 from 14 clinical sites in the U.S.</t>
  </si>
  <si>
    <t xml:space="preserve">The training setup involved splitting the dataset into training (70%), validation (15%), and test (15%) sets, ensuring a representative distribution of AAS subtypes across each subset.</t>
  </si>
  <si>
    <t xml:space="preserve">The AI model achieved a sensitivity of 0.94 (95% CI: 0.88–0.97), specificity of 0.93 (95% CI: 0.89–0.97), and an AUC of 0.96 (95% CI: 0.94–0.98), meeting and exceeding these predefined benchmarks (Table 2).</t>
  </si>
  <si>
    <t xml:space="preserve">The datasets analyzed in the current study are not publicly available due to ethical restrictions and the proprietary nature of the study.</t>
  </si>
  <si>
    <t xml:space="preserve">PMC12104720</t>
  </si>
  <si>
    <t xml:space="preserve">Automatic collateral quantification in acute ischemic stroke using U2-net</t>
  </si>
  <si>
    <t xml:space="preserve">A cohort of 118 confirmed AIS cases was assembled and stratified into 94 development and 24 test cases.</t>
  </si>
  <si>
    <t xml:space="preserve">The dataset was randomly stratified into an 80% provisional cohort for model development (with 5-fold cross-validation maintaining class distribution) and a 20% independent hold-out test cohort.</t>
  </si>
  <si>
    <t xml:space="preserve">It correlated even more strongly with the Menon score (development set: ρ = 0.84; test set: ρ = 0.91) and the rLMC score (development set: ρ = 0.84; test set: ρ = 0.92) than with the Tan score (ρ = 0.78 and 0.80, respectively for the development and test sets).</t>
  </si>
  <si>
    <t xml:space="preserve">PMC11836176</t>
  </si>
  <si>
    <t xml:space="preserve">Automated classification of coronary LEsions fRom coronary computed Tomography angiography scans with an updated deep learning model: ALERT study</t>
  </si>
  <si>
    <t xml:space="preserve">European radiology</t>
  </si>
  <si>
    <t xml:space="preserve">This single-center retrospective study included 50 patients that underwent CCTA to rule out obstructive coronary artery disease between 2017-2022. Two expert CCTA readers and CorEx-2.0 independently assessed all 150 vessels</t>
  </si>
  <si>
    <t xml:space="preserve">There was disagreement in four patients, resulting in 91.8% (45/49) accuracy and a Cohen’s kappa of 0.80.</t>
  </si>
  <si>
    <t xml:space="preserve">There is no Data Availability Statement</t>
  </si>
  <si>
    <t xml:space="preserve">PMC12591463</t>
  </si>
  <si>
    <t xml:space="preserve">Broad-spectrum eye disease classification using a deep learning-based tailored software lens</t>
  </si>
  <si>
    <t xml:space="preserve"> The dataset contains a total of 16,242 images, collected over a period of eight months from Anawara Hamida Eye Hospital and B.N.S.B. Zahurul Haque Eye Hospital, located in the Faridpur district of Bangladesh.</t>
  </si>
  <si>
    <t xml:space="preserve">The dataset is split into training, validation, and test sets, with Gaussian filtering applied as a preprocessing step in the enhanced model.</t>
  </si>
  <si>
    <t xml:space="preserve">The average accuracy is 72.40 %, the average bal. acc. is 76.88 %.</t>
  </si>
  <si>
    <t xml:space="preserve">All data descriptions underlying the findings in the paper are available here: https://doi.org/10.1016/j.dib.2024.110979 (Sharmin S, Rashid MR, Khatun T, Hasan MZ, Uddin MS, Marzia. A dataset of color fundus images for the detection and classification of eye diseases. Data in Brief. 2024 Dec;57:110979). The dataset used in this work is publicly accessible under the following link: https://doi.org/10.17632/s9bfhswzjb.1.</t>
  </si>
  <si>
    <t xml:space="preserve">PMC11719834</t>
  </si>
  <si>
    <t xml:space="preserve">Differentiating Choroidal Melanomas and Nevi Using a Self-Supervised Deep Learning Model Applied to Clinical Fundoscopy Images</t>
  </si>
  <si>
    <t xml:space="preserve">In total, 18 510 UM images and 8671 nevus images were included in the study from a total of 3942 patients. An additional 1192 images of the opposite healthy eyes from 484 of the existing UM and nevus patients were also used for classification in this study. Training, test, and validation splits were taken at 70%, 20%, and 10%, respectively, randomized each time. Images of the same patients are used either in the training or testing to avoid information leakage.</t>
  </si>
  <si>
    <t xml:space="preserve">Training, test, and validation splits were taken at 70%, 20%, and 10%, respectively, randomized each time.</t>
  </si>
  <si>
    <t xml:space="preserve">Accuracy of the model was 0.83, demonstrating a good overall classification with a high specificity of 0.87 and sensitivity of 0.79.</t>
  </si>
  <si>
    <t xml:space="preserve">PMC11765744</t>
  </si>
  <si>
    <t xml:space="preserve">ZooCNN: A Zero-Order Optimized Convolutional Neural Network for Pneumonia Classification Using Chest Radiographs</t>
  </si>
  <si>
    <t xml:space="preserve">Figure 4 presents a pie chart displaying the class distribution in the Kaggle CXR dataset, depicting three key categories: BP (47.5%, 2780 images), Normal (27.0%, 1583 images), and VP (25.5%, 1493 images).</t>
  </si>
  <si>
    <t xml:space="preserve">The CNN:I shows signs of overfitting after 60 epochs, as evidenced by the fluctuating validation loss, while the ZooCNN achieves stable loss curves for both training and validation data, indicating better generalization.</t>
  </si>
  <si>
    <t xml:space="preserve">Figure 11 The CNN:I’s accuracy plateaus at 0.85 by 60 epochs, while the ZooCNN reaches 0.95 by 80 epochs, as shown in Figure 11a,b, demonstrating the efficiency of hyperparameter tuning.</t>
  </si>
  <si>
    <t xml:space="preserve">Data are available within the article.</t>
  </si>
  <si>
    <t xml:space="preserve">Kaggle CXR Images (Pneumonia) dataset is publicly available altough no link given.</t>
  </si>
  <si>
    <t xml:space="preserve">PMC12269930</t>
  </si>
  <si>
    <t xml:space="preserve">Lung Cancer Management: Revolutionizing Patient Outcomes Through Machine Learning and Artificial Intelligence</t>
  </si>
  <si>
    <t xml:space="preserve">Cancer reports (Hoboken, N.J.)</t>
  </si>
  <si>
    <t xml:space="preserve">This dataset consists of 2535 lung CT scan images, not only from cancer patients but also from other diseases like COVID‐19 and infectious diseases.</t>
  </si>
  <si>
    <t xml:space="preserve">In both settings, we used a training and validation dataset split ratio of 0.85 to 0.15. || For the testing phase, we incorporated a third dataset, consisting of CT‐scan data from 72 lung cancer patients at Hazrat Rasool Hospital, a prominent medical institution in Iran.</t>
  </si>
  <si>
    <t xml:space="preserve">This aligns with our findings, where ResNet50 achieved an accuracy of 94% for classifying lung cancer.</t>
  </si>
  <si>
    <t xml:space="preserve">The data that supports the findings of this study are available in Supporting Information of this article.</t>
  </si>
  <si>
    <t xml:space="preserve">All of the data except oneset is publicly available. Not public one is shared in supporting information section.</t>
  </si>
  <si>
    <t xml:space="preserve">PMC12812902</t>
  </si>
  <si>
    <t xml:space="preserve">Artificial intelligence prediction of nonenhancing brain tumor malignancy based on in vivo confocal laser endomicroscopic imaging</t>
  </si>
  <si>
    <t xml:space="preserve">Frontiers in surgery</t>
  </si>
  <si>
    <t xml:space="preserve">In total, 105 CLE image sequences containing 3,173 CLE images from 40 ROIs across 16 cases were included in the analysis (Table 1).</t>
  </si>
  <si>
    <t xml:space="preserve">We randomly divided the dataset of 105 CLE image sequences into a training set (78 sequences, 74.3%) and a testing set (27 sequences, 25.7%).</t>
  </si>
  <si>
    <t xml:space="preserve">The classic frame-based classification model yielded overall top-1 accuracies of 78%, 74%, 55%, and 50% with vision transformer, VGG16, ResNet50, and Inception-ResNet-V2, respectively, as the visual backbone (Table 2).</t>
  </si>
  <si>
    <t xml:space="preserve">The original contributions presented in the study are included in the article/Supplementary Material, and further inquiries can be directed to the corresponding author.</t>
  </si>
  <si>
    <t xml:space="preserve">PMC12646731</t>
  </si>
  <si>
    <t xml:space="preserve">Retrospective Development of an AI Model Combining Ultrasound and Clinical Data for Pediatric Appendicitis Differentiation</t>
  </si>
  <si>
    <t xml:space="preserve">Emergency medicine international</t>
  </si>
  <si>
    <t xml:space="preserve">A retrospective analysis was performed on 372 pathologically confirmed pediatric appendicitis cases (230 male, 142 female) from three centers, all with preoperative abdominal ultrasound.</t>
  </si>
  <si>
    <t xml:space="preserve"> Stratified random sampling of Center 1 children was performed according to the type of postoperative pathology, which was randomly divided into a training set and an internal validation set in the ratio of 7:3. Center 2 and Center 3 served as independent external validation set 1 and validation set 2, respectively.</t>
  </si>
  <si>
    <t xml:space="preserve">In the DLR model, MLP classifier showed more stable performance across training and validation sets than LR, SVM, and LightGBM, with training AUC/sensitivity/specificity of 0.936 (0.892–0.978)/0.892/0.922 and validation AUCs of 0.732–0.768.</t>
  </si>
  <si>
    <t xml:space="preserve">The datasets used and/or analyzed during the current study are available from the corresponding author on reasonable request.</t>
  </si>
  <si>
    <t xml:space="preserve">Zenodo link is data, not code. Checked c1.</t>
  </si>
  <si>
    <t xml:space="preserve">PMC12008990</t>
  </si>
  <si>
    <t xml:space="preserve">Evaluating the Impact of Attention Mechanisms on a Fine-Tuned Neural Network for Magnetic Resonance Imaging Tumor Classification: A Comparative Analysis</t>
  </si>
  <si>
    <t xml:space="preserve">The public dataset was obtained from Kaggle (Appendices) and consisted of over 3,000 labeled T1 and T2 MRI images including coronal, sagittal, and axial views representing four classes: meningioma (n = 913), glioma (n = 901), pituitary tumors (n = 844), and no tumor (n = 438).</t>
  </si>
  <si>
    <t xml:space="preserve">The dataset was shuffled and split into training (80%), validation (10%), and test (10%) subsets. </t>
  </si>
  <si>
    <t xml:space="preserve">As shown in Table 1, the SE-enhanced ResNet50V2 model demonstrated the highest overall performance across all configurations, achieving a test accuracy of 98.4% and the highest AUC of 0.999. This model significantly outperformed the baseline ResNet50V2, which had a test accuracy of 92.6% and an AUC of 0.987 (Table 1).</t>
  </si>
  <si>
    <t xml:space="preserve">The dataset used in this study, available on Kaggle, comprises 3,096 annotated MRI scans categorized into four classes: meningioma (n = 913), glioma (n = 901), pituitary tumors (n = 844), and no tumor (n = 438). This dataset provides preprocessed 256 × 256-pixel images with greyscale normalization and image zoom, facilitating deep learning-based tumor classification research. The link to the dataset is as follows: https://www.kaggle.com/datasets/thomasdubail/brain-tumors-256x256/code.</t>
  </si>
  <si>
    <t xml:space="preserve">PMC12370136</t>
  </si>
  <si>
    <t xml:space="preserve">Multi-task deep learning for predicting metabolic syndrome from retinal fundus images in a Japanese health checkup dataset</t>
  </si>
  <si>
    <t xml:space="preserve">The dataset used in this study was provided by the Japanese Society of Ophthalmic AI as part of an AI model development competition. It is based on the Japan Ocular Imaging Registry (JOIR) [9] and includes 5,000 anonymized retinal fundus photographs from Japanese male health checkup participants. All subjects were male, a standardization applied by the organizers to reduce variation during model training. An additional set of 500 cases was provided as an independent test dataset.</t>
  </si>
  <si>
    <t xml:space="preserve">An additional set of 500 cases was provided as an independent test dataset.</t>
  </si>
  <si>
    <t xml:space="preserve">Specifically, Case 1 achieved a higher average validation accuracy (0.66290) compared to Case 2 (0.63762), supporting its effectiveness in fundus-specific model development.</t>
  </si>
  <si>
    <t xml:space="preserve">Requests for data access may be directed to the corresponding author, who will consult with the appropriate data custodians.</t>
  </si>
  <si>
    <t xml:space="preserve">checked C1</t>
  </si>
  <si>
    <t xml:space="preserve">PMC12384400</t>
  </si>
  <si>
    <t xml:space="preserve">A Multimodal MRI-Based Model for Colorectal Liver Metastasis Prediction: Integrating Radiomics, Deep Learning, and Clinical Features with SHAP Interpretation</t>
  </si>
  <si>
    <t xml:space="preserve">Current oncology (Toronto, Ont.)</t>
  </si>
  <si>
    <t xml:space="preserve">After consensus review by the two radiologists, 463 patients met the inclusion criteria and were ultimately enrolled in the study.</t>
  </si>
  <si>
    <t xml:space="preserve">A total of 463 CRC patients were enrolled in this study, comprising a training set (n = 256), an internal test set (n = 111), and an external validation set (n = 96), with the screening flowchart for Center 1 patients illustrated in Supplementary Figure S1. </t>
  </si>
  <si>
    <t xml:space="preserve">In the training set, the Combined_LR model achieved the highest AUC of 0.889 (95% CI: 0.847–0.931), with an accuracy of 0.793, sensitivity of 0.810, and specificity of 0.794.</t>
  </si>
  <si>
    <t xml:space="preserve">All data generated or analyzed during this study are available from the corresponding author on reasonable request.</t>
  </si>
  <si>
    <t xml:space="preserve">PMC12107882</t>
  </si>
  <si>
    <t xml:space="preserve">Auto-segmentation of cerebral cavernous malformations using a convolutional neural network</t>
  </si>
  <si>
    <t xml:space="preserve">This left a total of 192 patients and 199 exams, including 171 exams with a single CCM (167 patients) and 28 exams with multiple CCMs (25 patients).</t>
  </si>
  <si>
    <t xml:space="preserve">Note that a total of 108 scans were used for brain extraction, with 90 scans subjected to 5-fold cross-validation (72 for training and 18 for validation) and 18 scans used as a test set to evaluate the performance of the trained segmentation model.</t>
  </si>
  <si>
    <t xml:space="preserve">Dice coefficients for each type were as follows: type I (0.743 ± 0.178; 95% confidence interval (CI): 0.685–0.801), type II (0.742 ± 0.147; 95% CI: 0.707–0.776), type III (0.740 ± 0.165; 95% CI: 0.698–0.781), and type IV (0.361 ± 0.315).</t>
  </si>
  <si>
    <t xml:space="preserve">PMC12608630</t>
  </si>
  <si>
    <t xml:space="preserve">A Hybrid Convolutional Neural Network–Long Short-Term Memory (CNN–LSTM)–Attention Model Architecture for Precise Medical Image Analysis and Disease Diagnosis</t>
  </si>
  <si>
    <t xml:space="preserve">Ten diverse medical imaging datasets were utilized in this study, as summarized in Table 1, encompassing a wide range of medical conditions, including neuro-degenerative disorders, oncological abnormalities, and pulmonary diseases, which provides a comprehensive foundation for robust model use in medical image classification.</t>
  </si>
  <si>
    <t xml:space="preserve">Each medical dataset is first split into training (70%), validation (15%), and testing (15%) subsets to prevent data leakage and ensure unbiased evaluation.</t>
  </si>
  <si>
    <t xml:space="preserve">Similarly, other categories exhibit high performance, with precision values of 96% (mild demented), 98% (non-demented), and 97% (very mild demented). The recall scores remain consistently strong, with mild demented at 99%, moderate demented also at 99%, non-demented at 98%, and very mild demented at 96%.</t>
  </si>
  <si>
    <t xml:space="preserve">The codes and datasets used within this study are made available through the public repository Zenodo at https://doi.org/10.5281/zenodo.15498860.</t>
  </si>
  <si>
    <t xml:space="preserve">PMC12318030</t>
  </si>
  <si>
    <t xml:space="preserve">Transfer learning based deep architecture for lung cancer classification using CT image with pattern and entropy based feature set</t>
  </si>
  <si>
    <t xml:space="preserve">It encompasses a total of 888 CT scans. The Cancer class includes 589 scans, and the non-cancer class designates 299 scans. Also, this dataset employed 445 patients, where 306 patients for cancer and 139 patients did not have cancer.</t>
  </si>
  <si>
    <t xml:space="preserve">The training and testing details of the Luna16 dataset are shown in Table 4.</t>
  </si>
  <si>
    <t xml:space="preserve">In contrast, the conventional methods like 3D AG-Net26 (0.795), MFDNN24 (0.778), LeNet (0.837), DenseNet (0.684), Parallel CNN (0.778), LSTM (0.746), Deep Maxout (0.871), and SCNN-PNN42 (0.952) recorded relatively lower MCC values.</t>
  </si>
  <si>
    <t xml:space="preserve">The datasets generated and/or analyzed during the current study are available online and are publicly accessible at:https://www.kaggle.com/datasets/avc0706/luna16/data?select=seg-lungs-LUNA16.</t>
  </si>
  <si>
    <t xml:space="preserve">PMC11882137</t>
  </si>
  <si>
    <t xml:space="preserve">Optimizing Automated Hematoma Expansion Classification from Baseline and Follow-Up Head Computed Tomography</t>
  </si>
  <si>
    <t xml:space="preserve">Applied sciences (Basel, Switzerland)</t>
  </si>
  <si>
    <t xml:space="preserve">A multicentric cohort of patients enrolled in the ATACH-2 randomized trial who had primary acute ICH within 4.5 h of onset, a baseline hematoma volume &lt; 60 mL, and at least one systolic blood pressure &gt; 180 mm Hg, conducted across 110 sites in six countries: the United States, Japan, China, Taiwan, South Korea, and Germany [21]; and (3) the Charité dataset: A stroke center cohort of consecutive ICH patients admitted to the Charité University Hospital in Berlin, Germany [16].</t>
  </si>
  <si>
    <t xml:space="preserve">We utilized three separate multicentric cohorts for cross-validation/training, internal testing, and external validation (n = 2261) to develop and test a pipeline for automated hematoma segmentation and to generate ground truth binary HE annotations (≥3, ≥6, ≥9, and ≥12.5 mL).</t>
  </si>
  <si>
    <t xml:space="preserve">Using the hematoma volumes from automated ICH segmentation on baseline and follow-up scans, we achieved an ROC area under curve (AUC) of 0.86 to 0.92 for different HE classifications in the internal test (ATACH-2) cohort and 0.82 to 0.87 in external test (Charité) cohort (Table 2).</t>
  </si>
  <si>
    <t xml:space="preserve">Data are available upon request and on approval from the respective register holders.</t>
  </si>
  <si>
    <t xml:space="preserve">PMC11988156</t>
  </si>
  <si>
    <t xml:space="preserve">Tumor Bud Classification in Colorectal Cancer Using Attention-Based Deep Multiple Instance Learning and Domain-Specific Foundation Models</t>
  </si>
  <si>
    <t xml:space="preserve">The initial dataset includes 29 H&amp;E-stained tissue slides, each digitized at 40× magnification using an Aperio ScanScope XT scanner (Vista, CA, USA) at a resolution of 0.061 microns per pixel squared.</t>
  </si>
  <si>
    <t xml:space="preserve">We split the 29 whole slide images (WSIs) into training (10 WSIs), validation (10 WSIs), and testing (9 WSIs) sets while also utilizing an external hold-out dataset of 70 WSIs to validate the generalizability of our model.</t>
  </si>
  <si>
    <t xml:space="preserve"> Considering the results in Table 2, among the models, Phikon-v2 consistently demonstrated superior performance, achieving the highest average AUC (0.984 ± 0.003) across the six splits, along with notable precision (0.876 ± 0.004) and recall (0.947 ± 0.009). </t>
  </si>
  <si>
    <t xml:space="preserve">The datasets presented in this article are not readily available because the data are part of an ongoing study.</t>
  </si>
  <si>
    <t xml:space="preserve">checked C1 checked C2</t>
  </si>
  <si>
    <t xml:space="preserve">PMC12252233</t>
  </si>
  <si>
    <t xml:space="preserve">Binary Classification of Pneumonia in Chest X-Ray Images Using Modified Contrast-Limited Adaptive Histogram Equalization Algorithm</t>
  </si>
  <si>
    <t xml:space="preserve">It comprises a total of 5863 chest X-ray images categorized into two classes:</t>
  </si>
  <si>
    <t xml:space="preserve">The dataset was meticulously divided into training, validation and testing subsets to ensure a balanced evaluation of the model’s performance.</t>
  </si>
  <si>
    <t xml:space="preserve">average accuracy of 98.5 ± 0.4%, precision of 99.1 ± 0.3%, recall of 98.4 ± 0.5% and F1-score of 97.7 ± 0.4% across the five folds</t>
  </si>
  <si>
    <t xml:space="preserve">The “Chest X-Ray Images (Pneumonia)” dataset by Kermany et al. is a widely recognized dataset designed to facilitate pneumonia detection using machine-learning techniques.</t>
  </si>
  <si>
    <t xml:space="preserve">PMC12295062</t>
  </si>
  <si>
    <t xml:space="preserve">Optimizing Tumor Detection in Brain MRI with One-Class SVM and Convolutional Neural Network-Based Feature Extraction</t>
  </si>
  <si>
    <t xml:space="preserve">The dataset includes a total of 3000 labeled MRI images, evenly split into two diagnostic categories (Figure 2):</t>
  </si>
  <si>
    <t xml:space="preserve">The OCSVM hyperparameter ν was tuned with values (0.01, 0.1, 0.9) to optimize the sensitivity and specificity, retaining the best configuration per experiment.</t>
  </si>
  <si>
    <t xml:space="preserve">With a sensitivity of only 47.34% for the tumorous class and a global accuracy of 63.04%, the model struggled to generalize from pixel-level intensities.</t>
  </si>
  <si>
    <t xml:space="preserve">The used dataset is public in Kaggle [20].</t>
  </si>
  <si>
    <t xml:space="preserve">PMC12222053</t>
  </si>
  <si>
    <t xml:space="preserve">Neural decoding of Aristotle tactile illusion using deep learning-based fMRI classification</t>
  </si>
  <si>
    <t xml:space="preserve">Frontiers in neuroscience</t>
  </si>
  <si>
    <t xml:space="preserve">Each participant completed two fMRI sessions, performing a total of 30 trials (10 repetitions of each tactile stimulus).</t>
  </si>
  <si>
    <t xml:space="preserve">Model performance was assessed using 5-fold cross-validation, with the fMRI dataset randomly divided into training and validation subsets in an 8:2 ratio.</t>
  </si>
  <si>
    <t xml:space="preserve">For the classification between the occurrence of the Aristotle illusion and the Reverse illusion (corresponding to perceiving two vs. one stimulus, respectively), the SFCN achieved the highest performance across all metrics, with an accuracy of 68.0%, precision of 0.67, recall of 0.73, and F1-score of 0.70.</t>
  </si>
  <si>
    <t xml:space="preserve">The datasets presented in this article are not readily available because fMRI images are potentially identifiable. Requests to access the datasets should be directed to Taehoon Shin, moc.liamg@eganihs.</t>
  </si>
  <si>
    <t xml:space="preserve">PMC11975991</t>
  </si>
  <si>
    <t xml:space="preserve">Leveraging Comprehensive Echo Data to Power Artificial Intelligence Models for Handheld Cardiac Ultrasound</t>
  </si>
  <si>
    <t xml:space="preserve">Mayo Clinic proceedings. Digital health</t>
  </si>
  <si>
    <t xml:space="preserve">Models were developed using TTE data from 7801 patients (1 study per patient; 6432 patients for training and 1369 for internal validation)</t>
  </si>
  <si>
    <t xml:space="preserve">These studies were divided into datasets for training (70%), validation (15%), and testing (15%) using the train test split function in the scikit-learn library 12 in Python version 3.9.6.</t>
  </si>
  <si>
    <t xml:space="preserve">The area under the curve (AUC) using a cutoff of clinically calculated LVEF ≤40% was 0.962 (95% CI: 0.95-0.97) for the Rochester cohort, 0.967 (95% CI: 0.95-0.98) for the Arizona cohort, and 0.980 (95% CI: 0.97-0.99) for the Florida cohort.</t>
  </si>
  <si>
    <t xml:space="preserve">All requests for raw and analyzed data and related materials, excluding programming code, will be reviewed by the Mayo Clinic legal department and Mayo Clinic Ventures to verify whether the request is subject to any intellectual property or confidentiality obligations.</t>
  </si>
  <si>
    <t xml:space="preserve">PMC11861772</t>
  </si>
  <si>
    <t xml:space="preserve">Preoperative prediction of the Lauren classification in gastric cancer using automated nnU-Net and radiomics: a multicenter study</t>
  </si>
  <si>
    <t xml:space="preserve">Insights into imaging</t>
  </si>
  <si>
    <t xml:space="preserve">From June 2019 to March 2024, a total of 592 patients from three medical centers were screened.</t>
  </si>
  <si>
    <t xml:space="preserve">This study included a total of 108 patients with CT images and their corresponding manual segmentation labels, which were divided into training and validation sets (n = 82) and a test set (n = 26).</t>
  </si>
  <si>
    <t xml:space="preserve">Multivariate logistic regression analysis further indicated that age (OR = 0.95; 95% CI [0.92, 0.98]; p = 0.003), CA125 level (OR = 1.05; 95% CI [1.01, 1.10]; p = 0.015), and maximum tumor diameter (OR = 1.27; 95% CI [1.11, 1.46]; p &lt; 0.001) were independent predictors of the Lauren classification (Table 3).</t>
  </si>
  <si>
    <t xml:space="preserve">The data supporting the findings of this study are available from the corresponding author upon reasonable request. Due to privacy or ethical restrictions, the data cannot be publicly shared.</t>
  </si>
  <si>
    <t xml:space="preserve">PMC11937600</t>
  </si>
  <si>
    <t xml:space="preserve">Multimodal diagnosis of Alzheimer’s disease based on resting-state electroencephalography and structural magnetic resonance imaging</t>
  </si>
  <si>
    <t xml:space="preserve">Frontiers in physiology</t>
  </si>
  <si>
    <t xml:space="preserve">However, due to the lack of data in 5 cases, magnetic resonance imaging (MRI) scan images are only available for 89 patients.</t>
  </si>
  <si>
    <t xml:space="preserve">The receiver operating characteristic curve (ROC) Tharwat (2018) is used as the main metric for hyperparameter tuning and finding the best model.</t>
  </si>
  <si>
    <t xml:space="preserve">Compared with CNN-sMRI, the precision sCNN-sMRI improves to 75.97%, an Mcc improves to 51.35%, and a relatively flat sensitivity.</t>
  </si>
  <si>
    <t xml:space="preserve">PMC12468869</t>
  </si>
  <si>
    <t xml:space="preserve">Automated Detection and Segmentation of Ascending Aorta Dilation on a Non-ECG-Gated Chest CT Using Deep Learning</t>
  </si>
  <si>
    <t xml:space="preserve">The dataset comprised 500 non-ECG-gated chest CT scans collected across multiple institutions to ensure diversity and robustness.</t>
  </si>
  <si>
    <t xml:space="preserve">The dataset was divided into training, validation, and testing subsets, with 400 scans (80%) used for training, 50 scans (10%) for validation, and 50 scans (10%) for final evaluation.</t>
  </si>
  <si>
    <t xml:space="preserve">The proposed method achieves strong test-set performance (classifier accuracy: 98.18%; Dice score: 99.21%; IoU: 98.45%) and, in practice, improves segmentation in the presence of motion, reduces manual workload by automating slice selection and contouring, and yields reproducible contours.</t>
  </si>
  <si>
    <t xml:space="preserve">The dataset is publicly available at https://cdas.cancer.gov/learn/nlst/images/ (accessed on 22 November 2023) Some preliminary results of this work were presented at the Radiological Society of North America (RSNA) Annual Meeting 2024 [29].</t>
  </si>
  <si>
    <t xml:space="preserve">PMC12020513</t>
  </si>
  <si>
    <t xml:space="preserve">Improving healthcare sustainability using advanced brain simulations using a multi-modal deep learning strategy with VGG19 and bidirectional LSTM</t>
  </si>
  <si>
    <t xml:space="preserve">The 7,023 MRI images of the human brain that make up the Brain Tumor MRI dataset are split into four categories: pituitary, meningioma, glioma, and no tumor. </t>
  </si>
  <si>
    <t xml:space="preserve">The data were intentionally divided into training, validation, and testing sets in 70, 15, and 15% ratios, respectively.</t>
  </si>
  <si>
    <t xml:space="preserve">The model achieved a training accuracy of 98.69%, validation accuracy of 96.64%, and total test accuracy of 97%, evidence of its ability to generalize to unseen data.</t>
  </si>
  <si>
    <t xml:space="preserve">PMC12217170</t>
  </si>
  <si>
    <t xml:space="preserve">A deep convolutional neural network-based novel class balancing for imbalance data segmentation</t>
  </si>
  <si>
    <t xml:space="preserve">This dataset was collected in a study conducted in the Netherlands. 400 individuals were recorded, where ages ranged between inline image. This dataset consists of randomly selected 40 samples from the studied population.</t>
  </si>
  <si>
    <t xml:space="preserve">The proposed model is trained using 20 training images of the DRIVE dataset and evaluated on 20 test images of the same dataset.</t>
  </si>
  <si>
    <t xml:space="preserve">In terms of overall accuracy (96.22%), the proposed BLCB-CNN outperform multiscale CNN model36 and modified U-Net with attention model46, which typically range between 95.33% and 95.74%.</t>
  </si>
  <si>
    <t xml:space="preserve">Data will be provided on request by first author Atifa Kalsoom.</t>
  </si>
  <si>
    <t xml:space="preserve">PMC12862092</t>
  </si>
  <si>
    <t xml:space="preserve">Convolutional automatic identification of B-lines and interstitial syndrome in lung ultrasound images using pre-trained neural networks with feature fusion</t>
  </si>
  <si>
    <t xml:space="preserve">Frontiers in digital health</t>
  </si>
  <si>
    <t xml:space="preserve">The test set consisted of 2,060 LUS frames extracted from 16 LUS clips (eight healthy and eight non-healthy, with two clips per patient)</t>
  </si>
  <si>
    <t xml:space="preserve">The LUS dataset was divided into three subsets for effective model development and performance assessment: training (70% ≈ 76 LUS clips), validation (15% ≈ 16 LUS clips), and test sets (15% ≈ 16 LUS clips).</t>
  </si>
  <si>
    <t xml:space="preserve">The Xception model in Scenario 2 achieved a higher accuracy rate (95.9%) and higher precision and recall rate (95.8%) than the model in Scenario 1.</t>
  </si>
  <si>
    <t xml:space="preserve">The datasets presented in this article are not readily available because they are subject to institutional data-sharing restrictions at Queensland University of Technology (QUT). Requests to access the datasets should be directed to the corresponding author. Please let us know if any further information or clarification is required.</t>
  </si>
  <si>
    <t xml:space="preserve">PMC12628488</t>
  </si>
  <si>
    <t xml:space="preserve">Diffusion Models for Neuroimaging Data Augmentation: Assessing Realism and Clinical Relevance</t>
  </si>
  <si>
    <t xml:space="preserve">Journal of medical systems</t>
  </si>
  <si>
    <t xml:space="preserve">These were randomly split into a training set (80%) and a validation set (20%), ensuring subject independence across the two partitions.</t>
  </si>
  <si>
    <t xml:space="preserve">To enhance methodological transparency, we report 95% confidence intervals (CIs) for MMD, FID, and MS-SSIM, estimated via 1000 bootstrap resamples of the real and generated sets using a non-parametric approach. Results are shown in Table 2.</t>
  </si>
  <si>
    <t xml:space="preserve">Through our collaboration with the Center for Neurodegenerative Diseases and the Aging Brain, University of Bari Aldo Moro at Pia Foundation of Cult and Religion "Card. G. Panico" (CMND), we assembled a diverse dataset of T1-weighted brain MRI scans drawn from multiple publicly accessible repositories.</t>
  </si>
  <si>
    <t xml:space="preserve">PMC12535900</t>
  </si>
  <si>
    <t xml:space="preserve">Multiparametric magnetic resonance imaging-based comprehensive model on prediction of lymphovascular space invasion in cervical cancer</t>
  </si>
  <si>
    <t xml:space="preserve">The research cohort comprised 155 individuals diagnosed with cervical cancer through pathological confirmation, with cases drawn from January 2019 through December 2023.</t>
  </si>
  <si>
    <t xml:space="preserve">155 patients from January 2019 to December 2023 were enrolled in this study and divided into the training and validation cohorts randomly at a ratio of 7:3.</t>
  </si>
  <si>
    <t xml:space="preserve">For LVSI prediction, the Rad model demonstrated AUCs of 0.801 (95%CI: 0.712-0.891) in training cohort and 0.686 (95%CI: 0.525-0.847) in validation cohort.</t>
  </si>
  <si>
    <t xml:space="preserve">PMC11483474</t>
  </si>
  <si>
    <t xml:space="preserve">Development and Validation of a Deep Learning Algorithm for Differentiation of Choroidal Nevi from Small Melanoma in Fundus Photographs</t>
  </si>
  <si>
    <t xml:space="preserve">No image was used in more than 1 cohort and patient level splits were maintained between the cohorts.</t>
  </si>
  <si>
    <t xml:space="preserve">These images were randomized into a training cohort (n = 495), a validation cohort (n = 168), and a test cohort (n = 86). Additionally, 53 images taken in other clinics across the country were reserved for an external test cohort.</t>
  </si>
  <si>
    <t xml:space="preserve">Despite this, the algorithm achieved an AUC of 0.88 (95% CI, 0.82–0.95, Gini index: 0.75, F-score: 0.72), which compares favorably to the AUC for MOLES at 0.77 (95% CI, 0.66–0.88; Gini index: 0.54; F-score using a MOLES score of ≥3 as indicative of melanoma, 0.56), and TFSOM-UHHD at 0.67 (95% CI 0.54–0.81; Gini index: 0.34). In a pairwise DeLong’s test, the AUC for the algorithm was significantly higher than the AUC for MOLES (P &lt; 0.001) and TFSOM-UHHD (P &lt; 0.001, Bonferroni-corrected P values; Fig 4A).</t>
  </si>
  <si>
    <t xml:space="preserve">Due to the sensitive nature of the clinical data, including images utilized in this study, the authors are unable to share these materials in compliance with Swedish law. The confidentiality and privacy regulations governing patient information strictly prohibit the distribution of such data.</t>
  </si>
  <si>
    <t xml:space="preserve">checked C2</t>
  </si>
  <si>
    <t xml:space="preserve">PMC12380340</t>
  </si>
  <si>
    <t xml:space="preserve">Enhancing the early detection of Alzheimer’s disease using an integrated CNN-LSTM framework: A robust approach for fMRI-based multi-stage classification</t>
  </si>
  <si>
    <t xml:space="preserve">For each participant, there are 105 volumes, 24 slices with slice thickness of 4.0mm, the Echo Time ranging from 12.0ms to 13.0ms, the Repetition Time of 3400ms, the flip angle of 90 degrees, the matrix size of 320×320 pixels, the pixel spacing of 4.00mm in X and Y dimension and the pulse sequence.</t>
  </si>
  <si>
    <t xml:space="preserve">n each fold, 80% of the subjects’ data is allocated to the training set and 20% to the validation set.</t>
  </si>
  <si>
    <t xml:space="preserve"> A total of 102 participants were successfully classified as AD, MCI, and CN, achieving an accuracy of 98.99% and AUC of 100%.</t>
  </si>
  <si>
    <t xml:space="preserve">All dataset is publicly available at https://adni.loni.usc.edu/data-samples/adni-data/.</t>
  </si>
  <si>
    <t xml:space="preserve">PMC11837479</t>
  </si>
  <si>
    <t xml:space="preserve">Predicting malignant risk of ground-glass nodules using convolutional neural networks based on dual-time-point 18F-FDG PET/CT</t>
  </si>
  <si>
    <t xml:space="preserve">Cancer imaging : the official publication of the International Cancer Imaging Society</t>
  </si>
  <si>
    <t xml:space="preserve">The dataset was randomly divided into a training set comprising 239 patients (318 lesions) and a testing set comprising 72 patients (79 lesions)</t>
  </si>
  <si>
    <t xml:space="preserve"> The dataset was randomly divided into a training set comprising 239 patients (318 lesions) and a testing set comprising 72 patients (79 lesions), we employed a self-configuring 3D nnU-net convolutional neural network with majority voting method to segment GGOs and predict malignant risk of GGOs.</t>
  </si>
  <si>
    <t xml:space="preserve">The Dice score for the dual-time-point 18F-FDG PET/CT model was 0.84 ± 0.02</t>
  </si>
  <si>
    <t xml:space="preserve">No datasets were generated or analysed during the current study.</t>
  </si>
  <si>
    <t xml:space="preserve">PMC12524090</t>
  </si>
  <si>
    <t xml:space="preserve">A Robust Semi-Supervised Brain Tumor MRI Classification Network for Data-Constrained Clinical Environments</t>
  </si>
  <si>
    <t xml:space="preserve">The experiments were conducted on a publicly available brain tumor MRI dataset [43] consisting of a total of 7022 T1-weighted contrast-enhanced MRI images of human brain scans.</t>
  </si>
  <si>
    <t xml:space="preserve">Out of the entire dataset, 5712 samples were used for training purposes, while the remaining 1311 samples were reserved as a fixed test set for evaluating model performance across all experimental configurations.</t>
  </si>
  <si>
    <t xml:space="preserve">Mean accuracy [Mean ± SD] (semi-supervised): 94.82%±4.09%</t>
  </si>
  <si>
    <t xml:space="preserve">The dataset used in this study is publicly available on Kaggle and can be accessed at https://www.kaggle.com/datasets/masoudnickparvar/brain-tumor-mri-dataset/data (accessed on 16 February 2025).</t>
  </si>
  <si>
    <t xml:space="preserve">PMC11837701</t>
  </si>
  <si>
    <t xml:space="preserve">Integrating ultrasound radiomics and clinicopathological features for machine learning-based survival prediction in patients with nonmetastatic triple-negative breast cancer</t>
  </si>
  <si>
    <t xml:space="preserve">A total of 465 patients were included in this study with a median follow-up time of 65.3 months, assigned into the training cohort (n = 306), internal validation cohort (n = 77), and external validation cohort (n = 82).</t>
  </si>
  <si>
    <t xml:space="preserve">The combined model had best predictive performance in all internal validation tasks (p &lt; 0.05), especially for 5-year OS (p &lt; 0.01). In the external validation cohort, the combined nomograms had AUC of 0.73–0.89, ACC of 0.83–0.92, precision of 0.89–0.96, recall of 0.90–0.96, and F1 of 0.86–0.95.</t>
  </si>
  <si>
    <t xml:space="preserve">The main codes and examples are available in a publicly accessible repository (https://github.com/JZK00/radiomics_survival_analysis/tree/main/USRadiomics).</t>
  </si>
  <si>
    <t xml:space="preserve">Due to the privacy of patients, the original data are not available for public access but can be obtained from Yulan Peng (yulanpeng520@126.com) upon reasonable request.</t>
  </si>
  <si>
    <t xml:space="preserve">PMC12701185</t>
  </si>
  <si>
    <t xml:space="preserve">Explained Deep Learning Framework for COVID-19 Detection in Volumetric CT Images Aligned with the British Society of Thoracic Imaging Reporting Guidance: A Pilot Study</t>
  </si>
  <si>
    <t xml:space="preserve">Journal of imaging informatics in medicine</t>
  </si>
  <si>
    <t xml:space="preserve">The number of slices in each volumetric CT image varied, with a median of 314 slices per 3D CT scan.</t>
  </si>
  <si>
    <t xml:space="preserve">For each experiment, the data was stratified into 60% for training, 20% for test, and for 20% validation datasets respectively.</t>
  </si>
  <si>
    <t xml:space="preserve">When compared to the four-class classification model, results of the ternary-class model demonstrate significant improvement in performance after excluding the ‘Indeterminate’ class from the dataset, achieving an accuracy of 90% on the test set.</t>
  </si>
  <si>
    <t xml:space="preserve">The Python code is available at this link</t>
  </si>
  <si>
    <t xml:space="preserve">The data related to this manuscript cannot be publicly available to protect patients’ data, in compliance with the Sandwell and West Birmingham Hospitals NHS Trust data processing agreement statement.</t>
  </si>
  <si>
    <t xml:space="preserve">PMC12468862</t>
  </si>
  <si>
    <t xml:space="preserve">Automated Computer-Assisted Diagnosis of Pleural Effusion in Chest X-Rays via Deep Learning</t>
  </si>
  <si>
    <t xml:space="preserve">A total of 922 CXR images were included, comprising 461 images of normal lungs and 461 images diagnosed with pleural effusion.</t>
  </si>
  <si>
    <t xml:space="preserve">Among them, 80% (738 images) were used for model training, while the remaining 20% (184 images) were reserved for validation.</t>
  </si>
  <si>
    <t xml:space="preserve">the proposed system achieved an accuracy of 93.27% ± 0.02, a precision of 92.95% ± 0.03, a recall of 92.81% ± 0.02, and an F1 score of 92.79% ± 0.02</t>
  </si>
  <si>
    <t xml:space="preserve">The datasets presented in this article are not readily available because they are part of an ongoing study and will be made available only after the completion of data collection and analysis. Requests to access the datasets should be directed to the corresponding authors at wt.ude.tucm.liam@ihc-nomis or wt.ude.ucf@nehcygnust.</t>
  </si>
  <si>
    <t xml:space="preserve">PMC11899611</t>
  </si>
  <si>
    <t xml:space="preserve">Enhanced Multi-Class Breast Cancer Classification from Whole-Slide Histopathology Images Using a Proposed Deep Learning Model</t>
  </si>
  <si>
    <t xml:space="preserve">There are 2480 photos in the original benign sample dataset, distributed unevenly among the classifications.</t>
  </si>
  <si>
    <t xml:space="preserve">The expanded dataset was then separated into 4466 photos for training, 1487 for validation, and 1487 for testing, guaranteeing a balanced representation of all benign classes in each group.</t>
  </si>
  <si>
    <t xml:space="preserve"> Reaching 98.50%, the model shows remarkable accuracy, F1-score, recall, and precision for both benign and malignant classes.</t>
  </si>
  <si>
    <t xml:space="preserve">The data used in this research are publicly available at: https://web.inf.ufpr.br/vri/databases/breast-cancer-histopathological-database-breakhis/ (accessed on 12 January 2025).</t>
  </si>
  <si>
    <t xml:space="preserve">PMC12399013</t>
  </si>
  <si>
    <t xml:space="preserve">MSFE-GallNet-X: a multi-scale feature extraction-based CNN Model for gallbladder disease analysis with enhanced explainability</t>
  </si>
  <si>
    <t xml:space="preserve">We developed a convolutional neural network-based architecture that automatically learns multi-scale features from a dataset comprising 10,692 high-resolution ultrasound images from 1,782 patients, covering nine gallbladder disease classes, including gallstones, cholecystitis, and carcinoma.</t>
  </si>
  <si>
    <t xml:space="preserve">Table 3 presents the distribution of images across the training, testing, and validation sets (80:10:10) for each class, ensuring a balanced dataset for effective model training and evaluation.</t>
  </si>
  <si>
    <t xml:space="preserve">DenseNet121 achieved approximately 92.78% training accuracy and 91.76% validation accuracy, indicating solid performance but some limitations in generalization.</t>
  </si>
  <si>
    <t xml:space="preserve">This dataset is publicly available here: https://data.mendeley.com/datasets/r6h24d2d3y/2.</t>
  </si>
  <si>
    <t xml:space="preserve">PMC12387618</t>
  </si>
  <si>
    <t xml:space="preserve">ODDM: Integration of SMOTE Tomek with Deep Learning on Imbalanced Color Fundus Images for Classification of Several Ocular Diseases</t>
  </si>
  <si>
    <t xml:space="preserve">A total of 2572 images, including 273 CFIs of AMD, 318 CFIs of DR, 270 CFIs of MAC, 368 CFIs of NPDR, 576 CFIs of NOR, 404 CFIs of PDR, and 363 CFIs of GLU, were used to evaluate the proposed ODDM to classify these diseases.</t>
  </si>
  <si>
    <t xml:space="preserve">The OD dataset was divided into 4-fold cross-validation sets for training, validation, and testing.</t>
  </si>
  <si>
    <t xml:space="preserve">From Table 7, it is observed that the proposed ODDM with SM-TOM achieves the highest classification accuracy of 97.19% (95% CI (Confidence Interval): 95.50–98.80%), precision of 95.23%, recall of 88.74%, F1-score of 88.31%, and AUC of 98.94%.</t>
  </si>
  <si>
    <t xml:space="preserve">The original contributions presented in this study are included in the article. Further inquiries can be directed to the corresponding authors.</t>
  </si>
  <si>
    <t xml:space="preserve">PMC12155400</t>
  </si>
  <si>
    <t xml:space="preserve">An Information-Extreme Algorithm for Universal Nuclear Feature-Driven Automated Classification of Breast Cancer Cells</t>
  </si>
  <si>
    <t xml:space="preserve">This study included 30 cases of invasive breast cancer of no special type (NST) (group 1) and 16 cases of benign breast tumors (BBTs) as a control group (group 2).</t>
  </si>
  <si>
    <t xml:space="preserve">All metrics were calculated using an independent test set of labeled cell images to ensure an unbiased evaluation of the classifier’s diagnostic accuracy and reliability.</t>
  </si>
  <si>
    <t xml:space="preserve">In Figure 6, the accuracy is 89%, the precision is 85%, and the recall is 84%.</t>
  </si>
  <si>
    <t xml:space="preserve">Data are available within this article.</t>
  </si>
  <si>
    <t xml:space="preserve">PMC12349148</t>
  </si>
  <si>
    <t xml:space="preserve">Segmentation-Assisted Fusion-Based Classification for Automated CXR Image Analysis</t>
  </si>
  <si>
    <t xml:space="preserve">This dataset was collected from the tuberculosis (TB) control program of the Department of Health and Human Services (HHS) in Montgomery County (MC), Maryland, USA. As shown in Table 1, the Montgomery County Dataset comprises 138 images in total.</t>
  </si>
  <si>
    <t xml:space="preserve">These were partitioned into training and test sets at an 8:2 ratio, resulting in 111 images for training and 27 images for testing.</t>
  </si>
  <si>
    <t xml:space="preserve">On the MC dataset, our model achieves the highest levels of ACC at 0.9894, DICE at 0.9786, recall at 0.9768, and JS at 0.9582.</t>
  </si>
  <si>
    <t xml:space="preserve">We clarify that our research findings are based on the analysis of publicly available datasets: Montgomery County Dataset (MC) and Shenzhen Hospital Dataset (SH): https://www.kaggle.com/datasets/felipemeganha/chest-xray-masks-and-labels-images (accessed on 22 March 2025). Chest X-Ray Images for Pneumonia (CXIP): https://www.kaggle.com/datasets/paultimothymooney/chest-xray-pneumonia (accessed on 25 March 2025). COVIDx: https://www.kaggle.com/datasets/andyczhao/COVIDx-cxr2 (accessed on 25 March 2025).</t>
  </si>
  <si>
    <t xml:space="preserve">PMC11902609</t>
  </si>
  <si>
    <t xml:space="preserve">Automated Segmentation of Breast Cancer Focal Lesions on Ultrasound Images</t>
  </si>
  <si>
    <t xml:space="preserve">Images from different patients were used for model training and subsequent testing in the study. There is no overlap between the patient cases used for the training and testing sets.</t>
  </si>
  <si>
    <t xml:space="preserve">We selected 50 trees after using the cross-validation method, where the number of trees was gradually increased (20, 30, …, 100), and the model quality was assessed on validation data.</t>
  </si>
  <si>
    <t xml:space="preserve">Despite the possible differences in the textural features of the pathological lesions and the presence of various structures of normal tissue in each individual video, the detection accuracy of the pathological lesions remains high (88.34% for the first type of lesion, 90.00% for the second one, and 91.89% across all 52 videos).</t>
  </si>
  <si>
    <t xml:space="preserve">Data are contained within the article.</t>
  </si>
  <si>
    <t xml:space="preserve">PMC12070956</t>
  </si>
  <si>
    <t xml:space="preserve">Deep Learning-Based Classification of Canine Cataracts from Ocular B-Mode Ultrasound Images</t>
  </si>
  <si>
    <t xml:space="preserve">Animals : an open access journal from MDPI</t>
  </si>
  <si>
    <t xml:space="preserve">A total of 3155 ultrasound images were collected and categorized into four classes: No cataract, Cortical cataract, Mature cataract, and Hypermature cataract (Table 1).</t>
  </si>
  <si>
    <t xml:space="preserve">The dataset was stratified and randomly divided into training (80%), validation (10%), and test (10%) subsets to ensure that class distribution was preserved across all sets.</t>
  </si>
  <si>
    <t xml:space="preserve">Among the models, DenseNet-161 demonstrated the highest performance, achieving a test accuracy of 92.03% and an F1 score of 0.8744.</t>
  </si>
  <si>
    <t xml:space="preserve">The dataset used in this study was obtained from the AI-HUB platform (https://www.aihub.or.kr, accessed on 2 January 2025), which is supported by the Korean government. The data are publicly available for non-commercial research purposes through the AI-HUB portal.</t>
  </si>
  <si>
    <t xml:space="preserve">PMC7617223</t>
  </si>
  <si>
    <t xml:space="preserve">Qualitative American Heart Association plot of late gadolinium enhancement with mortality and ventricular arrhythmia prediction using artificial intelligence</t>
  </si>
  <si>
    <t xml:space="preserve">Journal of medical artificial intelligence</t>
  </si>
  <si>
    <t xml:space="preserve">The total number of cases included was 2,740, with 218 patients experiencing positive mortality events (8%).</t>
  </si>
  <si>
    <t xml:space="preserve"> The dataset was divided into training (70%), validation (15%), and test (15%) sets.</t>
  </si>
  <si>
    <t xml:space="preserve"> This study highlights the feasibility of AI-based image classification for LGE images based on AHA segmentation, with an average AUC reported at 64%.</t>
  </si>
  <si>
    <t xml:space="preserve">Available at https://jmai.amegroups.com/article/view/10.21037/jmai-24-94/dss</t>
  </si>
  <si>
    <t xml:space="preserve">PMC12179047</t>
  </si>
  <si>
    <t xml:space="preserve">Deep learning detects retropharyngeal edema on MRI in patients with acute neck infections</t>
  </si>
  <si>
    <t xml:space="preserve">European radiology experimental</t>
  </si>
  <si>
    <t xml:space="preserve">By considering all the slices between these two indexes as positive and the rest as negative, we obtained 2,704 positive slices and 8,493 negative slices from the 244 positive patients.</t>
  </si>
  <si>
    <t xml:space="preserve">The validation data was not used for any other purposes. Consequently, in each iteration, 20% of the total data was used for testing and, from the remaining 80% data, 70% (56% of the total data) was used for the actual training and 30% (24% of the total data) for validation.</t>
  </si>
  <si>
    <t xml:space="preserve">Data are given as mean ± standard deviation/median of the four evaluation metrics for the predicted classifications of the test set patients computed with our new algorithm, random forest, and support vector machine from the slice-wise predictions obtained with the proposed convolutional neural network with vertical reflection augmentation during the 30 iterations of the repeated five-fold cross-validation.</t>
  </si>
  <si>
    <t xml:space="preserve">The code is available at https://github.com/rklen/Rpe_project.</t>
  </si>
  <si>
    <t xml:space="preserve">Data cannot be publicly shared because of the national legislature’s on the privacy of patient data.</t>
  </si>
  <si>
    <t xml:space="preserve">PMC12436311</t>
  </si>
  <si>
    <t xml:space="preserve">Intelligent Alzheimer's diagnosis and disability assessment: robust medical imaging analysis using ensemble learning with ResNet-50 and EfficientNet-B3</t>
  </si>
  <si>
    <t xml:space="preserve">Due to the absence of patient identifiers, the split was performed at the image level, and this limitation is acknowledged as a potential source of correlation bias (23)</t>
  </si>
  <si>
    <t xml:space="preserve">The images were divided into training (80%), validation (10%), and testing (10%) subsets, corresponding to 27,188, 3,397, and 3,399 images, respectively.</t>
  </si>
  <si>
    <t xml:space="preserve">The ensemble model demonstrates reliable performance with an overall accuracy rating of 0.9932 which confirms its potential use for automated Alzheimer's disease detection.</t>
  </si>
  <si>
    <t xml:space="preserve">PMC12350125</t>
  </si>
  <si>
    <t xml:space="preserve">Contrast-enhanced CT-based deep learning model assists in preoperative risk classification of thymic epithelial tumors</t>
  </si>
  <si>
    <t xml:space="preserve">We conducted a retrospective study on 266 patients who had undergone surgical resection and were pathologically diagnosed with TETs from two different centers ( Supplementary Table S1 ), all of whom underwent contrast-enhanced chest CT ( Figure 1 ).</t>
  </si>
  <si>
    <t xml:space="preserve">To optimize model performance, we employed a grid search method to systematically explore the hyperparameter space.</t>
  </si>
  <si>
    <t xml:space="preserve">In the training set, the SVM model achieved an AUC of 0.928 (95% CI: 0.879-0.977), accuracy of 0.912, sensitivity of 0.910, specificity of 0.918, PPV of 0.963, NPV of 0.812, and F1 Score of 0.936.</t>
  </si>
  <si>
    <t xml:space="preserve">PMC12280904</t>
  </si>
  <si>
    <t xml:space="preserve">Development and validation of a deep learning-based pathomics signature for prognosis and chemotherapy benefits in colorectal cancer: a retrospective multicenter cohort study</t>
  </si>
  <si>
    <t xml:space="preserve">Frontiers in immunology</t>
  </si>
  <si>
    <t xml:space="preserve">However, utilizing our MIL deep learning model with a dataset consisting of 7.7 million patches extracted from WSIs of 883 patients, we are able to automatically adjust the contribution of each patch to the overall WSI-level prediction in a learnable manner by assigning higher weights to key patches.</t>
  </si>
  <si>
    <t xml:space="preserve">To enhance model generalization, various data augmentation strategies, such as flipping, mirroring, blurring, mild color perturbations, and progressive sprinkling, were randomly applied to the images in the validation and training sets.</t>
  </si>
  <si>
    <t xml:space="preserve">TNM, tumor-node-metastasis; VELI, venous emboli and/or lymphatic invasion; MSI, microsatellite instable; MSS, microsatellite stable; HR, hazard ratio; CI, confidence interval; #, P value for interaction analysis.The bold value means the P &lt; 0.05.</t>
  </si>
  <si>
    <t xml:space="preserve">PMC11950503</t>
  </si>
  <si>
    <t xml:space="preserve">A novel deep learning radiopathomics model for predicting carcinogenesis promotor cyclooxygenase-2 expression in common bile duct in children with pancreaticobiliary maljunction: a multicenter study</t>
  </si>
  <si>
    <t xml:space="preserve">A total of 219 pediatric patients with PBM from two centers between January 2016 and August 2023 were retrospectively collected.</t>
  </si>
  <si>
    <t xml:space="preserve">The patients from center I (n = 175) were randomly divided into a training set (n = 104; median age, 2.8 years, 75.0% females) and an internal test set (n = 71; median age, 2.2 years, 83.1% females) at a 6:4 ratio. The patients from center II (n = 44; median age, 3.4 years, 65.9% females) were included as an external test set.</t>
  </si>
  <si>
    <t xml:space="preserve">This approach attained AUC values of 0.710 (95% confidence interval (CI), 0.706–0.714) and 0.644 (95% CI, 0.636–0.652) in the internal and external test sets, respectively (Supplementary Result S2).</t>
  </si>
  <si>
    <t xml:space="preserve">The datasets analyzed during the current study are available from the corresponding author upon reasonable request.</t>
  </si>
  <si>
    <t xml:space="preserve">PMC11979982</t>
  </si>
  <si>
    <t xml:space="preserve">CNN-TumorNet: leveraging explainability in deep learning for precise brain tumor diagnosis on MRI images</t>
  </si>
  <si>
    <t xml:space="preserve">The brain tumor MRI dataset utilized in our research includes 7,023 MRI images, rigorously separated into 4 specific categories such as glioma (300 MRIs), meningioma (306 MRIs), pituitary tumor (300 MRIs), and no tumor (405 MRIs) (16).</t>
  </si>
  <si>
    <t xml:space="preserve">We chose this rate after evaluating model performance on the training and validation sets and observed that this rate helped the model generalize better without compromising its ability to learn the data effectively.</t>
  </si>
  <si>
    <t xml:space="preserve">Their methodology exceeded conventional manual detection techniques employed by clinical experts, with a remarkable 90% accuracy on the test set and 86% on the validation set.</t>
  </si>
  <si>
    <t xml:space="preserve">The original contributions presented in the study are included in the article/supplementary material. Further inquiries can be directed to the corresponding author.</t>
  </si>
  <si>
    <t xml:space="preserve">PMC11981170</t>
  </si>
  <si>
    <t xml:space="preserve">Deep neural network modeling for brain tumor classification using magnetic resonance spectroscopic imaging</t>
  </si>
  <si>
    <t xml:space="preserve">PLOS digital health</t>
  </si>
  <si>
    <t xml:space="preserve">rchibald J. and colleagues [23] obtained MRSI data from 15 healthy subjects using a 3 Tesla Philips (Achieva scanner, Best, the Netherlands). ||  Also, MR spectra were augmented with phase and intensity modulations. In total, we prepared about 20,000 augmented in vivo MR spectra for training and validation.</t>
  </si>
  <si>
    <t xml:space="preserve">we processed the test dataset and calculated the MSE to assess performance and monitor for overfitting.</t>
  </si>
  <si>
    <t xml:space="preserve">The generated spectra have a mean SSIM of 0.92 ± 0.01.</t>
  </si>
  <si>
    <t xml:space="preserve">Due to ethical and legal restrictions, as well as compliance with the European Union General Data Protection Regulation (GDPR), the dataset acquired and analyzed from St. Olav Hospital and NTNU cannot be made publicly available, as its release would compromise patient privacy. However, investigators may request access to this dataset by contacting Øivind Rognmo at St. Olav Hospital and the Faculty of Medicine and Health Sciences, NTNU, Trondheim.</t>
  </si>
  <si>
    <t xml:space="preserve">2 of 3 datrasets they use are public but 3rd one restricted. | checked C1</t>
  </si>
  <si>
    <t xml:space="preserve">PMC12295850</t>
  </si>
  <si>
    <t xml:space="preserve">KidneyNeXt: A Lightweight Convolutional Neural Network for Multi-Class Renal Tumor Classification in Computed Tomography Imaging</t>
  </si>
  <si>
    <t xml:space="preserve">A total of 1147 malignant images were included, with a mean patient age of 60.23 ± 7.95 years (range: 53–76). The benign group comprised 1919 images, with a mean age of 65.27 ± 5.22 years (range: 58–77).</t>
  </si>
  <si>
    <t xml:space="preserve">The dataset was split into 80% for training and 20% for testing, with 30% of the training data further allocated for validation.</t>
  </si>
  <si>
    <t xml:space="preserve">The overall accuracy of the model was calculated as 99.74%, while the macro-averaged recall, precision, and F1 score were 99.73%, 99.72%, and 99.74%, respectively.</t>
  </si>
  <si>
    <t xml:space="preserve">The dataset used current study available from the corresponding author on reasonable request.</t>
  </si>
  <si>
    <t xml:space="preserve">PMC12427627</t>
  </si>
  <si>
    <t xml:space="preserve">An Explainable Deep Learning Framework for Multimodal Autism Diagnosis Using XAI GAMI-Net and Hypernetworks</t>
  </si>
  <si>
    <t xml:space="preserve">BIDE-I comprises structural magnetic resonance imaging (sMRI) and comprehensive behavioral phenotypic information across 17 international research sites, aggregating data from 1112 subjects, including 573 neurotypical controls and 539 individuals diagnosed with Autism Spectrum Disorder (ASD).</t>
  </si>
  <si>
    <t xml:space="preserve">performance was monitored using accuracy, F1-score, and AUC on both the validation and test sets.</t>
  </si>
  <si>
    <t xml:space="preserve">As shown in Table 5, our full pipeline incorporating GAMI-Net, Hybrid CNN-GNN, Autoencoder Fusion, and HyperNetwork achieved the highest performance, with 99.4% accuracy, an AUC of 0.999, and an F1-score of 0.994.</t>
  </si>
  <si>
    <t xml:space="preserve">Data are openly available to the public on Abide; it is referenced within the main content.</t>
  </si>
  <si>
    <t xml:space="preserve">PMC12460420</t>
  </si>
  <si>
    <t xml:space="preserve">Diagnostic performance and generalizability of deep learning for multiple retinal diseases using bimodal imaging of fundus photography and optical coherence tomography</t>
  </si>
  <si>
    <t xml:space="preserve">Frontiers in cell and developmental biology</t>
  </si>
  <si>
    <t xml:space="preserve">This scanning pattern were used to create training dataset, validate dataset, and in-house test dataset 1 at the patient level, while ensuring the distribution manner of paired data was 8:1:1.</t>
  </si>
  <si>
    <t xml:space="preserve">Of these, 1,294 image pairs from PUMCH were allocated to the training, validation, test dataset 1, and test dataset 2.</t>
  </si>
  <si>
    <t xml:space="preserve">As detailed in Table 3, Fusion-MIL showed a higher overall AUC of 0.954 (95% CI 0.934–0.973) than CFP-MIL (AUC = 0.903, 95% CI 0.875–0.930, P &lt; 0.001) and OCT-MIL (AUC = 0.928, 95% CI 0.904–0.952, P = 0.012).</t>
  </si>
  <si>
    <t xml:space="preserve">The original contributions presented in the study are included in the article/Supplementary Material, further inquiries can be directed to the corresponding authors.</t>
  </si>
  <si>
    <t xml:space="preserve">PMC12142743</t>
  </si>
  <si>
    <t xml:space="preserve">Classification of non-small cell lung cancer by histologic subtype using deep learning in public and private data sets of computed tomography images</t>
  </si>
  <si>
    <t xml:space="preserve">Radiologia brasileira</t>
  </si>
  <si>
    <t xml:space="preserve">For training, 122 scans were selected from the TCIA data set and categorized as adenocarcinoma, SCC, or “not otherwise specified”. For external validation, we used 104 PET/CT scans from INCA patients diagnosed with NSCLC between 2016 and 2020. These scans averaged 600 slices each, from a Philips Gemini TF PET/CT scanner with standardized scanning protocols, with a tube voltage of 120 kVp, a tube current of 213 mAs, mediastinal window settings, and a slice thickness of 1 mm, without contrast.</t>
  </si>
  <si>
    <t xml:space="preserve">The process involved the following: fine-tuning training with 3,080 images from the INCA database and testing with 299 images from the TCIA database; validation using 2,981 images from the TCIA database; image preprocessing including centering, resizing to 112 × 112 pixels, and conversion to the red-green-blue color space; and data augmentation similar to what was used in the previous steps.</t>
  </si>
  <si>
    <t xml:space="preserve">For the test/validation image data set, the proposed DL model showed greater than 90% sensitivity and specificity for detecting both main histologic subtypes of NSCLC.</t>
  </si>
  <si>
    <t xml:space="preserve">For training, 122 scans were selected from the TCIA data set and categorized as adenocarcinoma, SCC, or “not otherwise specified”.</t>
  </si>
  <si>
    <t xml:space="preserve">PMC12052716</t>
  </si>
  <si>
    <t xml:space="preserve">AI-driven early diagnosis of specific mental disorders: a comprehensive study</t>
  </si>
  <si>
    <t xml:space="preserve">Cognitive neurodynamics</t>
  </si>
  <si>
    <t xml:space="preserve">fter these arrangements in the dataset, 9664 of the total 12,081 data were separated for training and 2417 for testing.</t>
  </si>
  <si>
    <t xml:space="preserve">After hyperparameter optimization, the biggest change was in SVM with a performance increase from 0.76 to 0.97 as shown in Table 3.</t>
  </si>
  <si>
    <t xml:space="preserve">After hyperparameter optimization, the biggest change was in SVM with a performance increase from 0.76 to 0.97 as shown in Table 3.</t>
  </si>
  <si>
    <t xml:space="preserve">PMC12264328</t>
  </si>
  <si>
    <t xml:space="preserve">The impact of uncertainty estimation on radiomic segmentation reproducibility and scan–rescan repeatability in kidney MRI</t>
  </si>
  <si>
    <t xml:space="preserve">Medical physics</t>
  </si>
  <si>
    <t xml:space="preserve">The dataset was split into training and test sets, ensuring that the division was stratified by patient.</t>
  </si>
  <si>
    <t xml:space="preserve">Hyperparameter tuning was performed, and the optimal configuration was chosen to minimize the loss on the validation set.</t>
  </si>
  <si>
    <t xml:space="preserve">The uncertainty‐based approaches showed a discriminatory power comparable to the GT approach, and slightly higher than DP model (AUC = 0.9616, 0.9984, 0.9936, and 0.9632 for MCD, TTA, MCDPLUS, and TTAPLUS, respectively, with respect to AUC = 0.9984 for GT and AUC = 0.976 for DP).</t>
  </si>
  <si>
    <t xml:space="preserve">The code is publicly available at https://zenodo.org/records/15188948.</t>
  </si>
  <si>
    <t xml:space="preserve">The dataset used in this study included T2‐weighted kidney MRI coronal scans of 60 subjects obtained from a public repository.</t>
  </si>
  <si>
    <t xml:space="preserve">PMC12310693</t>
  </si>
  <si>
    <t xml:space="preserve">Deep learning-based classification of multiple fundus diseases using ultra-widefield images</t>
  </si>
  <si>
    <t xml:space="preserve">The dataset of this study contains a total of 10,612 ultra-wide-angle fundus images, covering 16 different types of retinal images, which were divided into a training set (6,980 images), a validation set (1,820 images), and an external test set (1,812 images).</t>
  </si>
  <si>
    <t xml:space="preserve">The dataset was randomly partitioned into training (80%) and validation (20%) sets. An additional external test set was compiled from UWF images obtained from the Seventh Affiliated Hospital, Sun Yat-sen University during the same period.</t>
  </si>
  <si>
    <t xml:space="preserve">RVO | 0.993 (0.986–1.000)</t>
  </si>
  <si>
    <t xml:space="preserve">PMC11817112</t>
  </si>
  <si>
    <t xml:space="preserve">Enhanced Multi-Model Deep Learning for Rapid and Precise Diagnosis of Pulmonary Diseases Using Chest X-Ray Imaging</t>
  </si>
  <si>
    <t xml:space="preserve">We collected 1456 images from publicly available datasets, ensuring an equal distribution of cases across the three categories: influenza, pneumonia, and tuberculosis.</t>
  </si>
  <si>
    <t xml:space="preserve">Our evaluation strategy comprised a 70/30 training/testing split, enhanced by k-fold cross-validation (k = 5) to ensure the reliability of our results.</t>
  </si>
  <si>
    <t xml:space="preserve">The experimental results on the original dataset showed that VGG19 achieved the highest overall accuracy rate of 94.23% among the models.</t>
  </si>
  <si>
    <t xml:space="preserve">We collected data from two different sources, specifically from publicly available datasets on Kaggle https://www.kaggle.com/datasets/amanullahasraf/covid19-pneumonia-normal-chest-xray-pa-dataset?datasetId=772726 (accessed on 25 February 2022), https://www.kaggle.com/datasets/usmanshams/tbx-11 (accessed on 12 March 2022).</t>
  </si>
  <si>
    <t xml:space="preserve">PMC12316994</t>
  </si>
  <si>
    <t xml:space="preserve">Transparent brain tumor detection using DenseNet169 and LIME</t>
  </si>
  <si>
    <t xml:space="preserve">Initially, all input images undergo a structured preprocessing phase involving resizing to 224 inline image 224 pixels, normalization to a [0–1] intensity range, and application of data augmentation techniques such as random rotation (±15°), horizontal flipping, and zoom (±10%), which enhances generalization.</t>
  </si>
  <si>
    <t xml:space="preserve">the images are split into 80% training set and 20% testing set || Early Stopping: Patience = 5, monitor = val_loss</t>
  </si>
  <si>
    <t xml:space="preserve">The model achieved a mean accuracy of 98.41% ± 0.32</t>
  </si>
  <si>
    <t xml:space="preserve">The model was trained and evaluated on the publicly available Brain Tumor MRI Dataset containing 2,870 images spanning three tumor types.</t>
  </si>
  <si>
    <t xml:space="preserve">PMC11987621</t>
  </si>
  <si>
    <t xml:space="preserve">Enhanced Macular Telangiectasia Type 2 Detection: Leveraging Self-Supervised Learning and Ensemble Models</t>
  </si>
  <si>
    <t xml:space="preserve">We use datasets obtained using a Spectralis OCT device, collected through the MacTel Project Natural History and Observation Registry Study,13 which includes 2636 OCT scans from 780 MacTel patients and 131 non-MacTel patients.</t>
  </si>
  <si>
    <t xml:space="preserve">We randomly divided the dataset into training, validation, and test sets, with an 80:10:10 ratio.</t>
  </si>
  <si>
    <t xml:space="preserve">The ensemble model M that was trained with 10% labeled data demonstrates a level of performance (AUROC 0.972 [95% confidence interval (CI), 0.971–0.973], AUPRC 0.967 [95% CI, 0.965–0.969], accuracy 0.917, sensitivity 0.905, and specificity 0.925) comparable to that achieved by human experts ensemble (AUROC 0.977 [95% CI, 0.975–0.978], AUPRC 0.987 [95% CI, 0.986–0.987], accuracy 0.968, sensitivity 0.929, and specificity 1)</t>
  </si>
  <si>
    <t xml:space="preserve">PMC12440165</t>
  </si>
  <si>
    <t xml:space="preserve">Enhanced gallbladder cancer detection via active and self-supervised learning integration: Innovating B-ultrasound image analysis</t>
  </si>
  <si>
    <t xml:space="preserve">To ensure generalization to unseen patients, during cross-validation, all images from any particular patient appear exclusively in either the training or validation set.</t>
  </si>
  <si>
    <t xml:space="preserve">Specifically, it attains an accuracy of 0.884  ±  0.038 (95% CI: 0.857–0.911), outperforming all other methods with statistically significant differences (all p&lt;0.05).</t>
  </si>
  <si>
    <t xml:space="preserve">All GBCU files are available from the GBCU database (https://gbc-iitd.github.io/data/gbcu).</t>
  </si>
  <si>
    <t xml:space="preserve">PMC12733862</t>
  </si>
  <si>
    <t xml:space="preserve">Application of Generative Adversarial Networks to Improve COVID-19 Classification on Ultrasound Images</t>
  </si>
  <si>
    <t xml:space="preserve">A total of 3191 images were extracted (1191 for COVID-19, 708 for bacterial pneumonia, and 1292 for regular/healthy). For training and evaluation, the data were partitioned using stratified 10-fold cross-validation at the patient level, ensuring that no patient appeared in more than one fold.</t>
  </si>
  <si>
    <t xml:space="preserve">As shown in Figure 7, both the GAN and the classifier used the same training, validation, and test partitions, preventing data leakage when training the classifier with synthetic data.</t>
  </si>
  <si>
    <t xml:space="preserve">When the same classifier was trained without patient-level partitioning, performance levels aligned closely with those reported in [21] (Accuracy: 99.06% ± 0.4%, COVID-19 Sensitivity: 0.99 ± 0.01, COVID-19 Specificity: 0.99 ± 0.02).</t>
  </si>
  <si>
    <t xml:space="preserve">The code developed can be accessed in https://github.com/pedrosergiot/gan_covid_repo</t>
  </si>
  <si>
    <t xml:space="preserve">The data presented in this study are available in Born et al. [19], and can be openly accessed in https://github.com/jannisborn/covid19_ultrasound (accessed on 22 November 2025).</t>
  </si>
  <si>
    <t xml:space="preserve">PMC12227691</t>
  </si>
  <si>
    <t xml:space="preserve">CNN based method for classifying cervical cancer cells in pap smear images</t>
  </si>
  <si>
    <t xml:space="preserve">4049 single-cell images were cropped by32 from 966 cervical tissue images taken from Pap smear slides.</t>
  </si>
  <si>
    <t xml:space="preserve">The NumPy library (version 1.22.4) supported efficient numerical computations and was used to convert image files into arrays and split the dataset into training, validation, and testing subsets.</t>
  </si>
  <si>
    <t xml:space="preserve">he Xception model shows the highest performance with 52.28% accuracy and 63.16% precision, which is low when compared with the results in Table 11.</t>
  </si>
  <si>
    <t xml:space="preserve">The datasets used and/or analysed during the current study-including the Herlev dataset, SIPaKMeD-FCI, and SIPaKMeD-WSI-are publicly available in https://www.kaggle.com/datasets/bornarado/papsmeardatasets (last accessed: April 23, 2023).</t>
  </si>
  <si>
    <t xml:space="preserve">PMC12193078</t>
  </si>
  <si>
    <t xml:space="preserve">Improved swin transformer-based thorax disease classification with optimal feature selection using chest X-ray</t>
  </si>
  <si>
    <t xml:space="preserve">Dataset 1 contains a total of 8,274 chest X-ray images in 1024 × 1024 PNG format, covering 14 disease classes: Atelectasis, Cardiomegaly, Effusion, Infiltration, Mass, Nodule, Pneumonia, Pneumothorax, Consolidation, Edema, Emphysema, Fibrosis, Pleural Thickening, and Hernia. Each image is accompanied by rich metadata (from Data_Entry_2017.csv) including patient age, gender, view position, and more.</t>
  </si>
  <si>
    <t xml:space="preserve">The analysis is devised for various training and testing percentages and the outcome derived by the testing is presented in this section.</t>
  </si>
  <si>
    <t xml:space="preserve">With values ranging from 0.878 at 50% training to 0.964 at 90%, the suggested model achieves the highest accuracy and routinely outperforms alternative approaches.</t>
  </si>
  <si>
    <t xml:space="preserve">The raw image dataset used in this study is publicly available on: https://www.kaggle.com/code/anmolkamoji/lung-disease-detection/input. https://www.kaggle.com/datasets/aryashetty29/fibrosis All relevant data supporting the findings of this study are included within the manuscript.</t>
  </si>
  <si>
    <t xml:space="preserve">PMC12499557</t>
  </si>
  <si>
    <t xml:space="preserve">A novel deep learning framework for automatic scoring of PD-L1 expression in non-small cell lung cancer</t>
  </si>
  <si>
    <t xml:space="preserve">Biomolecules &amp; biomedicine</t>
  </si>
  <si>
    <t xml:space="preserve">The first dataset was designed to facilitate the classification of each patch based on the presence of tumor tissue, while the second was intended for segmenting regions into positive and negative tumor areas.</t>
  </si>
  <si>
    <t xml:space="preserve">In this approach, performance evaluation is conducted on the entire dataset, with each fold used as the test set once, while the remaining folds are used for training and validation.</t>
  </si>
  <si>
    <t xml:space="preserve">EfficientNet displayed consistent performance across tumor and non-tumor classes, achieving an overall accuracy of 97.5%</t>
  </si>
  <si>
    <t xml:space="preserve">The processed dataset used in this study can be made available upon a reasonable request to the corresponding author.</t>
  </si>
  <si>
    <t xml:space="preserve">PMC12332990</t>
  </si>
  <si>
    <t xml:space="preserve">Automatic recognition of adrenal incidentalomas using a two-stage cascade network: a multicenter study</t>
  </si>
  <si>
    <t xml:space="preserve">Annals of medicine</t>
  </si>
  <si>
    <t xml:space="preserve">a total of 443 nonenhanced CT images belonging to 443 patients were ultimately obtained (20,446 slices).</t>
  </si>
  <si>
    <t xml:space="preserve">The performance of various machine learning models was compared using the validation set (Figure 4A), and the random forest model exhibited the highest AUC</t>
  </si>
  <si>
    <t xml:space="preserve">In terms of the whole image, the 3D Res-Unet network achieved a higher DSC and IOU of 85.94 ± 5.74% and 75.75 ± 8.19%, respectively, while the 3D Unet network achieved lower values of 82.42 ± 8.14% and 70.82 ± 10.53%, respectively.</t>
  </si>
  <si>
    <t xml:space="preserve">The program code built in Python in this study is available on github (https://github.com/XieXiao1997/AIsRecognizedTCN).</t>
  </si>
  <si>
    <t xml:space="preserve">Due to ethical review and data confidentiality restrictions, data from this study cannot be shared except for the sample data provided in the github web. The sample data may not be used in other studies without a written request and permission from the corresponding author.</t>
  </si>
  <si>
    <t xml:space="preserve">PMC12580201</t>
  </si>
  <si>
    <t xml:space="preserve">WOAENet: a whale optimization-guided ensemble deep learning with soft voting for uterine cancer diagnosis based on MRI images</t>
  </si>
  <si>
    <t xml:space="preserve">To prevent data leakage and ensure generalizability, the data splitting was performed at the patient level.</t>
  </si>
  <si>
    <t xml:space="preserve">To evaluate and validate the proposed methodology, the dataset was divided into three groups: 10% for testing, 10% for validation, and 80% for training.</t>
  </si>
  <si>
    <t xml:space="preserve">The model’s actual accuracy is likely to lie within the range provided by the 95% confidence interval, which shows the statistical performance of a particular model in each row, along with the 95% confidence interval, the accuracy difference from WOAENet, and the total accuracy percentage. </t>
  </si>
  <si>
    <t xml:space="preserve">PMC11898657</t>
  </si>
  <si>
    <t xml:space="preserve">A novel framework for the automated characterization of Gram-stained blood culture slides using a large-scale vision transformer</t>
  </si>
  <si>
    <t xml:space="preserve">Journal of clinical microbiology</t>
  </si>
  <si>
    <t xml:space="preserve">Slides were prepared from patient samples reported positive for potential bacterial growth by the BD BACTEC Blood Culture System (Becton, Dickinson, and Company, Franklin Lakes, NJ).</t>
  </si>
  <si>
    <t xml:space="preserve">In each iteration of fivefold cross-validation, 60% of the data were used for training, with 20% used for validation and 20% used for testing.</t>
  </si>
  <si>
    <t xml:space="preserve">Our model achieves a classification accuracy of 0.858 (95% CI: 0.805, 0.905) and an area under the receiver operating characteristic curve (AUC) of 0.952 (95% CI: 0.922, 0.976) using fivefold nested cross-validation on our 475-slide data set, demonstrating the potential of large-scale transformer models for Gram stain classification.</t>
  </si>
  <si>
    <t xml:space="preserve">The code for GramViT is available at: https://github.com/BMIRDS/GramViT.</t>
  </si>
  <si>
    <t xml:space="preserve">The second external data set is a publicly available test set comprising 1,000 small image crops collected at Medical Faculty Mannheim, Heidelberg University (MHU), from sepsis patients between 2015 and 2019</t>
  </si>
  <si>
    <t xml:space="preserve">PMC11983456</t>
  </si>
  <si>
    <t xml:space="preserve">Preliminary exploratory study on differential diagnosis between benign and malignant peripheral lung tumors: based on deep learning networks</t>
  </si>
  <si>
    <t xml:space="preserve">This retrospective study collected data from 513 patients with peripheral lung tumors detected via chest CT across two centers between March 2020 and March 2024.</t>
  </si>
  <si>
    <t xml:space="preserve">The dataset was divided into a training set (n = 296) and a test set (n = 75) in an 8:2 ratio for further analysis and model evaluation.</t>
  </si>
  <si>
    <t xml:space="preserve">95%CI | 0.823,0.906 | 0.725,0.919</t>
  </si>
  <si>
    <t xml:space="preserve">The datasets presented in this article are not readily available. Requests to access the datasets should be directed to Yuan Wang, moc.361@77819592381yw.</t>
  </si>
  <si>
    <t xml:space="preserve">PMC12467694</t>
  </si>
  <si>
    <t xml:space="preserve">Machine and Deep Learning on Radiomic Features from Contrast-Enhanced Mammography and Dynamic Contrast-Enhanced Magnetic Resonance Imaging for Breast Cancer Characterization</t>
  </si>
  <si>
    <t xml:space="preserve">PMC12119131</t>
  </si>
  <si>
    <t xml:space="preserve">AutoRadAI: a versatile artificial intelligence framework validated for detecting extracapsular extension in prostate cancer</t>
  </si>
  <si>
    <t xml:space="preserve">Biology methods &amp; protocols</t>
  </si>
  <si>
    <t xml:space="preserve">PMC11933192</t>
  </si>
  <si>
    <t xml:space="preserve">Automatic mandibular third molar and mandibular canal relationship determination based on deep learning models for preoperative risk reduction</t>
  </si>
  <si>
    <t xml:space="preserve">Clinical oral investigations</t>
  </si>
  <si>
    <t xml:space="preserve">PMC12189867</t>
  </si>
  <si>
    <t xml:space="preserve">An Innovative Artificial Intelligence Classification Model for Non-Ischemic Cardiomyopathy Utilizing Cardiac Biomechanics Derived from Magnetic Resonance Imaging</t>
  </si>
  <si>
    <t xml:space="preserve">PMC12404480</t>
  </si>
  <si>
    <t xml:space="preserve">Deep learning detection of retinal detachment: Optical coherence tomography staging and estimation of duration of macular detachment</t>
  </si>
  <si>
    <t xml:space="preserve">PMC12239351</t>
  </si>
  <si>
    <t xml:space="preserve">Development of a deep learning-based MRI diagnostic model for human Brucella spondylitis</t>
  </si>
  <si>
    <t xml:space="preserve">Biomedical engineering online</t>
  </si>
  <si>
    <t xml:space="preserve">PMC12471856</t>
  </si>
  <si>
    <t xml:space="preserve">HIRD-Net: An Explainable CNN-Based Framework with Attention Mechanism for Diabetic Retinopathy Diagnosis Using CLAHE-D-DoG Enhanced Fundus Images</t>
  </si>
  <si>
    <t xml:space="preserve">PMC12213050</t>
  </si>
  <si>
    <t xml:space="preserve">A Deep Convolutional Neural Network Model for Lung Disease Detection Using Chest X-Ray Imaging</t>
  </si>
  <si>
    <t xml:space="preserve">Pulmonary medicine</t>
  </si>
  <si>
    <t xml:space="preserve">PMC11999632</t>
  </si>
  <si>
    <t xml:space="preserve">Retinal fundus imaging-based diabetic retinopathy classification using transfer learning and fennec fox optimization</t>
  </si>
  <si>
    <t xml:space="preserve">MethodsX</t>
  </si>
  <si>
    <t xml:space="preserve">PMC12388561</t>
  </si>
  <si>
    <t xml:space="preserve">A Web-Deployed, Explainable AI System for Comprehensive Brain Tumor Diagnosis</t>
  </si>
  <si>
    <t xml:space="preserve">Neurology international</t>
  </si>
  <si>
    <t xml:space="preserve">PMC12190387</t>
  </si>
  <si>
    <t xml:space="preserve">Fine-tuned deep transfer learning: an effective strategy for the accurate chronic kidney disease classification</t>
  </si>
  <si>
    <t xml:space="preserve">PeerJ. Computer science</t>
  </si>
  <si>
    <t xml:space="preserve">PMC12489083</t>
  </si>
  <si>
    <t xml:space="preserve">High-resolution conditional MR image synthesis through the PACGAN framework</t>
  </si>
  <si>
    <t xml:space="preserve">PMC12620616</t>
  </si>
  <si>
    <t xml:space="preserve">Predicting alcohol use disorder risk in firefighters using a multimodal deep learning model: a cross-sectional study</t>
  </si>
  <si>
    <t xml:space="preserve">Frontiers in psychiatry</t>
  </si>
  <si>
    <t xml:space="preserve">PMC12234637</t>
  </si>
  <si>
    <t xml:space="preserve">Artificial intelligence-based prediction of organ involvement in Sjogren’s syndrome using labial gland biopsy whole-slide images</t>
  </si>
  <si>
    <t xml:space="preserve">Clinical rheumatology</t>
  </si>
  <si>
    <t xml:space="preserve">PMC12290913</t>
  </si>
  <si>
    <t xml:space="preserve">MRI-based Alzheimer’s disease classification using Vision Transformer and time-series transformer: A step-by-step guide</t>
  </si>
  <si>
    <t xml:space="preserve">Software impacts</t>
  </si>
  <si>
    <t xml:space="preserve">PMC11898873</t>
  </si>
  <si>
    <t xml:space="preserve">Enhancing Lymph Node Metastasis Risk Prediction in Early Gastric Cancer Through the Integration of Endoscopic Images and Real-World Data in a Multimodal AI Model</t>
  </si>
  <si>
    <t xml:space="preserve">PMC12564389</t>
  </si>
  <si>
    <t xml:space="preserve">Transformer-Based Deep Learning for Preoperative Prediction of Microvascular Invasion in Hepatocellular Carcinoma</t>
  </si>
  <si>
    <t xml:space="preserve">PMC11667687</t>
  </si>
  <si>
    <t xml:space="preserve">Deep learning-based classification of breast cancer molecular subtypes from H&amp;E whole-slide images</t>
  </si>
  <si>
    <t xml:space="preserve">Journal of pathology informatics</t>
  </si>
  <si>
    <t xml:space="preserve">PMC12212108</t>
  </si>
  <si>
    <t xml:space="preserve">An explainable-by-design end-to-end AI framework based on prototypical part learning for lesion detection and classification in Digital Breast Tomosynthesis images</t>
  </si>
  <si>
    <t xml:space="preserve">Computational and structural biotechnology journal</t>
  </si>
  <si>
    <t xml:space="preserve">PMC12610522</t>
  </si>
  <si>
    <t xml:space="preserve">Automated Multi-Class Classification of Retinal Pathologies: A Deep Learning Approach to Unified Ophthalmic Screening</t>
  </si>
  <si>
    <t xml:space="preserve">PMC12563722</t>
  </si>
  <si>
    <t xml:space="preserve">A Priori Prediction of Neoadjuvant Chemotherapy Response in Breast Cancer Using Deep Features from Pre-Treatment MRI and CT</t>
  </si>
  <si>
    <t xml:space="preserve">PMC12605480</t>
  </si>
  <si>
    <t xml:space="preserve">Unlocking the potential of radiomics in identifying fibrosing and inflammatory patterns in interstitial lung disease</t>
  </si>
  <si>
    <t xml:space="preserve">La Radiologia medica</t>
  </si>
  <si>
    <t xml:space="preserve">PMC12092319</t>
  </si>
  <si>
    <t xml:space="preserve">Cerebral ischemia detection using deep learning techniques</t>
  </si>
  <si>
    <t xml:space="preserve">Health information science and systems</t>
  </si>
  <si>
    <t xml:space="preserve">PMC11774367</t>
  </si>
  <si>
    <t xml:space="preserve">Identification of diabetic retinopathy lesions in fundus images by integrating CNN and vision mamba models</t>
  </si>
  <si>
    <t xml:space="preserve">PMC12027922</t>
  </si>
  <si>
    <t xml:space="preserve">Comparing Auto-Machine Learning and Expert-Designed Models in Diagnosing Vitreomacular Interface Disorders</t>
  </si>
  <si>
    <t xml:space="preserve">PMC12383659</t>
  </si>
  <si>
    <t xml:space="preserve">Deep Learning for Comprehensive Analysis of Retinal Fundus Images: Detection of Systemic and Ocular Conditions</t>
  </si>
  <si>
    <t xml:space="preserve">PMC12603675</t>
  </si>
  <si>
    <t xml:space="preserve">An Artificial Intelligence System for Staging the Spheno‐Occipital Synchondrosis</t>
  </si>
  <si>
    <t xml:space="preserve">Orthodontics &amp; craniofacial research</t>
  </si>
  <si>
    <t xml:space="preserve">PMC12552472</t>
  </si>
  <si>
    <t xml:space="preserve">Multi-institutional validation of AI models for classifying urothelial neoplasms in digital pathology</t>
  </si>
  <si>
    <t xml:space="preserve">PMC12148044</t>
  </si>
  <si>
    <t xml:space="preserve">AI-powered remote monitoring of brain responses to clear and incomprehensible speech via speckle pattern analysis</t>
  </si>
  <si>
    <t xml:space="preserve">Journal of biomedical optics</t>
  </si>
  <si>
    <t xml:space="preserve">PMC12606778</t>
  </si>
  <si>
    <t xml:space="preserve">OTC-NET: A Multimodal Method for Accurate Diagnosis of Ovarian Cancer in O-RADS Category 4 Masses</t>
  </si>
  <si>
    <t xml:space="preserve">PMC11968703</t>
  </si>
  <si>
    <t xml:space="preserve">An imaging and genetic-based deep learning network for Alzheimer's disease diagnosis</t>
  </si>
  <si>
    <t xml:space="preserve">Frontiers in aging neuroscience</t>
  </si>
  <si>
    <t xml:space="preserve">article type 'methods-article'</t>
  </si>
  <si>
    <t xml:space="preserve">PMC12467930</t>
  </si>
  <si>
    <t xml:space="preserve">From Anatomy to Genomics Using a Multi-Task Deep Learning Approach for Comprehensive Glioma Profiling</t>
  </si>
  <si>
    <t xml:space="preserve">PMC13223431</t>
  </si>
  <si>
    <t xml:space="preserve">Fine-grained Prototype Network for MRI Sequence Classification</t>
  </si>
  <si>
    <t xml:space="preserve">Current medical imaging</t>
  </si>
  <si>
    <t xml:space="preserve">PMC12513637</t>
  </si>
  <si>
    <t xml:space="preserve">Advanced deep learning-based brain tumor classification using a novel customized CNN and optimized residual network</t>
  </si>
  <si>
    <t xml:space="preserve">PMC12687559</t>
  </si>
  <si>
    <t xml:space="preserve">Multi-model deep learning for dementia detection: addressing data and model limitations</t>
  </si>
  <si>
    <t xml:space="preserve">PMC12316318</t>
  </si>
  <si>
    <t xml:space="preserve">A comparative study of machine learning models for automated detection and classification of retinal diseases in Ghana</t>
  </si>
  <si>
    <t xml:space="preserve">PMC12353728</t>
  </si>
  <si>
    <t xml:space="preserve">Enhancing head and neck cancer detection accuracy in digitized whole-slide histology with the HNSC-classifier: a deep learning approach</t>
  </si>
  <si>
    <t xml:space="preserve">Frontiers in molecular biosciences</t>
  </si>
  <si>
    <t xml:space="preserve">PMC12485631</t>
  </si>
  <si>
    <t xml:space="preserve">A deep learning approach for brain tumour classification and detection in MRI images using YOLOv7</t>
  </si>
  <si>
    <t xml:space="preserve">PMC11999846</t>
  </si>
  <si>
    <t xml:space="preserve">Construction of the preoperative staging prediction model for cervical cancer based on deep learning and MRI: a retrospective study</t>
  </si>
  <si>
    <t xml:space="preserve">PMC12396830</t>
  </si>
  <si>
    <t xml:space="preserve">Deep Learning Radiomics Model Based on Computed Tomography Image for Predicting the Classification of Osteoporotic Vertebral Fractures: Algorithm Development and Validation</t>
  </si>
  <si>
    <t xml:space="preserve">JMIR medical informatics</t>
  </si>
  <si>
    <t xml:space="preserve">PMC12689593</t>
  </si>
  <si>
    <t xml:space="preserve">Quantum AI for psychiatric diagnosis: enhancing dementia classification with quantum machine learning</t>
  </si>
  <si>
    <t xml:space="preserve">PMC12345889</t>
  </si>
  <si>
    <t xml:space="preserve">Deep Learning-Based Differentiation of Vertebral Body Lesions on Magnetic Resonance Imaging</t>
  </si>
  <si>
    <t xml:space="preserve">PMC12737021</t>
  </si>
  <si>
    <t xml:space="preserve">Clinically Focused Computer-Aided Diagnosis for Breast Cancer Using SE and CBAM with Multi-Head Attention</t>
  </si>
  <si>
    <t xml:space="preserve">Tomography (Ann Arbor, Mich.)</t>
  </si>
  <si>
    <t xml:space="preserve">PMC12387165</t>
  </si>
  <si>
    <t xml:space="preserve">Comparison Between the Human-Sourced Ellipsoid Method and Kidney Volumetry Using Artificial Intelligence in Polycystic Kidney Disease</t>
  </si>
  <si>
    <t xml:space="preserve">Journal of personalized medicine</t>
  </si>
  <si>
    <t xml:space="preserve">PMC12143801</t>
  </si>
  <si>
    <t xml:space="preserve">Automatic quantification of left atrium volume for cardiac rhythm analysis leveraging 3D residual UNet for time-varying segmentation of ECG-gated CT</t>
  </si>
  <si>
    <t xml:space="preserve">PMC12564920</t>
  </si>
  <si>
    <t xml:space="preserve">An Explainable Web-Based Diagnostic System for Alzheimer’s Disease Using XRAI and Deep Learning on Brain MRI</t>
  </si>
  <si>
    <t xml:space="preserve">PMC12845566</t>
  </si>
  <si>
    <t xml:space="preserve">Detection and Classification of Alzheimer’s Disease Using Deep and Machine Learning</t>
  </si>
  <si>
    <t xml:space="preserve">PMC11766424</t>
  </si>
  <si>
    <t xml:space="preserve">A New Deep Learning-Based Method for Automated Identification of Thoracic Lymph Node Stations in Endobronchial Ultrasound (EBUS): A Proof-of-Concept Study</t>
  </si>
  <si>
    <t xml:space="preserve">PMC12143367</t>
  </si>
  <si>
    <t xml:space="preserve">Deep Learning Reveals Liver MRI Features Associated With PNPLA3 I148M in Steatotic Liver Disease</t>
  </si>
  <si>
    <t xml:space="preserve">Liver international : official journal of the International Association for the Study of the Liver</t>
  </si>
  <si>
    <t xml:space="preserve">PMC12189467</t>
  </si>
  <si>
    <t xml:space="preserve">Deep-Learning-Based Computer-Aided Grading of Cervical Spinal Stenosis from MR Images: Accuracy and Clinical Alignment</t>
  </si>
  <si>
    <t xml:space="preserve">PMC12295020</t>
  </si>
  <si>
    <t xml:space="preserve">Development of Deep Learning Models for Real-Time Thoracic Ultrasound Image Interpretation</t>
  </si>
  <si>
    <t xml:space="preserve">PMC12249172</t>
  </si>
  <si>
    <t xml:space="preserve">CELM: An Ensemble Deep Learning Model for Early Cardiomegaly Diagnosis in Chest Radiography</t>
  </si>
  <si>
    <t xml:space="preserve">PMC12572571</t>
  </si>
  <si>
    <t xml:space="preserve">Deep Convolutional Neural Networks on Multiclass Classification of Three-Dimensional Brain Images for Parkinson’s Disease Stage Prediction</t>
  </si>
  <si>
    <t xml:space="preserve">PMC12322712</t>
  </si>
  <si>
    <t xml:space="preserve">Deep Learning Can be Used to Classify the Disease Status of the Canine Middle Ear From Computed Tomographic Images</t>
  </si>
  <si>
    <t xml:space="preserve">Veterinary radiology &amp; ultrasound : the official journal of the American College of Veterinary Radiology and the International Veterinary Radiology Association</t>
  </si>
  <si>
    <t xml:space="preserve">PMC11856240</t>
  </si>
  <si>
    <t xml:space="preserve">Artificial Intelligence in the Surgery-First Approach: Harnessing Deep Learning for Enhanced Condylar Reshaping Analysis: A Retrospective Study</t>
  </si>
  <si>
    <t xml:space="preserve">PMC12669110</t>
  </si>
  <si>
    <t xml:space="preserve">Predicting cardiovascular disease risk using retinal optical coherence tomography imaging</t>
  </si>
  <si>
    <t xml:space="preserve">PMC12152023</t>
  </si>
  <si>
    <t xml:space="preserve">Artificial intelligence and endoanal ultrasound: pioneering automated differentiation of benign anal and sphincter lesions</t>
  </si>
  <si>
    <t xml:space="preserve">Techniques in coloproctology</t>
  </si>
  <si>
    <t xml:space="preserve">PMC12444220</t>
  </si>
  <si>
    <t xml:space="preserve">Interpretable Artificial Intelligence Analysis of Functional Magnetic Resonance Imaging for Migraine Classification: Quantitative Study</t>
  </si>
  <si>
    <t xml:space="preserve">PMC12190310</t>
  </si>
  <si>
    <t xml:space="preserve">Prediction of Alzheimer’s Disease Based on Multi-Modal Domain Adaptation</t>
  </si>
  <si>
    <t xml:space="preserve">PMC12063467</t>
  </si>
  <si>
    <t xml:space="preserve">Hierarchical diagnosis of breast phyllodes tumors enabled by deep learning of ultrasound images: a retrospective multi-center study</t>
  </si>
  <si>
    <t xml:space="preserve">PMC12346750</t>
  </si>
  <si>
    <t xml:space="preserve">Assessing ResNeXt and RegNet Models for Diabetic Retinopathy Classification: A Comprehensive Comparative Study</t>
  </si>
  <si>
    <t xml:space="preserve">PMC12565449</t>
  </si>
  <si>
    <t xml:space="preserve">Lung Nodule Malignancy Classification Integrating Deep and Radiomic Features in a Three-Way Attention-Based Fusion Module</t>
  </si>
  <si>
    <t xml:space="preserve">PMC12886037</t>
  </si>
  <si>
    <t xml:space="preserve">Predicting the growth of asymptomatic small abdominal aortic aneurysms (AAA) based on deep learning</t>
  </si>
  <si>
    <t xml:space="preserve">PMC12218925</t>
  </si>
  <si>
    <t xml:space="preserve">A hybrid compound scaling hypergraph neural network for robust cervical cancer subtype classification using whole slide cytology images</t>
  </si>
  <si>
    <t xml:space="preserve">PMC12454447</t>
  </si>
  <si>
    <t xml:space="preserve">Intervertebral disc anomaly intelligent classification system based on deep learning, IDAICS</t>
  </si>
  <si>
    <t xml:space="preserve">PMC12165889</t>
  </si>
  <si>
    <t xml:space="preserve">Malignancy risk stratification for pulmonary nodules: comparing a deep learning approach to multiparametric statistical models in different disease groups</t>
  </si>
  <si>
    <t xml:space="preserve">PMC11988322</t>
  </si>
  <si>
    <t xml:space="preserve">A Distillation Approach to Transformer-Based Medical Image Classification with Limited Data</t>
  </si>
  <si>
    <t xml:space="preserve">PMC12405214</t>
  </si>
  <si>
    <t xml:space="preserve">A novel MRI-based deep learning–radiomics framework for evaluating cerebrospinal fluid signal in central nervous system infection</t>
  </si>
  <si>
    <t xml:space="preserve">PMC12157125</t>
  </si>
  <si>
    <t xml:space="preserve">Improving lung cancer diagnosis and survival prediction with deep learning and CT imaging</t>
  </si>
  <si>
    <t xml:space="preserve">PMC12162252</t>
  </si>
  <si>
    <t xml:space="preserve">Graph-based analysis of histopathological images for lung cancer classification using GLCM features and enhanced graph</t>
  </si>
  <si>
    <t xml:space="preserve">PMC12572109</t>
  </si>
  <si>
    <t xml:space="preserve">A deep learning approach to predict temporal changes of subdural hemorrhage on computed tomography</t>
  </si>
  <si>
    <t xml:space="preserve">PMC11763917</t>
  </si>
  <si>
    <t xml:space="preserve">Explainable Self-Supervised Dynamic Neuroimaging Using Time Reversal</t>
  </si>
  <si>
    <t xml:space="preserve">PMC11695392</t>
  </si>
  <si>
    <t xml:space="preserve">Deep learning approaches for the detection of scar presence from cine cardiac magnetic resonance adding derived parametric images</t>
  </si>
  <si>
    <t xml:space="preserve">Medical &amp; biological engineering &amp; computing</t>
  </si>
  <si>
    <t xml:space="preserve">PMC12346189</t>
  </si>
  <si>
    <t xml:space="preserve">Role of Feature Diversity in the Performance of Hybrid Models—An Investigation of Brain Tumor Classification from Brain MRI Scans</t>
  </si>
  <si>
    <t xml:space="preserve">PMC12336342</t>
  </si>
  <si>
    <t xml:space="preserve">Improving early detection of Alzheimer’s disease through MRI slice selection and deep learning techniques</t>
  </si>
  <si>
    <t xml:space="preserve">PMC11866614</t>
  </si>
  <si>
    <t xml:space="preserve">Using deep learning to differentiate among histology renal tumor types in computed tomography scans</t>
  </si>
  <si>
    <t xml:space="preserve">PMC12066621</t>
  </si>
  <si>
    <t xml:space="preserve">MRI-based deep learning with clinical and imaging features to differentiate medulloblastoma and ependymoma in children</t>
  </si>
  <si>
    <t xml:space="preserve">PMC11999292</t>
  </si>
  <si>
    <t xml:space="preserve">Grey wolf optimization technique with U-shaped and capsule networks-A novel framework for glaucoma diagnosis</t>
  </si>
  <si>
    <t xml:space="preserve">PMC13105305</t>
  </si>
  <si>
    <t xml:space="preserve">A Machine Learning Approach to Quantitative Analysis of Enamel Microstructure from Scanning Electron Microscopy Images</t>
  </si>
  <si>
    <t xml:space="preserve">Small structures</t>
  </si>
  <si>
    <t xml:space="preserve">PMC11950469</t>
  </si>
  <si>
    <t xml:space="preserve">Feature-Based vs. Deep-Learning Fusion Methods for the In Vivo Detection of Radiation Dermatitis Using Optical Coherence Tomography, a Feasibility Study</t>
  </si>
  <si>
    <t xml:space="preserve">PMC11835854</t>
  </si>
  <si>
    <t xml:space="preserve">Deep learning in gonarthrosis classification: a comparative study of model architectures and single vs. multi-model methods</t>
  </si>
  <si>
    <t xml:space="preserve">PMC11944010</t>
  </si>
  <si>
    <t xml:space="preserve">Brain Tumor Detection and Prediction in MRI Images Utilizing a Fine-Tuned Transfer Learning Model Integrated Within Deep Learning Frameworks</t>
  </si>
  <si>
    <t xml:space="preserve">PMC12650808</t>
  </si>
  <si>
    <t xml:space="preserve">Multi-Task Deep Learning on MRI for Tumor Segmentation and Treatment Response Prediction in an Experimental Model of Hepatocellular Carcinoma</t>
  </si>
  <si>
    <t xml:space="preserve">PMC12647221</t>
  </si>
  <si>
    <t xml:space="preserve">An artificial intelligence model of whole-slide pathology specimens differentiating cutaneous high-grade squamous proliferations</t>
  </si>
  <si>
    <t xml:space="preserve">Virchows Archiv : an international journal of pathology</t>
  </si>
  <si>
    <t xml:space="preserve">PMC12283581</t>
  </si>
  <si>
    <t xml:space="preserve">Integrating pathomics and deep learning for subtyping uveal melanoma: identifying high-risk immune infiltration profiles</t>
  </si>
  <si>
    <t xml:space="preserve">PMC12036548</t>
  </si>
  <si>
    <t xml:space="preserve">Improved Alzheimer Disease Diagnosis With a Machine Learning Approach and Neuroimaging: Case Study Development</t>
  </si>
  <si>
    <t xml:space="preserve">JMIRx med</t>
  </si>
  <si>
    <t xml:space="preserve">PMC12329014</t>
  </si>
  <si>
    <t xml:space="preserve">Development of a deep learning based approach for multi-material decomposition in spectral CT: a proof of principle in silico study</t>
  </si>
  <si>
    <t xml:space="preserve">PMC12021809</t>
  </si>
  <si>
    <t xml:space="preserve">Synthetic fibrosis distributions for data augmentation in predicting atrial fibrillation ablation outcomes: an in silico study</t>
  </si>
  <si>
    <t xml:space="preserve">Frontiers in cardiovascular medicine</t>
  </si>
  <si>
    <t xml:space="preserve">PMC12685141</t>
  </si>
  <si>
    <t xml:space="preserve">Dimeric gold nanoparticles enable multiplexed labeling in cryoelectron tomography</t>
  </si>
  <si>
    <t xml:space="preserve">Proceedings of the National Academy of Sciences of the United States of America</t>
  </si>
  <si>
    <t xml:space="preserve">PMC12646915</t>
  </si>
  <si>
    <t xml:space="preserve">Precise diagnosis of pediatric posterior cranial fossa neoplasms based on 2.5D MRI deep learning</t>
  </si>
  <si>
    <t xml:space="preserve">PMC12691013</t>
  </si>
  <si>
    <t xml:space="preserve">ConvNeXt-Driven Detection of Alzheimer’s Disease: A Benchmark Study on Expert-Annotated AlzaSet MRI Dataset Across Anatomical Planes</t>
  </si>
  <si>
    <t xml:space="preserve">PMC11761908</t>
  </si>
  <si>
    <t xml:space="preserve">LightweightUNet: Multimodal Deep Learning with GAN-Augmented Imaging Data for Efficient Breast Cancer Detection</t>
  </si>
  <si>
    <t xml:space="preserve">PMC12405520</t>
  </si>
  <si>
    <t xml:space="preserve">Pancancer outcome prediction via a unified weakly supervised deep learning model</t>
  </si>
  <si>
    <t xml:space="preserve">Signal transduction and targeted therapy</t>
  </si>
  <si>
    <t xml:space="preserve">PMC11902864</t>
  </si>
  <si>
    <t xml:space="preserve">MRI-Based Meningioma Firmness Classification Using an Adversarial Feature Learning Approach</t>
  </si>
  <si>
    <t xml:space="preserve">PMC12153998</t>
  </si>
  <si>
    <t xml:space="preserve">A Hybrid Model of Feature Extraction and Dimensionality Reduction Using ViT, PCA, and Random Forest for Multi-Classification of Brain Cancer</t>
  </si>
  <si>
    <t xml:space="preserve">PMC12085623</t>
  </si>
  <si>
    <t xml:space="preserve">A self-supervised multimodal deep learning approach to differentiate post-radiotherapy progression from pseudoprogression in glioblastoma</t>
  </si>
  <si>
    <t xml:space="preserve">PMC12861897</t>
  </si>
  <si>
    <t xml:space="preserve">Lesion detection using artificial intelligence models in MR images of prostate cancer and prostatitis patients and comparison of model performance</t>
  </si>
  <si>
    <t xml:space="preserve">Frontiers in urology</t>
  </si>
  <si>
    <t xml:space="preserve">PMC12862074</t>
  </si>
  <si>
    <t xml:space="preserve">Development and independent validation of explainable radiomics-based machine learning models for prognosis in colorectal liver metastases</t>
  </si>
  <si>
    <t xml:space="preserve">PMC11763248</t>
  </si>
  <si>
    <t xml:space="preserve">Biomarker Investigation Using Multiple Brain Measures from MRI Through Explainable Artificial Intelligence in Alzheimer’s Disease Classification</t>
  </si>
  <si>
    <t xml:space="preserve">PMC12733839</t>
  </si>
  <si>
    <t xml:space="preserve">Optimized Hounsfield Units Transformation for Explainable Temporal Stage-Specific Ischemic Stroke Classification in CT Imaging</t>
  </si>
  <si>
    <t xml:space="preserve">PMC12686508</t>
  </si>
  <si>
    <t xml:space="preserve">Intelligent retinal disease detection using deep learning</t>
  </si>
  <si>
    <t xml:space="preserve">PMC12148559</t>
  </si>
  <si>
    <t xml:space="preserve">Detecting wing fractures in chickens using deep learning, photographs and computed tomography scanning☆</t>
  </si>
  <si>
    <t xml:space="preserve">Poultry science</t>
  </si>
  <si>
    <t xml:space="preserve">PMC12817460</t>
  </si>
  <si>
    <t xml:space="preserve">Standardizing DICOM annotation: deep learning enhances body part description in X-ray image retrieval for clinical research</t>
  </si>
  <si>
    <t xml:space="preserve">PMC12189345</t>
  </si>
  <si>
    <t xml:space="preserve">A Novel Machine Learning Model for the Automated Diagnosis of Nasal Pathology in Canine Patients</t>
  </si>
  <si>
    <t xml:space="preserve">PMC11974447</t>
  </si>
  <si>
    <t xml:space="preserve">TractCloud‐FOV: Deep Learning‐Based Robust Tractography Parcellation in Diffusion MRI With Incomplete Field of View</t>
  </si>
  <si>
    <t xml:space="preserve">Human brain mapping</t>
  </si>
  <si>
    <t xml:space="preserve">PMC13223442</t>
  </si>
  <si>
    <t xml:space="preserve">Multi-scale based Network and Adaptive EfficientnetB7 with ASPP: Analysis of Novel Brain Tumor Segmentation and Classification</t>
  </si>
  <si>
    <t xml:space="preserve">PMC12460464</t>
  </si>
  <si>
    <t xml:space="preserve">VAE deep learning model with domain adaptation, transfer learning and harmonization for diagnostic classification from multi-site neuroimaging data</t>
  </si>
  <si>
    <t xml:space="preserve">PMC12229398</t>
  </si>
  <si>
    <t xml:space="preserve">Efficient sparse-view medical image classification for low radiation and rapid COVID-19 diagnosis</t>
  </si>
  <si>
    <t xml:space="preserve">Biomedical engineering letters</t>
  </si>
  <si>
    <t xml:space="preserve">PMC12249270</t>
  </si>
  <si>
    <t xml:space="preserve">Fusion-Based Deep Learning Approach for Renal Cell Carcinoma Subtype Detection Using Multi-Phasic MRI Data</t>
  </si>
  <si>
    <t xml:space="preserve">PMC12358265</t>
  </si>
  <si>
    <t xml:space="preserve">Glaucoma detection in myopic eyes using deep learning autoencoder-based regions of interest</t>
  </si>
  <si>
    <t xml:space="preserve">Frontiers in ophthalmology</t>
  </si>
  <si>
    <t xml:space="preserve">PMC11936934</t>
  </si>
  <si>
    <t xml:space="preserve">InGSA: integrating generalized self-attention in CNN for Alzheimer's disease classification</t>
  </si>
  <si>
    <t xml:space="preserve">PMC11852629</t>
  </si>
  <si>
    <t xml:space="preserve">Streamlit Application and Deep Learning Model for Brain Metastasis Monitoring After Gamma Knife Treatment</t>
  </si>
  <si>
    <t xml:space="preserve">Biomedicines</t>
  </si>
  <si>
    <t xml:space="preserve">PMC12812965</t>
  </si>
  <si>
    <t xml:space="preserve">MDL-CA: a multimodal deep learning approach with a cross attention mechanism for accurate brain cancer diagnosis</t>
  </si>
  <si>
    <t xml:space="preserve">Frontiers in public health</t>
  </si>
  <si>
    <t xml:space="preserve">PMC12293373</t>
  </si>
  <si>
    <t xml:space="preserve">Exploration of 3D Few-Shot Learning Techniques for Classification of Knee Joint Injuries on MR Images</t>
  </si>
  <si>
    <t xml:space="preserve">PMC12085910</t>
  </si>
  <si>
    <t xml:space="preserve">Artificial Intelligence as a Screening Tool for MRI Evaluation of Normal and Abnormal Medial Meniscus</t>
  </si>
  <si>
    <t xml:space="preserve">PMC12833296</t>
  </si>
  <si>
    <t xml:space="preserve">Hybrid deep learning and feature optimization approach for early detection of multiple sclerosis</t>
  </si>
  <si>
    <t xml:space="preserve">Frontiers in human neuroscience</t>
  </si>
  <si>
    <t xml:space="preserve">PMC12286415</t>
  </si>
  <si>
    <t xml:space="preserve">Predicting the Recurrence of Sporadic Odontogenic Keratocyst Using Whole‐Slide Histopathology Images With the Hybrid Encoder Iterative Attention Convolution Model</t>
  </si>
  <si>
    <t xml:space="preserve">Clinical and experimental dental research</t>
  </si>
  <si>
    <t xml:space="preserve">PMC11816878</t>
  </si>
  <si>
    <t xml:space="preserve">Alzheimer’s Prediction Methods with Harris Hawks Optimization (HHO) and Deep Learning-Based Approach Using an MLP-LSTM Hybrid Network</t>
  </si>
  <si>
    <t xml:space="preserve">PMC12409722</t>
  </si>
  <si>
    <t xml:space="preserve">Prediction of bone oligometastases in breast cancer using models based on deep learning radiomics of PET/CT imaging</t>
  </si>
  <si>
    <t xml:space="preserve">PMC11852041</t>
  </si>
  <si>
    <t xml:space="preserve">Deep Learning-Assisted Diagnostic System: Apices and Odontogenic Sinus Floor Level Analysis in Dental Panoramic Radiographs</t>
  </si>
  <si>
    <t xml:space="preserve">PMC12797949</t>
  </si>
  <si>
    <t xml:space="preserve">Transferable CNN-based data mining approaches for medical imaging: application to spine DXA scans for osteoporosis detection</t>
  </si>
  <si>
    <t xml:space="preserve">Frontiers in computational neuroscience</t>
  </si>
  <si>
    <t xml:space="preserve">PMC12436478</t>
  </si>
  <si>
    <t xml:space="preserve">Subclinical atrial fibrillation prediction based on deep learning and strain analysis using echocardiography</t>
  </si>
  <si>
    <t xml:space="preserve">PMC12722621</t>
  </si>
  <si>
    <t xml:space="preserve">Skull-stripping induces shortcut learning in MRI-based Alzheimer’s disease classification</t>
  </si>
  <si>
    <t xml:space="preserve">PMC11771893</t>
  </si>
  <si>
    <t xml:space="preserve">Classification of CT scan and X-ray dataset based on deep learning and particle swarm optimization</t>
  </si>
  <si>
    <t xml:space="preserve">PMC11729609</t>
  </si>
  <si>
    <t xml:space="preserve">Automatic segmentation model and machine learning model grounded in ultrasound radiomics for distinguishing between low malignant risk and intermediate-high malignant risk of adnexal masses</t>
  </si>
  <si>
    <t xml:space="preserve">PMC12734304</t>
  </si>
  <si>
    <t xml:space="preserve">Lightweight 3D CNN for MRI Analysis in Alzheimer’s Disease: Balancing Accuracy and Efficiency</t>
  </si>
  <si>
    <t xml:space="preserve">PMC12183800</t>
  </si>
  <si>
    <t xml:space="preserve">Quantitative and automatic plan-of-the-day assessment to facilitate adaptive radiotherapy in cervical cancer</t>
  </si>
  <si>
    <t xml:space="preserve">Physics in medicine and biology</t>
  </si>
  <si>
    <t xml:space="preserve">PMC12025211</t>
  </si>
  <si>
    <t xml:space="preserve">Optimization-Incorporated Deep Learning Strategy to Automate L3 Slice Detection and Abdominal Segmentation in Computed Tomography</t>
  </si>
  <si>
    <t xml:space="preserve">PMC12534675</t>
  </si>
  <si>
    <t xml:space="preserve">Predicting pathological subtypes of pure ground-glass nodules using Swin Transformer deep learning model</t>
  </si>
  <si>
    <t xml:space="preserve">PMC12711134</t>
  </si>
  <si>
    <t xml:space="preserve">Large Separable Kernel Attention–Driven Multidimensional Feature Cross-Level Fusion Classification Network of Knee Cartilage Injury: Algorithm Development and Validation</t>
  </si>
  <si>
    <t xml:space="preserve">PMC12855055</t>
  </si>
  <si>
    <t xml:space="preserve">Deep learning and radiomics-based system for early diagnosis of hip synovitis in juvenile idiopathic arthritis</t>
  </si>
  <si>
    <t xml:space="preserve">PMC12731630</t>
  </si>
  <si>
    <t xml:space="preserve">LivSCP: Improving Liver Fibrosis Classification Through Supervised Contrastive Pretraining</t>
  </si>
  <si>
    <t xml:space="preserve">PMC12491050</t>
  </si>
  <si>
    <t xml:space="preserve">Evaluation of recent lightweight deep learning architectures for lung cancer CT classification</t>
  </si>
  <si>
    <t xml:space="preserve">PMC11971367</t>
  </si>
  <si>
    <t xml:space="preserve">A fine-tuned convolutional neural network model for accurate Alzheimer’s disease classification</t>
  </si>
  <si>
    <t xml:space="preserve">PMC12387851</t>
  </si>
  <si>
    <t xml:space="preserve">From Detection to Diagnosis: An Advanced Transfer Learning Pipeline Using YOLO11 with Morphological Post-Processing for Brain Tumor Analysis for MRI Images</t>
  </si>
  <si>
    <t xml:space="preserve">PMC12699262</t>
  </si>
  <si>
    <t xml:space="preserve">PathoEye: A deep learning framework for the whole-slide image analysis of skin tissue</t>
  </si>
  <si>
    <t xml:space="preserve">PMC13223414</t>
  </si>
  <si>
    <t xml:space="preserve">Effective Feature Extraction for Knee Osteoarthritis Detection on X-ray Images using Convolutional Neural Networks</t>
  </si>
  <si>
    <t xml:space="preserve">PMC12523697</t>
  </si>
  <si>
    <t xml:space="preserve">Brain Stroke Classification Using CT Scans with Transformer-Based Models and Explainable AI</t>
  </si>
  <si>
    <t xml:space="preserve">PMC12745478</t>
  </si>
  <si>
    <t xml:space="preserve">Toward accurate Alzheimer’s detection: transfer learning with ResNet50 for MRI-based diagnosis</t>
  </si>
  <si>
    <t xml:space="preserve">PMC11929326</t>
  </si>
  <si>
    <t xml:space="preserve">Machine learning-based radiomics using MRI to differentiate early-stage Duchenne and Becker muscular dystrophy in children</t>
  </si>
  <si>
    <t xml:space="preserve">PMC11953181</t>
  </si>
  <si>
    <t xml:space="preserve">Feasibility of deep learning algorithm in diagnosing lumbar central canal stenosis using abdominal CT</t>
  </si>
  <si>
    <t xml:space="preserve">Skeletal radiology</t>
  </si>
  <si>
    <t xml:space="preserve">PMC12190484</t>
  </si>
  <si>
    <t xml:space="preserve">Coronary artery disease classification using ConvMixer based classifier from CT angiography images</t>
  </si>
  <si>
    <t xml:space="preserve">PMC12237964</t>
  </si>
  <si>
    <t xml:space="preserve">Accurate classification of benign and malignant breast tumors in ultrasound imaging with an enhanced deep learning model</t>
  </si>
  <si>
    <t xml:space="preserve">Frontiers in bioengineering and biotechnology</t>
  </si>
  <si>
    <t xml:space="preserve">PMC12271101</t>
  </si>
  <si>
    <t xml:space="preserve">Deep learning-based method for grading histopathological liver fibrosis in rodent models of metabolic dysfunction-associated steatohepatitis</t>
  </si>
  <si>
    <t xml:space="preserve">PMC11970440</t>
  </si>
  <si>
    <t xml:space="preserve">Employing Squeeze-and-Excitation Architecture in a Fine-Tuned Convolutional Neural Network for Magnetic Resonance Imaging Tumor Classification</t>
  </si>
  <si>
    <t xml:space="preserve">article type 'other'</t>
  </si>
  <si>
    <t xml:space="preserve">PMC11999707</t>
  </si>
  <si>
    <t xml:space="preserve">A comparative study of explainability methods for whole slide classification of lymph node metastases using vision transformers</t>
  </si>
  <si>
    <t xml:space="preserve">PMC12074408</t>
  </si>
  <si>
    <t xml:space="preserve">Multimodal MRI Image Fusion for Early Automatic Staging of Endometrial Cancer</t>
  </si>
  <si>
    <t xml:space="preserve">PMC12154171</t>
  </si>
  <si>
    <t xml:space="preserve">Optimizing CNN-Based Diagnosis of Knee Osteoarthritis: Enhancing Model Accuracy with CleanLab Relabeling</t>
  </si>
  <si>
    <t xml:space="preserve">PMC12204963</t>
  </si>
  <si>
    <t xml:space="preserve">A two-step automatic identification of contrast phases for abdominal CT images based on residual networks</t>
  </si>
  <si>
    <t xml:space="preserve">PMC12088959</t>
  </si>
  <si>
    <t xml:space="preserve">Leveraging spatial dependencies and multi-scale features for automated knee injury detection on MRI diagnosis</t>
  </si>
  <si>
    <t xml:space="preserve">PMC11719945</t>
  </si>
  <si>
    <t xml:space="preserve">Advanced Brain Tumor Classification in MR Images Using Transfer Learning and Pre-Trained Deep CNN Models</t>
  </si>
  <si>
    <t xml:space="preserve">PMC12280878</t>
  </si>
  <si>
    <t xml:space="preserve">OMT and tensor SVD–based deep learning model for segmentation and predicting genetic markers of glioma: A multicenter study</t>
  </si>
  <si>
    <t xml:space="preserve">PMC12074947</t>
  </si>
  <si>
    <t xml:space="preserve">Prediction of prognosis in acute ischemic stroke after mechanical thrombectomy based on multimodal MRI radiomics and deep learning</t>
  </si>
  <si>
    <t xml:space="preserve">PMC12516162</t>
  </si>
  <si>
    <t xml:space="preserve">Automated segmentation of multiple sclerosis lesions, paramagnetic rims, and central vein sign on MRI provides reliable diagnostic biomarkers</t>
  </si>
  <si>
    <t xml:space="preserve">Imaging neuroscience (Cambridge, Mass.)</t>
  </si>
  <si>
    <t xml:space="preserve">PMC12833394</t>
  </si>
  <si>
    <t xml:space="preserve">Enhanced multi-class object detector for bone fracture diagnosis with prescription recommendation</t>
  </si>
  <si>
    <t xml:space="preserve">PMC12245699</t>
  </si>
  <si>
    <t xml:space="preserve">Prostate cancer classification using 3D deep learning and ultrasound video clips: a multicenter study</t>
  </si>
  <si>
    <t xml:space="preserve">PMC12610351</t>
  </si>
  <si>
    <t xml:space="preserve">Automated Detection of Lumbosacral Transitional Vertebrae on Plain Lumbar Radiographs Using a Deep Learning Model</t>
  </si>
  <si>
    <t xml:space="preserve">PMC12691452</t>
  </si>
  <si>
    <t xml:space="preserve">A Robust Framework for Domain-Generalized Classification of Ovarian Cancer Histology Images</t>
  </si>
  <si>
    <t xml:space="preserve">PMC12594325</t>
  </si>
  <si>
    <t xml:space="preserve">Adaptive dual-window enhancement and multi-scale texture prior fusion for robust kidney CT classification</t>
  </si>
  <si>
    <t xml:space="preserve">PMC12565600</t>
  </si>
  <si>
    <t xml:space="preserve">An Adaptive Transfer Learning Framework for Multimodal Autism Spectrum Disorder Diagnosis</t>
  </si>
  <si>
    <t xml:space="preserve">PMC12658776</t>
  </si>
  <si>
    <t xml:space="preserve">Assessment of functional decline in stroke patients using 3D deep learning and dynamic functional connectivity based on resting-state fMRI</t>
  </si>
  <si>
    <t xml:space="preserve">PMC12141237</t>
  </si>
  <si>
    <t xml:space="preserve">Artificial intelligence based surgical support for experimental laparoscopic Nissen fundoplication</t>
  </si>
  <si>
    <t xml:space="preserve">Frontiers in pediatrics</t>
  </si>
  <si>
    <t xml:space="preserve">PMC12457126</t>
  </si>
  <si>
    <t xml:space="preserve">Development of a deep learning model for automated diagnosis of neuromuscular diseases using ultrasound imaging</t>
  </si>
  <si>
    <t xml:space="preserve">PMC12222156</t>
  </si>
  <si>
    <t xml:space="preserve">Transfer deep learning and explainable AI framework for brain tumor and Alzheimer's detection across multiple datasets</t>
  </si>
  <si>
    <t xml:space="preserve">PMC12141739</t>
  </si>
  <si>
    <t xml:space="preserve">A method for spatial interpretation of weakly supervised deep learning models in computational pathology</t>
  </si>
  <si>
    <t xml:space="preserve">PMC11941083</t>
  </si>
  <si>
    <t xml:space="preserve">A Novel Diagnostic Framework with an Optimized Ensemble of Vision Transformers and Convolutional Neural Networks for Enhanced Alzheimer’s Disease Detection in Medical Imaging</t>
  </si>
  <si>
    <t xml:space="preserve">PMC11922808</t>
  </si>
  <si>
    <t xml:space="preserve">Towards Clinical Diagnoses: Classifying Alzheimer's Disease Using Single fMRI, Small Datasets, and Transfer Learning</t>
  </si>
  <si>
    <t xml:space="preserve">Brain and behavior</t>
  </si>
  <si>
    <t xml:space="preserve">PMC12209302</t>
  </si>
  <si>
    <t xml:space="preserve">Comparative analysis of convolutional neural networks and transformer architectures for breast cancer histopathological image classification</t>
  </si>
  <si>
    <t xml:space="preserve">PMC12391760</t>
  </si>
  <si>
    <t xml:space="preserve">Automatic labels are as effective as manual labels in digital pathology images classification with deep learning</t>
  </si>
  <si>
    <t xml:space="preserve">PMC12511338</t>
  </si>
  <si>
    <t xml:space="preserve">A robust deep learning classifier for screening multiple retinal diseases on optical coherence tomography</t>
  </si>
  <si>
    <t xml:space="preserve">PMC11825062</t>
  </si>
  <si>
    <t xml:space="preserve">Diagnostic of fatty liver using radiomics and deep learning models on non-contrast abdominal CT</t>
  </si>
  <si>
    <t xml:space="preserve">PMC12310404</t>
  </si>
  <si>
    <t xml:space="preserve">Leveraging Transfer Learning and Attention Mechanisms for a Computed Tomography Lung Cancer Classification Model</t>
  </si>
  <si>
    <t xml:space="preserve">PMC12499545</t>
  </si>
  <si>
    <t xml:space="preserve">A deep learning model based on chest CT to predict benign and malignant breast masses and axillary lymph node metastasis</t>
  </si>
  <si>
    <t xml:space="preserve">PMC12434915</t>
  </si>
  <si>
    <t xml:space="preserve">Exploring deep learning and hybrid approaches in molecular subgrouping and prognostic-related genetic signatures of medulloblastoma</t>
  </si>
  <si>
    <t xml:space="preserve">Chinese neurosurgical journal</t>
  </si>
  <si>
    <t xml:space="preserve">PMC12565728</t>
  </si>
  <si>
    <t xml:space="preserve">SEPoolConvNeXt: A Deep Learning Framework for Automated Classification of Neonatal Brain Development Using T1- and T2-Weighted MRI</t>
  </si>
  <si>
    <t xml:space="preserve">PMC12024523</t>
  </si>
  <si>
    <t xml:space="preserve">Predicting the Evolution of Lung Squamous Cell Carcinoma In Situ Using Computational Pathology</t>
  </si>
  <si>
    <t xml:space="preserve">PMC12531632</t>
  </si>
  <si>
    <t xml:space="preserve">Explainable AI-enabled hybrid deep learning architecture for breast cancer detection</t>
  </si>
  <si>
    <t xml:space="preserve">PMC12524272</t>
  </si>
  <si>
    <t xml:space="preserve">Automatic Diagnosis, Classification, and Segmentation of Abdominal Aortic Aneurysm and Dissection from Computed Tomography Images</t>
  </si>
  <si>
    <t xml:space="preserve">PMC12521981</t>
  </si>
  <si>
    <t xml:space="preserve">Multi-phase deep learning model for automated disease classification from cardiac cine MRI</t>
  </si>
  <si>
    <t xml:space="preserve">Journal of the Royal Society, Interface</t>
  </si>
  <si>
    <t xml:space="preserve">PMC12385503</t>
  </si>
  <si>
    <t xml:space="preserve">An Explainable Approach to Parkinson’s Diagnosis Using the Contrastive Explanation Method—CEM</t>
  </si>
  <si>
    <t xml:space="preserve">PMC12559157</t>
  </si>
  <si>
    <t xml:space="preserve">Optimizing MRI sequence classification performance: insights from domain shift analysis</t>
  </si>
  <si>
    <t xml:space="preserve">PMC12832843</t>
  </si>
  <si>
    <t xml:space="preserve">Deep learning and machine learning integration of radiomics and transcriptomics predicts response-adapted radiotherapy outcome and radiosensitivity in resectable locally advanced laryngeal carcinoma</t>
  </si>
  <si>
    <t xml:space="preserve">PMC12468348</t>
  </si>
  <si>
    <t xml:space="preserve">A Multi-Model Image Enhancement and Tailored U-Net Architecture for Robust Diabetic Retinopathy Grading</t>
  </si>
  <si>
    <t xml:space="preserve">PMC12071678</t>
  </si>
  <si>
    <t xml:space="preserve">Explainable Artificial Intelligence for Diagnosis and Staging of Liver Cirrhosis Using Stacked Ensemble and Multi-Task Learning</t>
  </si>
  <si>
    <t xml:space="preserve">PMC11912691</t>
  </si>
  <si>
    <t xml:space="preserve">LI-RADS-based hepatocellular carcinoma risk mapping using contrast-enhanced MRI and self-configuring deep learning</t>
  </si>
  <si>
    <t xml:space="preserve">PMC12109275</t>
  </si>
  <si>
    <t xml:space="preserve">Automated Early-Stage Glaucoma Detection Using a Robust Concatenated AI Model</t>
  </si>
  <si>
    <t xml:space="preserve">PMC11724494</t>
  </si>
  <si>
    <t xml:space="preserve">Not seeing the trees for the forest. The impact of neighbours on graph-based configurations in histopathology</t>
  </si>
  <si>
    <t xml:space="preserve">BMC bioinformatics</t>
  </si>
  <si>
    <t xml:space="preserve">PMC13266693</t>
  </si>
  <si>
    <t xml:space="preserve">Enhanced Pneumonia Detection in Chest x-rays using Hybrid Convolutional and Vision Transformer Networks</t>
  </si>
  <si>
    <t xml:space="preserve">PMC12708528</t>
  </si>
  <si>
    <t xml:space="preserve">Anatomically refined entorhinal cortex segmentation improves MRI-based early diagnosis of Alzheimer’s disease</t>
  </si>
  <si>
    <t xml:space="preserve">PMC12307509</t>
  </si>
  <si>
    <t xml:space="preserve">Predictive study of machine learning combined with serum Neuregulin 4 levels for hyperthyroidism in type II diabetes mellitus</t>
  </si>
  <si>
    <t xml:space="preserve">PMC11857081</t>
  </si>
  <si>
    <t xml:space="preserve">Design of an Optimal Convolutional Neural Network Architecture for MRI Brain Tumor Classification by Exploiting Particle Swarm Optimization</t>
  </si>
  <si>
    <t xml:space="preserve">PMC12365901</t>
  </si>
  <si>
    <t xml:space="preserve">Bridging the clinical gap: Confidence informed IDH prediction in brain gliomas using MRI and deep learning</t>
  </si>
  <si>
    <t xml:space="preserve">Neuro-oncology advances</t>
  </si>
  <si>
    <t xml:space="preserve">PMC12072425</t>
  </si>
  <si>
    <t xml:space="preserve">Identifying Key Predictors of Sarcopenic Obesity in Italian Severely Obese Older Adults: Deep Learning Approach</t>
  </si>
  <si>
    <t xml:space="preserve">PMC13060574</t>
  </si>
  <si>
    <t xml:space="preserve">DSAM: A deep learning framework for analyzing temporal and spatial dynamics in brain networks</t>
  </si>
  <si>
    <t xml:space="preserve">Medical image analysis</t>
  </si>
  <si>
    <t xml:space="preserve">PMC12135985</t>
  </si>
  <si>
    <t xml:space="preserve">Prediction of the space group and cell volume by training a convolutional neural network with primitive ‘ideal’ diffraction profiles and its application to ‘real’ experimental data</t>
  </si>
  <si>
    <t xml:space="preserve">Journal of applied crystallography</t>
  </si>
  <si>
    <t xml:space="preserve">PMC12694168</t>
  </si>
  <si>
    <t xml:space="preserve">Few-Shot and Zero-Shot Learning for MRI Brain Tumor Classification Using CLIP and Vision Transformers</t>
  </si>
  <si>
    <t xml:space="preserve">PMC11841465</t>
  </si>
  <si>
    <t xml:space="preserve">A pelvis MR transformer-based deep learning model for predicting lung metastases risk in patients with rectal cancer</t>
  </si>
  <si>
    <t xml:space="preserve">PMC11903279</t>
  </si>
  <si>
    <t xml:space="preserve">Explainable AI in medical imaging: an interpretable and collaborative federated learning model for brain tumor classification</t>
  </si>
  <si>
    <t xml:space="preserve">PMC12025728</t>
  </si>
  <si>
    <t xml:space="preserve">FCN-PD: An Advanced Deep Learning Framework for Parkinson’s Disease Diagnosis Using MRI Data</t>
  </si>
  <si>
    <t xml:space="preserve">PMC12453851</t>
  </si>
  <si>
    <t xml:space="preserve">Optimizing a 3D convolutional neural network to detect Alzheimer’s disease based on MRI</t>
  </si>
  <si>
    <t xml:space="preserve">PMC11706309</t>
  </si>
  <si>
    <t xml:space="preserve">Deep Learning‐Enabled Automated Quality Control for Liver MR Elastography: Initial Results</t>
  </si>
  <si>
    <t xml:space="preserve">Journal of magnetic resonance imaging : JMRI</t>
  </si>
  <si>
    <t xml:space="preserve">PMC12798188</t>
  </si>
  <si>
    <t xml:space="preserve">The effect of weight loss on brain age in schizophrenia spectrum disorders</t>
  </si>
  <si>
    <t xml:space="preserve">PLOS mental health</t>
  </si>
  <si>
    <t xml:space="preserve">PMC12155752</t>
  </si>
  <si>
    <t xml:space="preserve">Automatic identification of Parkinsonism using clinical multi-contrast brain MRI: a large self-supervised vision foundation model strategy</t>
  </si>
  <si>
    <t xml:space="preserve">EBioMedicine</t>
  </si>
  <si>
    <t xml:space="preserve">PMC12364678</t>
  </si>
  <si>
    <t xml:space="preserve">Automated interpretation of PD-L1 CPS based on multi-AI models integration strategy in gastric cancer</t>
  </si>
  <si>
    <t xml:space="preserve">PMC12647217</t>
  </si>
  <si>
    <t xml:space="preserve">Dynamic graph-based quantum feature selection for accurate fetal plane classification in ultrasound imaging</t>
  </si>
  <si>
    <t xml:space="preserve">PMC12588513</t>
  </si>
  <si>
    <t xml:space="preserve">Interpretable weakly-supervised learning through kernel density matrices: A digital pathology use case</t>
  </si>
  <si>
    <t xml:space="preserve">PMC12680758</t>
  </si>
  <si>
    <t xml:space="preserve">Alzheimer disease predicting from clinical and MRI data using DeepALZNET dual pathway framework</t>
  </si>
  <si>
    <t xml:space="preserve">PMC12691229</t>
  </si>
  <si>
    <t xml:space="preserve">Multimodal Deep Learning-Based Classification of Breast Non-Mass Lesions Using Gray Scale and Color Doppler Ultrasound</t>
  </si>
  <si>
    <t xml:space="preserve">PMC12560293</t>
  </si>
  <si>
    <t xml:space="preserve">Automated FAZ segmentation and diabetic retinopathy classification using OCTA images</t>
  </si>
  <si>
    <t xml:space="preserve">BMC ophthalmology</t>
  </si>
  <si>
    <t xml:space="preserve">PMC12545830</t>
  </si>
  <si>
    <t xml:space="preserve">HER2-IHC-40x: A high-resolution histopathology dataset for HER2 IHC scoring in breast cancer</t>
  </si>
  <si>
    <t xml:space="preserve">Data in brief</t>
  </si>
  <si>
    <t xml:space="preserve">article type 'data-paper'</t>
  </si>
  <si>
    <t xml:space="preserve">PMC11898425</t>
  </si>
  <si>
    <t xml:space="preserve">Secure Hybrid Deep Learning for MRI-Based Brain Tumor Detection in Smart Medical IoT Systems</t>
  </si>
  <si>
    <t xml:space="preserve">PMC12686268</t>
  </si>
  <si>
    <t xml:space="preserve">Integrating CT-based radiomics and deep learning for invasive prediction of ground-glass nodules in lung adenocarcinoma: a multicohort study</t>
  </si>
  <si>
    <t xml:space="preserve">PMC12192951</t>
  </si>
  <si>
    <t xml:space="preserve">A novel brain tumor magnetic resonance imaging dataset (Gazi Brains 2020): initial benchmark results and comprehensive analysis</t>
  </si>
  <si>
    <t xml:space="preserve">PMC12651976</t>
  </si>
  <si>
    <t xml:space="preserve">Decision-Support for Restorative Dentistry: Hybrid Optimization Enhances Detection on Panoramic Radiographs</t>
  </si>
  <si>
    <t xml:space="preserve">Healthcare (Basel, Switzerland)</t>
  </si>
  <si>
    <t xml:space="preserve">PMC12729749</t>
  </si>
  <si>
    <t xml:space="preserve">Translational deep learning models for risk stratification to predict prognosis and immunotherapy response in gastric cancer using digital pathology</t>
  </si>
  <si>
    <t xml:space="preserve">Journal of translational medicine</t>
  </si>
  <si>
    <t xml:space="preserve">PMC12907448</t>
  </si>
  <si>
    <t xml:space="preserve">Graph-enhanced multimodal fusion of vascular biomarkers and deep features for diabetic retinopathy detection</t>
  </si>
  <si>
    <t xml:space="preserve">PMC12823827</t>
  </si>
  <si>
    <t xml:space="preserve">A dual-model AI framework for Alzheimer’s disease diagnosis using clinical and MRI data</t>
  </si>
  <si>
    <t xml:space="preserve">PMC12133262</t>
  </si>
  <si>
    <t xml:space="preserve">Predicting ustekinumab treatment response in Crohn’s disease using pre-treatment biopsy images</t>
  </si>
  <si>
    <t xml:space="preserve">Bioinformatics (Oxford, England)</t>
  </si>
  <si>
    <t xml:space="preserve">PMC12691961</t>
  </si>
  <si>
    <t xml:space="preserve">Evaluation of Model Performance and Clinical Usefulness in Automated Rectal Segmentation in CT for Prostate and Cervical Cancer</t>
  </si>
  <si>
    <t xml:space="preserve">PMC12454378</t>
  </si>
  <si>
    <t xml:space="preserve">An MRI based histogram oriented gradient and deep learning approach for accurate classification of mild cognitive impairment and Alzheimer’s disease</t>
  </si>
  <si>
    <t xml:space="preserve">PMC12733990</t>
  </si>
  <si>
    <t xml:space="preserve">DiagNeXt: A Two-Stage Attention-Guided ConvNeXt Framework for Kidney Pathology Segmentation and Classification</t>
  </si>
  <si>
    <t xml:space="preserve">PMC12518381</t>
  </si>
  <si>
    <t xml:space="preserve">Identifying visible tissue in intraoperative ultrasound: a method and application</t>
  </si>
  <si>
    <t xml:space="preserve">International journal of computer assisted radiology and surgery</t>
  </si>
  <si>
    <t xml:space="preserve">PMC12516016</t>
  </si>
  <si>
    <t xml:space="preserve">Automated Detection of Bone Fractures in Muscle X‐Ray Images Using Multiband‐Frequency Aware Deep Representation Learning</t>
  </si>
  <si>
    <t xml:space="preserve">Healthcare technology letters</t>
  </si>
  <si>
    <t xml:space="preserve">article type 'brief-report'</t>
  </si>
  <si>
    <t xml:space="preserve">PMC12808379</t>
  </si>
  <si>
    <t xml:space="preserve">A CT-based deep learning model to predict local recurrence-free survival in primary retroperitoneal sarcoma</t>
  </si>
  <si>
    <t xml:space="preserve">PMC12660356</t>
  </si>
  <si>
    <t xml:space="preserve">Feature fusion context attention gate UNet for detection of polycystic ovary syndrome</t>
  </si>
  <si>
    <t xml:space="preserve">PMC12564139</t>
  </si>
  <si>
    <t xml:space="preserve">Precision Through Detail: Radiomics and Windowing Techniques as Key for Detecting Dens Axis Fractures in CT Scans</t>
  </si>
  <si>
    <t xml:space="preserve">PMC12565242</t>
  </si>
  <si>
    <t xml:space="preserve">ILD-Slider: A Parameter-Efficient Model for Identifying Progressive Fibrosing Interstitial Lung Disease from Chest CT Slices</t>
  </si>
  <si>
    <t xml:space="preserve">PMC12629890</t>
  </si>
  <si>
    <t xml:space="preserve">Precise Electrode Co‐Alignment in Deep Brain Stimulation Fusing Neuroimaging and Electrophysiology</t>
  </si>
  <si>
    <t xml:space="preserve">The European journal of neuroscience</t>
  </si>
  <si>
    <t xml:space="preserve">PMC12847453</t>
  </si>
  <si>
    <t xml:space="preserve">Effective deep convolutional neural network with attention mechanism for Alzheimer disease classification</t>
  </si>
  <si>
    <t xml:space="preserve">PMC12664667</t>
  </si>
  <si>
    <t xml:space="preserve">Automated Technique for Brain Tumor Detection From Magnetic Resonance Imaging Based on Local Features, Ensemble Classification, and YOLOv3</t>
  </si>
  <si>
    <t xml:space="preserve">BioMed research international</t>
  </si>
  <si>
    <t xml:space="preserve">PMC11954740</t>
  </si>
  <si>
    <t xml:space="preserve">A deep-learning algorithm (AIFORIA) for classification of hematopoietic cells in bone marrow aspirate smears based on nine cell classes—a feasible approach for routine screening?</t>
  </si>
  <si>
    <t xml:space="preserve">Journal of hematopathology</t>
  </si>
  <si>
    <t xml:space="preserve">PMC12052540</t>
  </si>
  <si>
    <t xml:space="preserve">Enhanced breast cancer diagnosis using modified InceptionNet-V3: a deep learning approach for ultrasound image classification</t>
  </si>
  <si>
    <t xml:space="preserve">PMC13223436</t>
  </si>
  <si>
    <t xml:space="preserve">SqueezeViX-Net with SOAE: A Prevailing Deep Learning Framework for Accurate Pneumonia Classification using X-Ray and CT Imaging Modalities</t>
  </si>
  <si>
    <t xml:space="preserve">PMC12028011</t>
  </si>
  <si>
    <t xml:space="preserve">Assessing Cancer Presence in Prostate MRI Using Multi-Encoder Cross-Attention Networks</t>
  </si>
  <si>
    <t xml:space="preserve">PMC12383388</t>
  </si>
  <si>
    <t xml:space="preserve">Automated Mucormycosis Diagnosis from Paranasal CT Using ResNet50 and ConvNeXt Small</t>
  </si>
  <si>
    <t xml:space="preserve">PMC12546431</t>
  </si>
  <si>
    <t xml:space="preserve">Artificial intelligence for multi-time-point arterial phase contrast-enhanced MRI profiling to predict prognosis after transarterial chemoembolization in hepatocellular carcinoma</t>
  </si>
  <si>
    <t xml:space="preserve">PMC12565056</t>
  </si>
  <si>
    <t xml:space="preserve">An Automated Diagnosis of Myopia from an Optic Disc Image Using YOLOv11: A Feasible Approach for Non-Expert ECPs in Computer Vision</t>
  </si>
  <si>
    <t xml:space="preserve">PMC12171332</t>
  </si>
  <si>
    <t xml:space="preserve">Deep learning-based image classification for AI-assisted integration of pathology and radiology in medical imaging</t>
  </si>
  <si>
    <t xml:space="preserve">PMC12776568</t>
  </si>
  <si>
    <t xml:space="preserve">Accuracy and Reliability of Multimodal Imaging in Diagnosing Knee Sports Injuries</t>
  </si>
  <si>
    <t xml:space="preserve">PMC12024531</t>
  </si>
  <si>
    <t xml:space="preserve">A Lightweight Machine Learning Model for High Precision Gastrointestinal Stromal Tumors Identification</t>
  </si>
  <si>
    <t xml:space="preserve">PMC12675461</t>
  </si>
  <si>
    <t xml:space="preserve">XAI-BT-EdgeNet: explainable edge-aware deep learning with squeeze-and-excitation for brain tumor detection and prediction</t>
  </si>
  <si>
    <t xml:space="preserve">PMC12731716</t>
  </si>
  <si>
    <t xml:space="preserve">A Lightweight Hybrid Deep Learning Model for Tuberculosis Detection from Chest X-Rays</t>
  </si>
  <si>
    <t xml:space="preserve">PMC12528745</t>
  </si>
  <si>
    <t xml:space="preserve">Efficient hybrid fuzzy weighted 3D FCNN with TSO PSO optimization for accurate multi modal MRI brain tumor classification</t>
  </si>
  <si>
    <t xml:space="preserve">PMC12651589</t>
  </si>
  <si>
    <t xml:space="preserve">XBusNet: Text-Guided Breast Ultrasound Segmentation via Multimodal Vision–Language Learning</t>
  </si>
  <si>
    <t xml:space="preserve">PMC12177086</t>
  </si>
  <si>
    <t xml:space="preserve">Applying a multi-task and multi-instance framework to predict axillary lymph node metastases in breast cancer</t>
  </si>
  <si>
    <t xml:space="preserve">NPJ precision oncology</t>
  </si>
  <si>
    <t xml:space="preserve">PMC12642030</t>
  </si>
  <si>
    <t xml:space="preserve">MRI-based deep learning model for early TACE response prediction in HCC: multicenter validation with biological insights</t>
  </si>
  <si>
    <t xml:space="preserve">PMC11836373</t>
  </si>
  <si>
    <t xml:space="preserve">HDL-ACO hybrid deep learning and ant colony optimization for ocular optical coherence tomography image classification</t>
  </si>
  <si>
    <t xml:space="preserve">PMC12428199</t>
  </si>
  <si>
    <t xml:space="preserve">Multi-Class Classification of Breast Ultrasound Images Using Vision Transformer-Based Ensemble Learning</t>
  </si>
  <si>
    <t xml:space="preserve">PMC12333992</t>
  </si>
  <si>
    <t xml:space="preserve">Liver MRI proton density fat fraction inference from contrast enhanced CT images using deep learning: A proof-of-concept study</t>
  </si>
  <si>
    <t xml:space="preserve">PMC12835897</t>
  </si>
  <si>
    <t xml:space="preserve">Deep learning for multitask prediction on thyroid nodule frozen sections</t>
  </si>
  <si>
    <t xml:space="preserve">PMC12708817</t>
  </si>
  <si>
    <t xml:space="preserve">Garden classification of femoral neck fracture using deep-learning algorithm</t>
  </si>
  <si>
    <t xml:space="preserve">PMC11868628</t>
  </si>
  <si>
    <t xml:space="preserve">A hybrid multi model artificial intelligence approach for glaucoma screening using fundus images</t>
  </si>
  <si>
    <t xml:space="preserve">NPJ digital medicine</t>
  </si>
  <si>
    <t xml:space="preserve">PMC12527036</t>
  </si>
  <si>
    <t xml:space="preserve">Images Versus Videos in Contrast-Enhanced Ultrasound for Computer-Aided Diagnosis</t>
  </si>
  <si>
    <t xml:space="preserve">PMC12373713</t>
  </si>
  <si>
    <t xml:space="preserve">Inductive and Transfer Learning‐Based Hybrid Model Techniques for Accurate and Automated Diagnosis of Neurological Diseases</t>
  </si>
  <si>
    <t xml:space="preserve">PMC12092909</t>
  </si>
  <si>
    <t xml:space="preserve">Deep Learning–Based Estimation of Radiographic Position to Automatically Set Up the X-Ray Prime Factors</t>
  </si>
  <si>
    <t xml:space="preserve">PMC12555394</t>
  </si>
  <si>
    <t xml:space="preserve">Enhancing COVID-19 classification of X-ray images with hybrid deep transfer learning models</t>
  </si>
  <si>
    <t xml:space="preserve">PMC12597869</t>
  </si>
  <si>
    <t xml:space="preserve">Clinical-grade AI model for molecular subtyping of endometrial cancer: a multi-center cohort study in China</t>
  </si>
  <si>
    <t xml:space="preserve">Molecular biomedicine</t>
  </si>
  <si>
    <t xml:space="preserve">PMC11732976</t>
  </si>
  <si>
    <t xml:space="preserve">A generalised computer vision model for improved glaucoma screening using fundus images</t>
  </si>
  <si>
    <t xml:space="preserve">Eye (London, England)</t>
  </si>
  <si>
    <t xml:space="preserve">PMC12509238</t>
  </si>
  <si>
    <t xml:space="preserve">A computer‐aided diagnosis (CAD) system based on convolutional neural networks for lung cancer diagnosis from 2D [18F]‐ PET/CT images</t>
  </si>
  <si>
    <t xml:space="preserve">Journal of applied clinical medical physics</t>
  </si>
  <si>
    <t xml:space="preserve">PMC12390166</t>
  </si>
  <si>
    <t xml:space="preserve">RetinoDeep: Leveraging Deep Learning Models for Advanced Retinopathy Diagnostics</t>
  </si>
  <si>
    <t xml:space="preserve">PMC12680636</t>
  </si>
  <si>
    <t xml:space="preserve">Early detection of Alzheimer’s disease progression: comparative evaluation of deep learning models</t>
  </si>
  <si>
    <t xml:space="preserve">PMC11759462</t>
  </si>
  <si>
    <t xml:space="preserve">Robust prostate disease classification using transformers with discrete representations</t>
  </si>
  <si>
    <t xml:space="preserve">PMC12453788</t>
  </si>
  <si>
    <t xml:space="preserve">Comparison of EfficientNet CNN models for multi-label chest X-ray disease diagnosis</t>
  </si>
  <si>
    <t xml:space="preserve">PMC12476419</t>
  </si>
  <si>
    <t xml:space="preserve">Multi-task deep learning for automatic image segmentation and treatment response assessment in metastatic ovarian cancer</t>
  </si>
  <si>
    <t xml:space="preserve">PMC12247529</t>
  </si>
  <si>
    <t xml:space="preserve">A nnU-Net-based automatic segmentation of FCD type II lesions in 3D FLAIR MRI images</t>
  </si>
  <si>
    <t xml:space="preserve">PMC11927916</t>
  </si>
  <si>
    <t xml:space="preserve">Optimizing deep learning models for glaucoma screening with vision transformers for resource efficiency and the pie augmentation method</t>
  </si>
  <si>
    <t xml:space="preserve">PMC12526791</t>
  </si>
  <si>
    <t xml:space="preserve">WeldVGG: A VGG-Inspired Deep Learning Model for Weld Defect Classification from Radiographic Images with Visual Interpretability</t>
  </si>
  <si>
    <t xml:space="preserve">PMC11936986</t>
  </si>
  <si>
    <t xml:space="preserve">SympCoughNet: symptom assisted audio-based COVID-19 detection</t>
  </si>
  <si>
    <t xml:space="preserve">PMC11856859</t>
  </si>
  <si>
    <t xml:space="preserve">A Methodological Framework for AI-Assisted Diagnosis of Ovarian Masses Using CT and MR Imaging</t>
  </si>
  <si>
    <t xml:space="preserve">PMC12570530</t>
  </si>
  <si>
    <t xml:space="preserve">A pipelined, resource-efficient convolutional neural network architecture for detecting and diagnosing Alzheimer's disease using brain sMRI</t>
  </si>
  <si>
    <t xml:space="preserve">PMC12691345</t>
  </si>
  <si>
    <t xml:space="preserve">Ordinal Regression Research Based on Dual Loss Function—An Example on Lumbar Vertebra Classification in CT Images</t>
  </si>
  <si>
    <t xml:space="preserve">PMC12481068</t>
  </si>
  <si>
    <t xml:space="preserve">A dataset of lung ultrasound images for automated AI-based lung disease classification</t>
  </si>
  <si>
    <t xml:space="preserve">PMC12504877</t>
  </si>
  <si>
    <t xml:space="preserve">VFM-SSL-BMADCC-Framework: vision foundation model and self-supervised learning based automated framework for differential cell counts on whole-slide bone marrow aspirate smears</t>
  </si>
  <si>
    <t xml:space="preserve">PMC12456844</t>
  </si>
  <si>
    <t xml:space="preserve">Trade-Off Analysis of Classical Machine Learning and Deep Learning Models for Robust Brain Tumor Detection: Benchmark Study</t>
  </si>
  <si>
    <t xml:space="preserve">JMIR AI</t>
  </si>
  <si>
    <t xml:space="preserve">PMC11815955</t>
  </si>
  <si>
    <t xml:space="preserve">Deep Learning-Enhanced Diagnosis of Sow Pregnancy Through Low-Frequency Ultrasound Imaging</t>
  </si>
  <si>
    <t xml:space="preserve">PMC11876936</t>
  </si>
  <si>
    <t xml:space="preserve">Development of an MRI based artificial intelligence model for the identification of underlying atrial fibrillation after ischemic stroke: a multicenter proof-of-concept analysis</t>
  </si>
  <si>
    <t xml:space="preserve">PMC12561617</t>
  </si>
  <si>
    <t xml:space="preserve">Brain Tumor Classification in MRI Scans Using Edge Computing and a Shallow Attention-Guided CNN</t>
  </si>
  <si>
    <t xml:space="preserve">PMC12177113</t>
  </si>
  <si>
    <t xml:space="preserve">Quality appraisal of radiomics-based studies on chondrosarcoma using METhodological RadiomICs Score (METRICS) and Radiomics Quality Score (RQS)</t>
  </si>
  <si>
    <t xml:space="preserve">PMC12622268</t>
  </si>
  <si>
    <t xml:space="preserve">Artificial Intelligence-Led Whole Coronary Artery OCT Analysis; Validation and Identification of Drug Efficacy and Higher-Risk Plaques</t>
  </si>
  <si>
    <t xml:space="preserve">Circulation. Cardiovascular imaging</t>
  </si>
  <si>
    <t xml:space="preserve">PMC12331667</t>
  </si>
  <si>
    <t xml:space="preserve">Integrated radiomics and deep learning model for identifying medullary sponge kidney stones</t>
  </si>
  <si>
    <t xml:space="preserve">PMC12169524</t>
  </si>
  <si>
    <t xml:space="preserve">RRFNet: A free-anchor brain tumor detection and classification network based on reparameterization technology</t>
  </si>
  <si>
    <t xml:space="preserve">PMC12732170</t>
  </si>
  <si>
    <t xml:space="preserve">Deep Learning-Assisted Detection and Classification of Thymoma Tumors in CT Scans</t>
  </si>
  <si>
    <t xml:space="preserve">PMC12650834</t>
  </si>
  <si>
    <t xml:space="preserve">Hybrid State–Space and Vision Transformer Framework for Fetal Ultrasound Plane Classification in Prenatal Diagnostics</t>
  </si>
  <si>
    <t xml:space="preserve">PMC12000039</t>
  </si>
  <si>
    <t xml:space="preserve">A lightweight multi-deep learning framework for accurate diabetic retinopathy detection and multi-level severity identification</t>
  </si>
  <si>
    <t xml:space="preserve">PMC12593452</t>
  </si>
  <si>
    <t xml:space="preserve">CausalX-Net: a causality-guided explainable segmentation network for brain tumors</t>
  </si>
  <si>
    <t xml:space="preserve">PMC12546231</t>
  </si>
  <si>
    <t xml:space="preserve">Automated AI detection of thoracic aortic dissection on CT imaging</t>
  </si>
  <si>
    <t xml:space="preserve">PMC12385457</t>
  </si>
  <si>
    <t xml:space="preserve">Hybrid of VGG-16 and FTVT-b16 Models to Enhance Brain Tumors Classification Using MRI Images</t>
  </si>
  <si>
    <t xml:space="preserve">PMC12287020</t>
  </si>
  <si>
    <t xml:space="preserve">Deep learning-assisted diagnosis of liver tumors using non-contrast magnetic resonance imaging: a multicenter study</t>
  </si>
  <si>
    <t xml:space="preserve">PMC11971837</t>
  </si>
  <si>
    <t xml:space="preserve">Multi-dimensional interpretable deep learning-radiomics based on intra-tumoral and spatial habitat for preoperative prediction of thymic epithelial tumours risk categorisation</t>
  </si>
  <si>
    <t xml:space="preserve">Acta oncologica (Stockholm, Sweden)</t>
  </si>
  <si>
    <t xml:space="preserve">PMC12063847</t>
  </si>
  <si>
    <t xml:space="preserve">Brain tumor classification using MRI images and deep learning techniques</t>
  </si>
  <si>
    <t xml:space="preserve">PMC12851946</t>
  </si>
  <si>
    <t xml:space="preserve">Explainable AI for classifying vertebral fracture histology in digital spine pathology</t>
  </si>
  <si>
    <t xml:space="preserve">PMC12705568</t>
  </si>
  <si>
    <t xml:space="preserve">An advanced multimodal image fusion model for accurate detection of Alzheimer's disease using MRI and PET</t>
  </si>
  <si>
    <t xml:space="preserve">Frontiers in medical technology</t>
  </si>
  <si>
    <t xml:space="preserve">PMC12188138</t>
  </si>
  <si>
    <t xml:space="preserve">A Deep Learning Model for Identifying the Risk of Mesenteric Malperfusion in Acute Aortic Dissection Using Initial Diagnostic Data: Algorithm Development and Validation</t>
  </si>
  <si>
    <t xml:space="preserve">Journal of medical Internet research</t>
  </si>
  <si>
    <t xml:space="preserve">PMC12603148</t>
  </si>
  <si>
    <t xml:space="preserve">Automated detection of radiolucent foreign body aspiration on chest CT using deep learning</t>
  </si>
  <si>
    <t xml:space="preserve">PMC12293116</t>
  </si>
  <si>
    <t xml:space="preserve">A Multi-Modal Deep Learning Approach for Predicting Eligibility for Adaptive Radiation Therapy in Nasopharyngeal Carcinoma Patients</t>
  </si>
  <si>
    <t xml:space="preserve">PMC11762182</t>
  </si>
  <si>
    <t xml:space="preserve">FundusNet: A Deep-Learning Approach for Fast Diagnosis of Neurodegenerative and Eye Diseases Using Fundus Images</t>
  </si>
  <si>
    <t xml:space="preserve">PMC12098364</t>
  </si>
  <si>
    <t xml:space="preserve">Diagnostic precision of a deep learning algorithm for the classification of non-contrast brain CT reports</t>
  </si>
  <si>
    <t xml:space="preserve">PMC12738869</t>
  </si>
  <si>
    <t xml:space="preserve">Knowledge-enhanced AI drives diagnosis of multiple retinal diseases in fundus fluorescein angiography</t>
  </si>
  <si>
    <t xml:space="preserve">PMC11887235</t>
  </si>
  <si>
    <t xml:space="preserve">LoG-staging: a rectal cancer staging method with LoG operator based on maximization of mutual information</t>
  </si>
  <si>
    <t xml:space="preserve">PMC12658185</t>
  </si>
  <si>
    <t xml:space="preserve">LightMG-Net: an efficient lightweight deep neural network for multiclass grading of retinal detachment using handcrafted statistical mechanisms</t>
  </si>
  <si>
    <t xml:space="preserve">PMC12354714</t>
  </si>
  <si>
    <t xml:space="preserve">Development of a deep learning algorithm for radiographic detection of syndesmotic instability in ankle fractures with intraoperative validation</t>
  </si>
  <si>
    <t xml:space="preserve">PMC12729827</t>
  </si>
  <si>
    <t xml:space="preserve">Classification of Osteonecrosis of the Femoral Head Stage on Radiographic Images Using Deep Learning Techniques</t>
  </si>
  <si>
    <t xml:space="preserve">PMC12500497</t>
  </si>
  <si>
    <t xml:space="preserve">Evaluating deep learning approaches for AI-assisted lung ultrasound diagnosis: an international multi-center and multi-scanner study</t>
  </si>
  <si>
    <t xml:space="preserve">The ultrasound journal</t>
  </si>
  <si>
    <t xml:space="preserve">PMC12516837</t>
  </si>
  <si>
    <t xml:space="preserve">A mixture of experts (MoE) model to improve AI-based computational pathology prediction performance under variable levels of image blur</t>
  </si>
  <si>
    <t xml:space="preserve">PMC12675158</t>
  </si>
  <si>
    <t xml:space="preserve">Classifying abnormalities in chest radiographs from Vietnam using deep learning for early detection of cardiopulmonary diseases</t>
  </si>
  <si>
    <t xml:space="preserve">PMC11763925</t>
  </si>
  <si>
    <t xml:space="preserve">Impact of Dataset Size on 3D CNN Performance in Intracranial Hemorrhage Classification</t>
  </si>
  <si>
    <t xml:space="preserve">PMC12565618</t>
  </si>
  <si>
    <t xml:space="preserve">Development of a Fully Optimized Convolutional Neural Network for Astrocytoma Classification in MRI Using Explainable Artificial Intelligence</t>
  </si>
  <si>
    <t xml:space="preserve">PMC12367112</t>
  </si>
  <si>
    <t xml:space="preserve">Deep learning-based spatial analysis on tumor and immune cells of pathology images predicts MIBC prognosis</t>
  </si>
  <si>
    <t xml:space="preserve">PMC12758015</t>
  </si>
  <si>
    <t xml:space="preserve">Migration of Deep Learning Models Across Ultrasound Scanners</t>
  </si>
  <si>
    <t xml:space="preserve">IEEE transactions on bio-medical engineering</t>
  </si>
  <si>
    <t xml:space="preserve">PMC11851456</t>
  </si>
  <si>
    <t xml:space="preserve">CXR-Seg: A Novel Deep Learning Network for Lung Segmentation from Chest X-Ray Images</t>
  </si>
  <si>
    <t xml:space="preserve">PMC12248572</t>
  </si>
  <si>
    <t xml:space="preserve">Early Diabetic Retinopathy Detection from OCT Images Using Multifractal Analysis and Multi-Layer Perceptron Classification</t>
  </si>
  <si>
    <t xml:space="preserve">PMC13223492</t>
  </si>
  <si>
    <t xml:space="preserve">PneumoNet: Deep Neural Network for Advanced Pneumonia Detection</t>
  </si>
  <si>
    <t xml:space="preserve">PMC12241142</t>
  </si>
  <si>
    <t xml:space="preserve">Automated classification of midpalatal suture maturation using 2D convolutional neural networks on CBCT scans</t>
  </si>
  <si>
    <t xml:space="preserve">Frontiers in dental medicine</t>
  </si>
  <si>
    <t xml:space="preserve">PMC12574434</t>
  </si>
  <si>
    <t xml:space="preserve">Investigating the capability of deep learning models to predict age and biological sex from anterior segment ophthalmic imaging: a multi-centre retrospective study</t>
  </si>
  <si>
    <t xml:space="preserve">BMJ open</t>
  </si>
  <si>
    <t xml:space="preserve">PMC12637164</t>
  </si>
  <si>
    <t xml:space="preserve">Robust Radiomic Signatures of Intervertebral Disc Degeneration From MRI</t>
  </si>
  <si>
    <t xml:space="preserve">Spine</t>
  </si>
  <si>
    <t xml:space="preserve">PMC12069047</t>
  </si>
  <si>
    <t xml:space="preserve">A predictive nomogram of thyroid nodules based on deep learning ultrasound image analysis</t>
  </si>
  <si>
    <t xml:space="preserve">Frontiers in endocrinology</t>
  </si>
  <si>
    <t xml:space="preserve">PMC12469220</t>
  </si>
  <si>
    <t xml:space="preserve">Artificial Intelligence-Based Arterial Input Function for the Quantitative Assessment of Myocardial Blood Flow and Perfusion Reserve in Cardiac Magnetic Resonance: A Validation Study</t>
  </si>
  <si>
    <t xml:space="preserve">PMC12523546</t>
  </si>
  <si>
    <t xml:space="preserve">Validation of an Artificial Intelligence Model for Breast Cancer Molecular Subtyping Using Hematoxylin and Eosin-Stained Whole-Slide Images in a Population-Based Cohort</t>
  </si>
  <si>
    <t xml:space="preserve">PMC11799055</t>
  </si>
  <si>
    <t xml:space="preserve">Convolutional neural network classification of ultrasound parametric images based on echo-envelope statistics for the quantitative diagnosis of liver steatosis</t>
  </si>
  <si>
    <t xml:space="preserve">Journal of medical ultrasonics (2001)</t>
  </si>
  <si>
    <t xml:space="preserve">PMC12301082</t>
  </si>
  <si>
    <t xml:space="preserve">LGF‐Net: A multi‐scale feature fusion network for thyroid nodule ultrasound image classification</t>
  </si>
  <si>
    <t xml:space="preserve">PMC12602640</t>
  </si>
  <si>
    <t xml:space="preserve">RELICT-NI: Replica Detection in Synthetic Neuroimaging—A Study on Noncontrast CT and Time-of-Flight MRA</t>
  </si>
  <si>
    <t xml:space="preserve">Neuroinformatics</t>
  </si>
  <si>
    <t xml:space="preserve">PMC13223426</t>
  </si>
  <si>
    <t xml:space="preserve">Classifiers Combined with DenseNet Models for Lung Cancer Computed Tomography Image Classification: A Comparative Analysis</t>
  </si>
  <si>
    <t xml:space="preserve">PMC12459604</t>
  </si>
  <si>
    <t xml:space="preserve">Automated classification and explainable AI analysis of lung cancer stages using EfficientNet and gradient-weighted class activation mapping</t>
  </si>
  <si>
    <t xml:space="preserve">PMC12628415</t>
  </si>
  <si>
    <t xml:space="preserve">A Dual-stage Deep Learning Framework for Breast Ultrasound Image Segmentation and Classification</t>
  </si>
  <si>
    <t xml:space="preserve">PMC11717794</t>
  </si>
  <si>
    <t xml:space="preserve">Applying deep learning-based ensemble model to [18F]-FDG-PET-radiomic features for differentiating benign from malignant parotid gland diseases</t>
  </si>
  <si>
    <t xml:space="preserve">Japanese journal of radiology</t>
  </si>
  <si>
    <t xml:space="preserve">PMC12551925</t>
  </si>
  <si>
    <t xml:space="preserve">IV3TM: Inception V3 enabled bidirectional long short-term memory network for brain tumor classification</t>
  </si>
  <si>
    <t xml:space="preserve">PMC12006410</t>
  </si>
  <si>
    <t xml:space="preserve">Deep learning model DeepNeo predicts neointimal tissue characterization using optical coherence tomography</t>
  </si>
  <si>
    <t xml:space="preserve">Communications medicine</t>
  </si>
  <si>
    <t xml:space="preserve">PMC12521361</t>
  </si>
  <si>
    <t xml:space="preserve">A deep learning-based framework for standardized analysis of trabecular bone compartments from micro-CT imaging data in the mouse tibia</t>
  </si>
  <si>
    <t xml:space="preserve">PMC12387119</t>
  </si>
  <si>
    <t xml:space="preserve">Fundus Image-Based Eye Disease Detection Using EfficientNetB3 Architecture</t>
  </si>
  <si>
    <t xml:space="preserve">PMC12094958</t>
  </si>
  <si>
    <t xml:space="preserve">Deep ensemble learning-driven fully automated multi-structure segmentation for precision craniomaxillofacial surgery</t>
  </si>
  <si>
    <t xml:space="preserve">PMC12823918</t>
  </si>
  <si>
    <t xml:space="preserve">Explainable AI-driven MRI-based brain tumor classification: a novel deep learning approach</t>
  </si>
  <si>
    <t xml:space="preserve">PMC12109281</t>
  </si>
  <si>
    <t xml:space="preserve">Radiomics Analysis of Whole-Kidney Non-Contrast CT for Early Identification of Chronic Kidney Disease Stages 1–3</t>
  </si>
  <si>
    <t xml:space="preserve">PMC12385022</t>
  </si>
  <si>
    <t xml:space="preserve">Deep Learning-Based Diagnosis of Lumbar Spondylolisthesis Using X-Ray Imaging</t>
  </si>
  <si>
    <t xml:space="preserve">PMC11740782</t>
  </si>
  <si>
    <t xml:space="preserve">Breast cancer classification in point-of-care ultrasound imaging—the impact of training data</t>
  </si>
  <si>
    <t xml:space="preserve">Journal of medical imaging (Bellingham, Wash.)</t>
  </si>
  <si>
    <t xml:space="preserve">PMC12607841</t>
  </si>
  <si>
    <t xml:space="preserve">Radiomics and Deep Learning Interplay for Predicting MGMT Methylation in Glioblastoma: The Crucial Role of Segmentation Quality</t>
  </si>
  <si>
    <t xml:space="preserve">may be segmentation-only</t>
  </si>
  <si>
    <t xml:space="preserve">PMC12151474</t>
  </si>
  <si>
    <t xml:space="preserve">A plaque recognition algorithm for coronary OCT images by Dense Atrous Convolution and attention mechanism</t>
  </si>
  <si>
    <t xml:space="preserve">PMC12715249</t>
  </si>
  <si>
    <t xml:space="preserve">Comparative analysis of multiple deep learning models with mitigation-driven approaches for enhanced Alzheimer’s disease classification</t>
  </si>
  <si>
    <t xml:space="preserve">PMC12256241</t>
  </si>
  <si>
    <t xml:space="preserve">Assessment of prostate cancer aggressiveness through the combined analysis of prostate MRI and 2.5D deep learning models</t>
  </si>
  <si>
    <t xml:space="preserve">PMC12361585</t>
  </si>
  <si>
    <t xml:space="preserve">Advancing deep learning-based segmentation for multiple lung cancer lesions in real-world multicenter CT scans</t>
  </si>
  <si>
    <t xml:space="preserve">PMC12753390</t>
  </si>
  <si>
    <t xml:space="preserve">Neural networks and foundation models: two strategies for EEG-to-fMRI prediction</t>
  </si>
  <si>
    <t xml:space="preserve">Frontiers in systems biology</t>
  </si>
  <si>
    <t xml:space="preserve">PMC12365151</t>
  </si>
  <si>
    <t xml:space="preserve">Lung adenocarcinoma subtype classification based on contrastive learning model with multimodal integration</t>
  </si>
  <si>
    <t xml:space="preserve">PMC12597856</t>
  </si>
  <si>
    <t xml:space="preserve">AI-assisted differentiation of nontuberculous mycobacterial pulmonary disease from colonization: a multi-center study</t>
  </si>
  <si>
    <t xml:space="preserve">PMC11813795</t>
  </si>
  <si>
    <t xml:space="preserve">Magnetic resonance imaging-based deep learning for predicting subtypes of glioma</t>
  </si>
  <si>
    <t xml:space="preserve">PMC12543161</t>
  </si>
  <si>
    <t xml:space="preserve">A hybrid dense convolutional network and fuzzy inference system for pneumonia diagnosis with dynamic symptom tracking</t>
  </si>
  <si>
    <t xml:space="preserve">PMC12058334</t>
  </si>
  <si>
    <t xml:space="preserve">Speckle pattern analysis with deep learning for low-cost stroke detection: a phantom-based feasibility study</t>
  </si>
  <si>
    <t xml:space="preserve">PMC11828341</t>
  </si>
  <si>
    <t xml:space="preserve">Hybrid-RViT: Hybridizing ResNet-50 and Vision Transformer for Enhanced Alzheimer’s disease detection</t>
  </si>
  <si>
    <t xml:space="preserve">PMC11937601</t>
  </si>
  <si>
    <t xml:space="preserve">A multi-modal deep learning solution for precise pneumonia diagnosis: the PneumoFusion-Net model</t>
  </si>
  <si>
    <t xml:space="preserve">PMC12222329</t>
  </si>
  <si>
    <t xml:space="preserve">Biologically inspired hybrid model for Alzheimer’s disease classification using structural MRI in the ADNI dataset</t>
  </si>
  <si>
    <t xml:space="preserve">PMC12454901</t>
  </si>
  <si>
    <t xml:space="preserve">Improving the diagnosis of endometrial cancer in postmenopausal women in primary care settings using an artificial intelligence-based ultrasound detecting model</t>
  </si>
  <si>
    <t xml:space="preserve">PMC12429428</t>
  </si>
  <si>
    <t xml:space="preserve">Artificial Intelligence-Assisted Biparametric MRI for Detecting Prostate Cancer—A Comparative Multireader Multicase Accuracy Study</t>
  </si>
  <si>
    <t xml:space="preserve">PMC12043696</t>
  </si>
  <si>
    <t xml:space="preserve">Radiomics-driven neuro-fuzzy framework for rule generation to enhance explainability in MRI-based brain tumor segmentation</t>
  </si>
  <si>
    <t xml:space="preserve">PMC12478919</t>
  </si>
  <si>
    <t xml:space="preserve">Alzheimer’s disease classification using a hybrid deep learning approach with multi-layer U-net segmentation and XAI driven analysis</t>
  </si>
  <si>
    <t xml:space="preserve">PMC12062765</t>
  </si>
  <si>
    <t xml:space="preserve">Localization and Classification of Adrenal Masses in Multiphase Computed Tomography: Retrospective Study</t>
  </si>
  <si>
    <t xml:space="preserve">PMC12402046</t>
  </si>
  <si>
    <t xml:space="preserve">Automated pulmonary nodule classification from low-dose CT images using ERBNet: an ensemble learning approach</t>
  </si>
  <si>
    <t xml:space="preserve">PMC12418648</t>
  </si>
  <si>
    <t xml:space="preserve">Two step approach for detecting and segmenting the second mesiobuccal canal of maxillary first molars on cone beam computed tomography (CBCT) images via artificial intelligence</t>
  </si>
  <si>
    <t xml:space="preserve">BMC oral health</t>
  </si>
  <si>
    <t xml:space="preserve">PMC12052117</t>
  </si>
  <si>
    <t xml:space="preserve">Semisupervised adaptive learning models for IDH1 mutation status prediction</t>
  </si>
  <si>
    <t xml:space="preserve">PMC11979263</t>
  </si>
  <si>
    <t xml:space="preserve">Beyond plaque segmentation: a combined radiomics-deep learning approach for automated CAD-RADS classification</t>
  </si>
  <si>
    <t xml:space="preserve">PMC12226657</t>
  </si>
  <si>
    <t xml:space="preserve">PlaqueViT: a vision transformer model for fully automatic vessel and plaque segmentation in coronary computed tomography angiography</t>
  </si>
  <si>
    <t xml:space="preserve">PMC11818623</t>
  </si>
  <si>
    <t xml:space="preserve">Deep Learning to Distinguish Edema Secondary to Retinal Vein Occlusion and Diabetic Macular Edema: A Multimodal Approach Using OCT and Infrared Imaging</t>
  </si>
  <si>
    <t xml:space="preserve">PMC12383681</t>
  </si>
  <si>
    <t xml:space="preserve">2.5D Deep Learning and Machine Learning for Discriminative DLBCL and IDC with Radiomics on PET/CT</t>
  </si>
  <si>
    <t xml:space="preserve">PMC12275356</t>
  </si>
  <si>
    <t xml:space="preserve">AI-Driven segmentation and morphogeometric profiling of epicardial adipose tissue in type 2 diabetes</t>
  </si>
  <si>
    <t xml:space="preserve">Cardiovascular diabetology</t>
  </si>
  <si>
    <t xml:space="preserve">PMC12627679</t>
  </si>
  <si>
    <t xml:space="preserve">Enhancing automatic diagnosis of thyroid nodules from ultrasound scans leveraging deep learning models</t>
  </si>
  <si>
    <t xml:space="preserve">PMC12335580</t>
  </si>
  <si>
    <t xml:space="preserve">Artificial intelligence with feature fusion empowered enhanced brain stroke detection and classification for disabled persons using biomedical images</t>
  </si>
  <si>
    <t xml:space="preserve">PMC12462649</t>
  </si>
  <si>
    <t xml:space="preserve">Deep learning‐based 3D classification of head and neck cancer PET/MRI: Radiologist comparison and Grad‐CAM interpretability</t>
  </si>
  <si>
    <t xml:space="preserve">Clinical physiology and functional imaging</t>
  </si>
  <si>
    <t xml:space="preserve">PMC12852129</t>
  </si>
  <si>
    <t xml:space="preserve">XcepFusion for brain tumor detection using a hybrid transfer learning framework with layer pruning and freezing</t>
  </si>
  <si>
    <t xml:space="preserve">PMC12445147</t>
  </si>
  <si>
    <t xml:space="preserve">Automatic differentiation of Parkinson’s disease motor subtypes based on deep learning and radiomics</t>
  </si>
  <si>
    <t xml:space="preserve">PMC11960629</t>
  </si>
  <si>
    <t xml:space="preserve">Automated chick gender determination using optical coherence tomography and deep learning</t>
  </si>
  <si>
    <t xml:space="preserve">PMC12473302</t>
  </si>
  <si>
    <t xml:space="preserve">Deep Learning-Based Diagnosis of Femoropopliteal Artery Steno-Occlusion Using Maximum Intensity Projection Images of CT Angiography</t>
  </si>
  <si>
    <t xml:space="preserve">PMC12540183</t>
  </si>
  <si>
    <t xml:space="preserve">Multiparametric MRI-based radiomics and deep learning for differentiating uterine serous carcinoma from endometrioid carcinoma: a multicenter retrospective study</t>
  </si>
  <si>
    <t xml:space="preserve">PMC11929658</t>
  </si>
  <si>
    <t xml:space="preserve">BrainNeXt: novel lightweight CNN model for the automated detection of brain disorders using MRI images</t>
  </si>
  <si>
    <t xml:space="preserve">PMC12084453</t>
  </si>
  <si>
    <t xml:space="preserve">Development and validation of clinical-radiomics deep learning model based on MRI for endometrial cancer molecular subtypes classification</t>
  </si>
  <si>
    <t xml:space="preserve">PMC12648177</t>
  </si>
  <si>
    <t xml:space="preserve">Detection of spheno-occipital synchondrosis fusion stages using artificial intelligence</t>
  </si>
  <si>
    <t xml:space="preserve">PMC11794261</t>
  </si>
  <si>
    <t xml:space="preserve">Automated diagnosis and grading of lumbar intervertebral disc degeneration based on a modified YOLO framework</t>
  </si>
  <si>
    <t xml:space="preserve">PMC12534769</t>
  </si>
  <si>
    <t xml:space="preserve">YOLOv12 Algorithm-Aided Detection and Classification of Lateral Malleolar Avulsion Fracture and Subfibular Ossicle Based on CT Images: Multicenter Study</t>
  </si>
  <si>
    <t xml:space="preserve">PMC12714595</t>
  </si>
  <si>
    <t xml:space="preserve">Thyroid intelligent diagnosis based on THMSNet</t>
  </si>
  <si>
    <t xml:space="preserve">PMC12730384</t>
  </si>
  <si>
    <t xml:space="preserve">A Weakly Supervised Approach for HPV Status Prediction in Oropharyngeal Carcinoma from H&amp;E-Stained Slides</t>
  </si>
  <si>
    <t xml:space="preserve">PMC12561078</t>
  </si>
  <si>
    <t xml:space="preserve">NeuroNet-AD: A Multimodal Deep Learning Framework for Multiclass Alzheimer’s Disease Diagnosis</t>
  </si>
  <si>
    <t xml:space="preserve">PMC12719480</t>
  </si>
  <si>
    <t xml:space="preserve">GAME-Net: an ensemble deep learning framework integrating Generative Autoencoders and attention mechanisms for automated brain tumor segmentation in MRI</t>
  </si>
  <si>
    <t xml:space="preserve">PMC12564970</t>
  </si>
  <si>
    <t xml:space="preserve">Optimized Lung Nodule Classification Using CLAHE-Enhanced CT Imaging and Swin Transformer-Based Deep Feature Extraction</t>
  </si>
  <si>
    <t xml:space="preserve">PMC12167337</t>
  </si>
  <si>
    <t xml:space="preserve">Automatic ultrasound image alignment for diagnosis of pediatric distal forearm fractures</t>
  </si>
  <si>
    <t xml:space="preserve">PMC12335458</t>
  </si>
  <si>
    <t xml:space="preserve">Exploring the feasibility of AI-based analysis of histopathological variability in salivary gland tumours</t>
  </si>
  <si>
    <t xml:space="preserve">PMC12334629</t>
  </si>
  <si>
    <t xml:space="preserve">BCDCNN: breast cancer deep convolutional neural network for breast cancer detection using MRI images</t>
  </si>
  <si>
    <t xml:space="preserve">PMC12731456</t>
  </si>
  <si>
    <t xml:space="preserve">Deep Learning Analysis of CBCT Images for Periodontal Disease: Phenotype-Level Concordance with Independent Transcriptomic and Microbiome Datasets</t>
  </si>
  <si>
    <t xml:space="preserve">Dentistry journal</t>
  </si>
  <si>
    <t xml:space="preserve">PMC12418127</t>
  </si>
  <si>
    <t xml:space="preserve">AI Model Based on Diaphragm Ultrasound to Improve the Predictive Performance of Invasive Mechanical Ventilation Weaning: Prospective Cohort Study</t>
  </si>
  <si>
    <t xml:space="preserve">JMIR formative research</t>
  </si>
  <si>
    <t xml:space="preserve">PMC12011763</t>
  </si>
  <si>
    <t xml:space="preserve">Automatic joint segmentation and classification of breast ultrasound images via multi-task learning with object contextual attention</t>
  </si>
  <si>
    <t xml:space="preserve">PMC12345923</t>
  </si>
  <si>
    <t xml:space="preserve">Enhanced HoVerNet Optimization for Precise Nuclei Segmentation in Diffuse Large B-Cell Lymphoma</t>
  </si>
  <si>
    <t xml:space="preserve">PMC12119313</t>
  </si>
  <si>
    <t xml:space="preserve">DualDistill: a dual-guided self-distillation approach for carotid plaque analysis</t>
  </si>
  <si>
    <t xml:space="preserve">PMC12607678</t>
  </si>
  <si>
    <t xml:space="preserve">Artificial Intelligence for Lymph Node Detection and Malignancy Prediction in Endoscopic Ultrasound: A Multicenter Study</t>
  </si>
  <si>
    <t xml:space="preserve">PMC12468384</t>
  </si>
  <si>
    <t xml:space="preserve">A Comparative Evaluation of Meta-Learning Models for Few-Shot Chest X-Ray Disease Classification</t>
  </si>
  <si>
    <t xml:space="preserve">PMC12558874</t>
  </si>
  <si>
    <t xml:space="preserve">YOLOv8-Seg: a deep learning approach for accurate classification of osteoporotic vertebral fractures</t>
  </si>
  <si>
    <t xml:space="preserve">PMC12192201</t>
  </si>
  <si>
    <t xml:space="preserve">Fuzzy Optimized Attention Network with Multi-Instance Deep Learning (FOAN-MIDL) for Alzheimer’s Disease Diagnosis with Structural Magnetic Resonance Imaging (sMRI)</t>
  </si>
  <si>
    <t xml:space="preserve">PMC11707918</t>
  </si>
  <si>
    <t xml:space="preserve">Effective BCDNet-based breast cancer classification model using hybrid deep learning with VGG16-based optimal feature extraction</t>
  </si>
  <si>
    <t xml:space="preserve">PMC12476382</t>
  </si>
  <si>
    <t xml:space="preserve">Analyzing pediatric forearm X-rays for fracture analysis using machine learning</t>
  </si>
  <si>
    <t xml:space="preserve">PMC12530578</t>
  </si>
  <si>
    <t xml:space="preserve">BONE-Net: A novel hybrid deep-learning model for effective osteoporosis detection</t>
  </si>
  <si>
    <t xml:space="preserve">PMC11805419</t>
  </si>
  <si>
    <t xml:space="preserve">Advanced retinal disease detection from OCT images using a hybrid squeeze and excitation enhanced model</t>
  </si>
  <si>
    <t xml:space="preserve">PMC12279466</t>
  </si>
  <si>
    <t xml:space="preserve">Deep-learning-based washout classification for decision support in contrast-enhanced ultrasound examinations of the liver</t>
  </si>
  <si>
    <t xml:space="preserve">PMC12467770</t>
  </si>
  <si>
    <t xml:space="preserve">Encoding of Demographic and Anatomical Information in Chest X-Ray-Based Severe Left Ventricular Hypertrophy Classifiers</t>
  </si>
  <si>
    <t xml:space="preserve">PMC11893424</t>
  </si>
  <si>
    <t xml:space="preserve">Deep learning model for the early prediction of pathologic response following neoadjuvant chemotherapy in breast cancer patients using dynamic contrast-enhanced MRI</t>
  </si>
  <si>
    <t xml:space="preserve">PMC11950579</t>
  </si>
  <si>
    <t xml:space="preserve">Automated Three-Dimensional Imaging and Pfirrmann Classification of Intervertebral Disc Using a Graphical Neural Network in Sagittal Magnetic Resonance Imaging of the Lumbar Spine</t>
  </si>
  <si>
    <t xml:space="preserve">PMC12734337</t>
  </si>
  <si>
    <t xml:space="preserve">AI-Driven Clinical Decision Support System for Automated Ventriculomegaly Classification from Fetal Brain MRI</t>
  </si>
  <si>
    <t xml:space="preserve">PMC11869539</t>
  </si>
  <si>
    <t xml:space="preserve">IM- LTS: An Integrated Model for Lung Tumor Segmentation using Neural Networks and IoMT</t>
  </si>
  <si>
    <t xml:space="preserve">PMC12876126</t>
  </si>
  <si>
    <t xml:space="preserve">HED-Net: a hybrid ensemble deep learning framework for breast ultrasound image classification</t>
  </si>
  <si>
    <t xml:space="preserve">PMC12236266</t>
  </si>
  <si>
    <t xml:space="preserve">Improving Tuberculosis Detection in Chest X-Ray Images Through Transfer Learning and Deep Learning: Comparative Study of Convolutional Neural Network Architectures</t>
  </si>
  <si>
    <t xml:space="preserve">PMC12974135</t>
  </si>
  <si>
    <t xml:space="preserve">Integrative multi-stage deep learning framework for ovarian tumor ultrasound classification with explainability and confidence estimation</t>
  </si>
  <si>
    <t xml:space="preserve">PMC11811346</t>
  </si>
  <si>
    <t xml:space="preserve">RadImageNet and ImageNet as Datasets for Transfer Learning in the Assessment of Dental Radiographs: A Comparative Study</t>
  </si>
  <si>
    <t xml:space="preserve">PMC11785394</t>
  </si>
  <si>
    <t xml:space="preserve">Quantifying the Characteristics of Diabetic Retinopathy in Macular Optical Coherence Tomography Angiography Images: A Few-Shot Learning and Explainable Artificial Intelligence Approach</t>
  </si>
  <si>
    <t xml:space="preserve">PMC12222963</t>
  </si>
  <si>
    <t xml:space="preserve">Deep learning-based quantitative analysis of glomerular morphology in IgA nephropathy whole slide images and its prognostic implications</t>
  </si>
  <si>
    <t xml:space="preserve">PMC12794183</t>
  </si>
  <si>
    <t xml:space="preserve">Deep Learning-assisted Diagnosis of Extrahepatic Common Bile Duct Obstruction Using MRCP Imaging and Clinical Parameters</t>
  </si>
  <si>
    <t xml:space="preserve">PMC12611148</t>
  </si>
  <si>
    <t xml:space="preserve">Evaluating the impact of sex bias on AI models in musculoskeletal ultrasound of joint recess distension</t>
  </si>
  <si>
    <t xml:space="preserve">PMC12325224</t>
  </si>
  <si>
    <t xml:space="preserve">A comparative study of bone density in elderly people measured with AI and QCT</t>
  </si>
  <si>
    <t xml:space="preserve">PMC12532985</t>
  </si>
  <si>
    <t xml:space="preserve">Ultrasound-based deep learning model as an assistant improves the diagnosis of ovarian tumors: a multicenter study</t>
  </si>
  <si>
    <t xml:space="preserve">PMC12391420</t>
  </si>
  <si>
    <t xml:space="preserve">Method for fetal ultrasound image classification using pseudo-labelling with PCA-KMeans and an attention-augmented MobileNet-LSTM model</t>
  </si>
  <si>
    <t xml:space="preserve">PMC12325482</t>
  </si>
  <si>
    <t xml:space="preserve">Sex estimation with convolutional neural networks using the patella magnetic resonance image slices</t>
  </si>
  <si>
    <t xml:space="preserve">Forensic science, medicine, and pathology</t>
  </si>
  <si>
    <t xml:space="preserve">PMC12481582</t>
  </si>
  <si>
    <t xml:space="preserve">An interpretable generative multimodal neuroimaging-genomics framework for decoding Alzheimer’s disease</t>
  </si>
  <si>
    <t xml:space="preserve">Journal of neural engineering</t>
  </si>
  <si>
    <t xml:space="preserve">Item</t>
  </si>
  <si>
    <t xml:space="preserve">Question</t>
  </si>
  <si>
    <t xml:space="preserve">Labels</t>
  </si>
  <si>
    <t xml:space="preserve">Decide in this order (stop at the first that fits)</t>
  </si>
  <si>
    <t xml:space="preserve">Search words</t>
  </si>
  <si>
    <t xml:space="preserve">A1</t>
  </si>
  <si>
    <t xml:space="preserve">Could the same patient be in training and test?</t>
  </si>
  <si>
    <t xml:space="preserve">SAFE / RISK / UNCLEAR</t>
  </si>
  <si>
    <t xml:space="preserve">SAFE: split by patient/subject/case; or test set from another hospital/cohort/dataset; or one image per patient.  RISK: images/slices/patches split randomly AND more images than patients.  UNCLEAR: anything else.</t>
  </si>
  <si>
    <t xml:space="preserve">patient, split, divid, slice, patch, external</t>
  </si>
  <si>
    <t xml:space="preserve">A4</t>
  </si>
  <si>
    <t xml:space="preserve">Was the test set used to make choices?</t>
  </si>
  <si>
    <t xml:space="preserve">RISK: best epoch/model chosen on test; early stopping/tuning on test; only two sets and the reported one monitored in training; best of several models on test adopted.  SAFE: train/validation/test with choices on validation, nested CV, or fixed hyperparameters.  UNCLEAR: anything else.</t>
  </si>
  <si>
    <t xml:space="preserve">validation, early stop, checkpoint, best model, hyperparameter</t>
  </si>
  <si>
    <t xml:space="preserve">B2</t>
  </si>
  <si>
    <t xml:space="preserve">Main result with ± or CI?</t>
  </si>
  <si>
    <t xml:space="preserve">YES / NO</t>
  </si>
  <si>
    <t xml:space="preserve">YES: a performance metric with ±, SD, range, per-fold values or a confidence interval (text or table).  NO: otherwise. CV alone, ± on age, CIs of cited studies do not count.</t>
  </si>
  <si>
    <t xml:space="preserve">±, CI, confidence, SD, 95%</t>
  </si>
  <si>
    <t xml:space="preserve">C1</t>
  </si>
  <si>
    <t xml:space="preserve">Study code available?</t>
  </si>
  <si>
    <t xml:space="preserve">YES / REQUEST / NO</t>
  </si>
  <si>
    <t xml:space="preserve">YES: link/DOI to this study's model code.  REQUEST: on request.  NO: otherwise, incl. links only to other people's tools.</t>
  </si>
  <si>
    <t xml:space="preserve">github, gitlab, zenodo, code, doi</t>
  </si>
  <si>
    <t xml:space="preserve">C2</t>
  </si>
  <si>
    <t xml:space="preserve">Data available?</t>
  </si>
  <si>
    <t xml:space="preserve">PUBLIC / RESTRICTED / NO</t>
  </si>
  <si>
    <t xml:space="preserve">PUBLIC: every dataset is named public, or deposited with link/DOI.  RESTRICTED: on request / from the corresponding author / "without undue reservation" / "included in the article… further inquiries" / "available within the article" / partly public.  NO: not available, or no statement and not public.</t>
  </si>
  <si>
    <t xml:space="preserve">availab, request, public, kaggle</t>
  </si>
  <si>
    <t xml:space="preserve">Evidence: copy-paste only; join two spans with " || "; ABSENT when nothing is relevant. Full guide: docs/codebook_v1.3.md</t>
  </si>
</sst>
</file>

<file path=xl/styles.xml><?xml version="1.0" encoding="utf-8"?>
<styleSheet xmlns="http://schemas.openxmlformats.org/spreadsheetml/2006/main">
  <numFmts count="4">
    <numFmt numFmtId="164" formatCode="General"/>
    <numFmt numFmtId="165" formatCode="General"/>
    <numFmt numFmtId="166" formatCode="yyyy\-mm\-dd"/>
    <numFmt numFmtId="167" formatCode="m/d/yyyy"/>
  </numFmts>
  <fonts count="16">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13"/>
      <name val="Arial"/>
      <family val="0"/>
      <charset val="1"/>
    </font>
    <font>
      <sz val="10"/>
      <name val="Arial"/>
      <family val="0"/>
      <charset val="1"/>
    </font>
    <font>
      <b val="true"/>
      <sz val="10"/>
      <name val="Arial"/>
      <family val="0"/>
      <charset val="1"/>
    </font>
    <font>
      <b val="true"/>
      <sz val="11"/>
      <name val="Arial"/>
      <family val="0"/>
      <charset val="1"/>
    </font>
    <font>
      <b val="true"/>
      <sz val="11"/>
      <color rgb="FFFFFFFF"/>
      <name val="Arial"/>
      <family val="0"/>
      <charset val="1"/>
    </font>
    <font>
      <i val="true"/>
      <sz val="11"/>
      <color rgb="FF595959"/>
      <name val="Arial"/>
      <family val="0"/>
      <charset val="1"/>
    </font>
    <font>
      <sz val="11"/>
      <name val="Arial"/>
      <family val="0"/>
      <charset val="1"/>
    </font>
    <font>
      <sz val="11"/>
      <color rgb="FF0563C1"/>
      <name val="Arial"/>
      <family val="0"/>
      <charset val="1"/>
    </font>
    <font>
      <sz val="11"/>
      <name val="Arial"/>
      <family val="2"/>
      <charset val="162"/>
    </font>
    <font>
      <sz val="11"/>
      <color rgb="FF000000"/>
      <name val="Arial"/>
      <family val="0"/>
      <charset val="1"/>
    </font>
    <font>
      <i val="true"/>
      <sz val="11"/>
      <name val="Arial"/>
      <family val="0"/>
      <charset val="1"/>
    </font>
  </fonts>
  <fills count="6">
    <fill>
      <patternFill patternType="none"/>
    </fill>
    <fill>
      <patternFill patternType="gray125"/>
    </fill>
    <fill>
      <patternFill patternType="solid">
        <fgColor rgb="FFD9E1F2"/>
        <bgColor rgb="FFE7E6E6"/>
      </patternFill>
    </fill>
    <fill>
      <patternFill patternType="solid">
        <fgColor rgb="FF1F3864"/>
        <bgColor rgb="FF333333"/>
      </patternFill>
    </fill>
    <fill>
      <patternFill patternType="solid">
        <fgColor rgb="FFE7E6E6"/>
        <bgColor rgb="FFD9E1F2"/>
      </patternFill>
    </fill>
    <fill>
      <patternFill patternType="solid">
        <fgColor rgb="FFFFF2CC"/>
        <bgColor rgb="FFE7E6E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8" fillId="2"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6" fontId="11" fillId="5" borderId="1" xfId="0" applyFont="true" applyBorder="tru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7" fontId="11" fillId="5" borderId="1" xfId="0" applyFont="true" applyBorder="true" applyAlignment="true" applyProtection="false">
      <alignment horizontal="general" vertical="top" textRotation="0" wrapText="fals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6E6"/>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uropepmc.org/article/PMC/PMC11975892" TargetMode="External"/><Relationship Id="rId2" Type="http://schemas.openxmlformats.org/officeDocument/2006/relationships/hyperlink" Target="https://europepmc.org/article/PMC/PMC12412478" TargetMode="External"/><Relationship Id="rId3" Type="http://schemas.openxmlformats.org/officeDocument/2006/relationships/hyperlink" Target="https://europepmc.org/article/PMC/PMC12330392" TargetMode="External"/><Relationship Id="rId4" Type="http://schemas.openxmlformats.org/officeDocument/2006/relationships/hyperlink" Target="https://europepmc.org/article/PMC/PMC12387691" TargetMode="External"/><Relationship Id="rId5" Type="http://schemas.openxmlformats.org/officeDocument/2006/relationships/hyperlink" Target="https://europepmc.org/article/PMC/PMC12034867" TargetMode="External"/><Relationship Id="rId6" Type="http://schemas.openxmlformats.org/officeDocument/2006/relationships/hyperlink" Target="https://europepmc.org/article/PMC/PMC12649958" TargetMode="External"/><Relationship Id="rId7" Type="http://schemas.openxmlformats.org/officeDocument/2006/relationships/hyperlink" Target="https://europepmc.org/article/PMC/PMC12747359" TargetMode="External"/><Relationship Id="rId8" Type="http://schemas.openxmlformats.org/officeDocument/2006/relationships/hyperlink" Target="https://europepmc.org/article/PMC/PMC11729117" TargetMode="External"/><Relationship Id="rId9" Type="http://schemas.openxmlformats.org/officeDocument/2006/relationships/hyperlink" Target="https://europepmc.org/article/PMC/PMC11873101" TargetMode="External"/><Relationship Id="rId10" Type="http://schemas.openxmlformats.org/officeDocument/2006/relationships/hyperlink" Target="https://europepmc.org/article/PMC/PMC12468973" TargetMode="External"/><Relationship Id="rId11" Type="http://schemas.openxmlformats.org/officeDocument/2006/relationships/hyperlink" Target="https://europepmc.org/article/PMC/PMC12729362" TargetMode="External"/><Relationship Id="rId12" Type="http://schemas.openxmlformats.org/officeDocument/2006/relationships/hyperlink" Target="https://europepmc.org/article/PMC/PMC12673201" TargetMode="External"/><Relationship Id="rId13" Type="http://schemas.openxmlformats.org/officeDocument/2006/relationships/hyperlink" Target="https://europepmc.org/article/PMC/PMC12022092" TargetMode="External"/><Relationship Id="rId14" Type="http://schemas.openxmlformats.org/officeDocument/2006/relationships/hyperlink" Target="https://europepmc.org/article/PMC/PMC12303355" TargetMode="External"/><Relationship Id="rId15" Type="http://schemas.openxmlformats.org/officeDocument/2006/relationships/hyperlink" Target="https://europepmc.org/article/PMC/PMC12454033" TargetMode="External"/><Relationship Id="rId16" Type="http://schemas.openxmlformats.org/officeDocument/2006/relationships/hyperlink" Target="https://europepmc.org/article/PMC/PMC12540149" TargetMode="External"/><Relationship Id="rId17" Type="http://schemas.openxmlformats.org/officeDocument/2006/relationships/hyperlink" Target="https://europepmc.org/article/PMC/PMC12418695" TargetMode="External"/><Relationship Id="rId18" Type="http://schemas.openxmlformats.org/officeDocument/2006/relationships/hyperlink" Target="https://europepmc.org/article/PMC/PMC11811177" TargetMode="External"/><Relationship Id="rId19" Type="http://schemas.openxmlformats.org/officeDocument/2006/relationships/hyperlink" Target="https://europepmc.org/article/PMC/PMC12471060" TargetMode="External"/><Relationship Id="rId20" Type="http://schemas.openxmlformats.org/officeDocument/2006/relationships/hyperlink" Target="https://europepmc.org/article/PMC/PMC12573454" TargetMode="External"/><Relationship Id="rId21" Type="http://schemas.openxmlformats.org/officeDocument/2006/relationships/hyperlink" Target="https://europepmc.org/article/PMC/PMC11634984" TargetMode="External"/><Relationship Id="rId22" Type="http://schemas.openxmlformats.org/officeDocument/2006/relationships/hyperlink" Target="https://europepmc.org/article/PMC/PMC12178899" TargetMode="External"/><Relationship Id="rId23" Type="http://schemas.openxmlformats.org/officeDocument/2006/relationships/hyperlink" Target="https://europepmc.org/article/PMC/PMC12226554" TargetMode="External"/><Relationship Id="rId24" Type="http://schemas.openxmlformats.org/officeDocument/2006/relationships/hyperlink" Target="https://europepmc.org/article/PMC/PMC12364712" TargetMode="External"/><Relationship Id="rId25" Type="http://schemas.openxmlformats.org/officeDocument/2006/relationships/hyperlink" Target="https://europepmc.org/article/PMC/PMC12364636" TargetMode="External"/><Relationship Id="rId26" Type="http://schemas.openxmlformats.org/officeDocument/2006/relationships/hyperlink" Target="https://europepmc.org/article/PMC/PMC12592200" TargetMode="External"/><Relationship Id="rId27" Type="http://schemas.openxmlformats.org/officeDocument/2006/relationships/hyperlink" Target="https://europepmc.org/article/PMC/PMC12221888" TargetMode="External"/><Relationship Id="rId28" Type="http://schemas.openxmlformats.org/officeDocument/2006/relationships/hyperlink" Target="https://europepmc.org/article/PMC/PMC12153539" TargetMode="External"/><Relationship Id="rId29" Type="http://schemas.openxmlformats.org/officeDocument/2006/relationships/hyperlink" Target="https://europepmc.org/article/PMC/PMC11994760" TargetMode="External"/><Relationship Id="rId30" Type="http://schemas.openxmlformats.org/officeDocument/2006/relationships/hyperlink" Target="https://europepmc.org/article/PMC/PMC11820013" TargetMode="External"/><Relationship Id="rId31" Type="http://schemas.openxmlformats.org/officeDocument/2006/relationships/hyperlink" Target="https://europepmc.org/article/PMC/PMC12405159" TargetMode="External"/><Relationship Id="rId32" Type="http://schemas.openxmlformats.org/officeDocument/2006/relationships/hyperlink" Target="https://europepmc.org/article/PMC/PMC11928541" TargetMode="External"/><Relationship Id="rId33" Type="http://schemas.openxmlformats.org/officeDocument/2006/relationships/hyperlink" Target="https://europepmc.org/article/PMC/PMC12654495" TargetMode="External"/><Relationship Id="rId34" Type="http://schemas.openxmlformats.org/officeDocument/2006/relationships/hyperlink" Target="https://europepmc.org/article/PMC/PMC12338767" TargetMode="External"/><Relationship Id="rId35" Type="http://schemas.openxmlformats.org/officeDocument/2006/relationships/hyperlink" Target="https://europepmc.org/article/PMC/PMC12477006" TargetMode="External"/><Relationship Id="rId36" Type="http://schemas.openxmlformats.org/officeDocument/2006/relationships/hyperlink" Target="https://europepmc.org/article/PMC/PMC12191917" TargetMode="External"/><Relationship Id="rId37" Type="http://schemas.openxmlformats.org/officeDocument/2006/relationships/hyperlink" Target="https://europepmc.org/article/PMC/PMC11742393" TargetMode="External"/><Relationship Id="rId38" Type="http://schemas.openxmlformats.org/officeDocument/2006/relationships/hyperlink" Target="https://europepmc.org/article/PMC/PMC12654790" TargetMode="External"/><Relationship Id="rId39" Type="http://schemas.openxmlformats.org/officeDocument/2006/relationships/hyperlink" Target="https://europepmc.org/article/PMC/PMC12842669" TargetMode="External"/><Relationship Id="rId40" Type="http://schemas.openxmlformats.org/officeDocument/2006/relationships/hyperlink" Target="https://europepmc.org/article/PMC/PMC12720023" TargetMode="External"/><Relationship Id="rId41" Type="http://schemas.openxmlformats.org/officeDocument/2006/relationships/hyperlink" Target="https://europepmc.org/article/PMC/PMC12753960" TargetMode="External"/><Relationship Id="rId42" Type="http://schemas.openxmlformats.org/officeDocument/2006/relationships/hyperlink" Target="https://europepmc.org/article/PMC/PMC12105205" TargetMode="External"/><Relationship Id="rId43" Type="http://schemas.openxmlformats.org/officeDocument/2006/relationships/hyperlink" Target="https://europepmc.org/article/PMC/PMC12448012" TargetMode="External"/><Relationship Id="rId44" Type="http://schemas.openxmlformats.org/officeDocument/2006/relationships/hyperlink" Target="https://europepmc.org/article/PMC/PMC12141588" TargetMode="External"/><Relationship Id="rId45" Type="http://schemas.openxmlformats.org/officeDocument/2006/relationships/hyperlink" Target="https://europepmc.org/article/PMC/PMC12212162" TargetMode="External"/><Relationship Id="rId46" Type="http://schemas.openxmlformats.org/officeDocument/2006/relationships/hyperlink" Target="https://europepmc.org/article/PMC/PMC12191009" TargetMode="External"/><Relationship Id="rId47" Type="http://schemas.openxmlformats.org/officeDocument/2006/relationships/hyperlink" Target="https://europepmc.org/article/PMC/PMC11786091" TargetMode="External"/><Relationship Id="rId48" Type="http://schemas.openxmlformats.org/officeDocument/2006/relationships/hyperlink" Target="https://europepmc.org/article/PMC/PMC12389973" TargetMode="External"/><Relationship Id="rId49" Type="http://schemas.openxmlformats.org/officeDocument/2006/relationships/hyperlink" Target="https://europepmc.org/article/PMC/PMC12838146" TargetMode="External"/><Relationship Id="rId50" Type="http://schemas.openxmlformats.org/officeDocument/2006/relationships/hyperlink" Target="https://europepmc.org/article/PMC/PMC12179520" TargetMode="External"/><Relationship Id="rId51" Type="http://schemas.openxmlformats.org/officeDocument/2006/relationships/hyperlink" Target="https://europepmc.org/article/PMC/PMC12371411" TargetMode="External"/><Relationship Id="rId52" Type="http://schemas.openxmlformats.org/officeDocument/2006/relationships/hyperlink" Target="https://europepmc.org/article/PMC/PMC12129765" TargetMode="External"/><Relationship Id="rId53" Type="http://schemas.openxmlformats.org/officeDocument/2006/relationships/hyperlink" Target="https://europepmc.org/article/PMC/PMC12191842" TargetMode="External"/><Relationship Id="rId54" Type="http://schemas.openxmlformats.org/officeDocument/2006/relationships/hyperlink" Target="https://europepmc.org/article/PMC/PMC12326743" TargetMode="External"/><Relationship Id="rId55" Type="http://schemas.openxmlformats.org/officeDocument/2006/relationships/hyperlink" Target="https://europepmc.org/article/PMC/PMC11680720" TargetMode="External"/><Relationship Id="rId56" Type="http://schemas.openxmlformats.org/officeDocument/2006/relationships/hyperlink" Target="https://europepmc.org/article/PMC/PMC12404543" TargetMode="External"/><Relationship Id="rId57" Type="http://schemas.openxmlformats.org/officeDocument/2006/relationships/hyperlink" Target="https://europepmc.org/article/PMC/PMC11781067" TargetMode="External"/><Relationship Id="rId58" Type="http://schemas.openxmlformats.org/officeDocument/2006/relationships/hyperlink" Target="https://europepmc.org/article/PMC/PMC12069281" TargetMode="External"/><Relationship Id="rId59" Type="http://schemas.openxmlformats.org/officeDocument/2006/relationships/hyperlink" Target="https://europepmc.org/article/PMC/PMC12250696" TargetMode="External"/><Relationship Id="rId60" Type="http://schemas.openxmlformats.org/officeDocument/2006/relationships/hyperlink" Target="https://europepmc.org/article/PMC/PMC12104720" TargetMode="External"/><Relationship Id="rId61" Type="http://schemas.openxmlformats.org/officeDocument/2006/relationships/hyperlink" Target="https://europepmc.org/article/PMC/PMC11836176" TargetMode="External"/><Relationship Id="rId62" Type="http://schemas.openxmlformats.org/officeDocument/2006/relationships/hyperlink" Target="https://europepmc.org/article/PMC/PMC12591463" TargetMode="External"/><Relationship Id="rId63" Type="http://schemas.openxmlformats.org/officeDocument/2006/relationships/hyperlink" Target="https://europepmc.org/article/PMC/PMC11719834" TargetMode="External"/><Relationship Id="rId64" Type="http://schemas.openxmlformats.org/officeDocument/2006/relationships/hyperlink" Target="https://europepmc.org/article/PMC/PMC11765744" TargetMode="External"/><Relationship Id="rId65" Type="http://schemas.openxmlformats.org/officeDocument/2006/relationships/hyperlink" Target="https://europepmc.org/article/PMC/PMC12269930" TargetMode="External"/><Relationship Id="rId66" Type="http://schemas.openxmlformats.org/officeDocument/2006/relationships/hyperlink" Target="https://europepmc.org/article/PMC/PMC12812902" TargetMode="External"/><Relationship Id="rId67" Type="http://schemas.openxmlformats.org/officeDocument/2006/relationships/hyperlink" Target="https://europepmc.org/article/PMC/PMC12646731" TargetMode="External"/><Relationship Id="rId68" Type="http://schemas.openxmlformats.org/officeDocument/2006/relationships/hyperlink" Target="https://europepmc.org/article/PMC/PMC12008990" TargetMode="External"/><Relationship Id="rId69" Type="http://schemas.openxmlformats.org/officeDocument/2006/relationships/hyperlink" Target="https://europepmc.org/article/PMC/PMC12370136" TargetMode="External"/><Relationship Id="rId70" Type="http://schemas.openxmlformats.org/officeDocument/2006/relationships/hyperlink" Target="https://europepmc.org/article/PMC/PMC12384400" TargetMode="External"/><Relationship Id="rId71" Type="http://schemas.openxmlformats.org/officeDocument/2006/relationships/hyperlink" Target="https://europepmc.org/article/PMC/PMC12107882" TargetMode="External"/><Relationship Id="rId72" Type="http://schemas.openxmlformats.org/officeDocument/2006/relationships/hyperlink" Target="https://europepmc.org/article/PMC/PMC12608630" TargetMode="External"/><Relationship Id="rId73" Type="http://schemas.openxmlformats.org/officeDocument/2006/relationships/hyperlink" Target="https://europepmc.org/article/PMC/PMC12318030" TargetMode="External"/><Relationship Id="rId74" Type="http://schemas.openxmlformats.org/officeDocument/2006/relationships/hyperlink" Target="https://europepmc.org/article/PMC/PMC11882137" TargetMode="External"/><Relationship Id="rId75" Type="http://schemas.openxmlformats.org/officeDocument/2006/relationships/hyperlink" Target="https://europepmc.org/article/PMC/PMC11988156" TargetMode="External"/><Relationship Id="rId76" Type="http://schemas.openxmlformats.org/officeDocument/2006/relationships/hyperlink" Target="https://europepmc.org/article/PMC/PMC12252233" TargetMode="External"/><Relationship Id="rId77" Type="http://schemas.openxmlformats.org/officeDocument/2006/relationships/hyperlink" Target="https://europepmc.org/article/PMC/PMC12295062" TargetMode="External"/><Relationship Id="rId78" Type="http://schemas.openxmlformats.org/officeDocument/2006/relationships/hyperlink" Target="https://europepmc.org/article/PMC/PMC12222053" TargetMode="External"/><Relationship Id="rId79" Type="http://schemas.openxmlformats.org/officeDocument/2006/relationships/hyperlink" Target="https://europepmc.org/article/PMC/PMC11975991" TargetMode="External"/><Relationship Id="rId80" Type="http://schemas.openxmlformats.org/officeDocument/2006/relationships/hyperlink" Target="https://europepmc.org/article/PMC/PMC11861772" TargetMode="External"/><Relationship Id="rId81" Type="http://schemas.openxmlformats.org/officeDocument/2006/relationships/hyperlink" Target="https://europepmc.org/article/PMC/PMC11937600" TargetMode="External"/><Relationship Id="rId82" Type="http://schemas.openxmlformats.org/officeDocument/2006/relationships/hyperlink" Target="https://europepmc.org/article/PMC/PMC12468869" TargetMode="External"/><Relationship Id="rId83" Type="http://schemas.openxmlformats.org/officeDocument/2006/relationships/hyperlink" Target="https://europepmc.org/article/PMC/PMC12020513" TargetMode="External"/><Relationship Id="rId84" Type="http://schemas.openxmlformats.org/officeDocument/2006/relationships/hyperlink" Target="https://europepmc.org/article/PMC/PMC12217170" TargetMode="External"/><Relationship Id="rId85" Type="http://schemas.openxmlformats.org/officeDocument/2006/relationships/hyperlink" Target="https://europepmc.org/article/PMC/PMC12862092" TargetMode="External"/><Relationship Id="rId86" Type="http://schemas.openxmlformats.org/officeDocument/2006/relationships/hyperlink" Target="https://europepmc.org/article/PMC/PMC12628488" TargetMode="External"/><Relationship Id="rId87" Type="http://schemas.openxmlformats.org/officeDocument/2006/relationships/hyperlink" Target="https://europepmc.org/article/PMC/PMC12535900" TargetMode="External"/><Relationship Id="rId88" Type="http://schemas.openxmlformats.org/officeDocument/2006/relationships/hyperlink" Target="https://europepmc.org/article/PMC/PMC11483474" TargetMode="External"/><Relationship Id="rId89" Type="http://schemas.openxmlformats.org/officeDocument/2006/relationships/hyperlink" Target="https://europepmc.org/article/PMC/PMC12380340" TargetMode="External"/><Relationship Id="rId90" Type="http://schemas.openxmlformats.org/officeDocument/2006/relationships/hyperlink" Target="https://europepmc.org/article/PMC/PMC11837479" TargetMode="External"/><Relationship Id="rId91" Type="http://schemas.openxmlformats.org/officeDocument/2006/relationships/hyperlink" Target="https://europepmc.org/article/PMC/PMC12524090" TargetMode="External"/><Relationship Id="rId92" Type="http://schemas.openxmlformats.org/officeDocument/2006/relationships/hyperlink" Target="https://europepmc.org/article/PMC/PMC11837701" TargetMode="External"/><Relationship Id="rId93" Type="http://schemas.openxmlformats.org/officeDocument/2006/relationships/hyperlink" Target="https://europepmc.org/article/PMC/PMC12701185" TargetMode="External"/><Relationship Id="rId94" Type="http://schemas.openxmlformats.org/officeDocument/2006/relationships/hyperlink" Target="https://europepmc.org/article/PMC/PMC12468862" TargetMode="External"/><Relationship Id="rId95" Type="http://schemas.openxmlformats.org/officeDocument/2006/relationships/hyperlink" Target="https://europepmc.org/article/PMC/PMC11899611" TargetMode="External"/><Relationship Id="rId96" Type="http://schemas.openxmlformats.org/officeDocument/2006/relationships/hyperlink" Target="https://europepmc.org/article/PMC/PMC12399013" TargetMode="External"/><Relationship Id="rId97" Type="http://schemas.openxmlformats.org/officeDocument/2006/relationships/hyperlink" Target="https://europepmc.org/article/PMC/PMC12387618" TargetMode="External"/><Relationship Id="rId98" Type="http://schemas.openxmlformats.org/officeDocument/2006/relationships/hyperlink" Target="https://europepmc.org/article/PMC/PMC12155400" TargetMode="External"/><Relationship Id="rId99" Type="http://schemas.openxmlformats.org/officeDocument/2006/relationships/hyperlink" Target="https://europepmc.org/article/PMC/PMC12349148" TargetMode="External"/><Relationship Id="rId100" Type="http://schemas.openxmlformats.org/officeDocument/2006/relationships/hyperlink" Target="https://europepmc.org/article/PMC/PMC11902609" TargetMode="External"/><Relationship Id="rId101" Type="http://schemas.openxmlformats.org/officeDocument/2006/relationships/hyperlink" Target="https://europepmc.org/article/PMC/PMC12070956" TargetMode="External"/><Relationship Id="rId102" Type="http://schemas.openxmlformats.org/officeDocument/2006/relationships/hyperlink" Target="https://europepmc.org/article/PMC/PMC7617223" TargetMode="External"/><Relationship Id="rId103" Type="http://schemas.openxmlformats.org/officeDocument/2006/relationships/hyperlink" Target="https://europepmc.org/article/PMC/PMC12179047" TargetMode="External"/><Relationship Id="rId104" Type="http://schemas.openxmlformats.org/officeDocument/2006/relationships/hyperlink" Target="https://europepmc.org/article/PMC/PMC12436311" TargetMode="External"/><Relationship Id="rId105" Type="http://schemas.openxmlformats.org/officeDocument/2006/relationships/hyperlink" Target="https://europepmc.org/article/PMC/PMC12350125" TargetMode="External"/><Relationship Id="rId106" Type="http://schemas.openxmlformats.org/officeDocument/2006/relationships/hyperlink" Target="https://europepmc.org/article/PMC/PMC12280904" TargetMode="External"/><Relationship Id="rId107" Type="http://schemas.openxmlformats.org/officeDocument/2006/relationships/hyperlink" Target="https://europepmc.org/article/PMC/PMC11950503" TargetMode="External"/><Relationship Id="rId108" Type="http://schemas.openxmlformats.org/officeDocument/2006/relationships/hyperlink" Target="https://europepmc.org/article/PMC/PMC11979982" TargetMode="External"/><Relationship Id="rId109" Type="http://schemas.openxmlformats.org/officeDocument/2006/relationships/hyperlink" Target="https://europepmc.org/article/PMC/PMC11981170" TargetMode="External"/><Relationship Id="rId110" Type="http://schemas.openxmlformats.org/officeDocument/2006/relationships/hyperlink" Target="https://europepmc.org/article/PMC/PMC12295850" TargetMode="External"/><Relationship Id="rId111" Type="http://schemas.openxmlformats.org/officeDocument/2006/relationships/hyperlink" Target="https://europepmc.org/article/PMC/PMC12427627" TargetMode="External"/><Relationship Id="rId112" Type="http://schemas.openxmlformats.org/officeDocument/2006/relationships/hyperlink" Target="https://europepmc.org/article/PMC/PMC12460420" TargetMode="External"/><Relationship Id="rId113" Type="http://schemas.openxmlformats.org/officeDocument/2006/relationships/hyperlink" Target="https://europepmc.org/article/PMC/PMC12142743" TargetMode="External"/><Relationship Id="rId114" Type="http://schemas.openxmlformats.org/officeDocument/2006/relationships/hyperlink" Target="https://europepmc.org/article/PMC/PMC12052716" TargetMode="External"/><Relationship Id="rId115" Type="http://schemas.openxmlformats.org/officeDocument/2006/relationships/hyperlink" Target="https://europepmc.org/article/PMC/PMC12264328" TargetMode="External"/><Relationship Id="rId116" Type="http://schemas.openxmlformats.org/officeDocument/2006/relationships/hyperlink" Target="https://europepmc.org/article/PMC/PMC12310693" TargetMode="External"/><Relationship Id="rId117" Type="http://schemas.openxmlformats.org/officeDocument/2006/relationships/hyperlink" Target="https://europepmc.org/article/PMC/PMC11817112" TargetMode="External"/><Relationship Id="rId118" Type="http://schemas.openxmlformats.org/officeDocument/2006/relationships/hyperlink" Target="https://europepmc.org/article/PMC/PMC12316994" TargetMode="External"/><Relationship Id="rId119" Type="http://schemas.openxmlformats.org/officeDocument/2006/relationships/hyperlink" Target="https://europepmc.org/article/PMC/PMC11987621" TargetMode="External"/><Relationship Id="rId120" Type="http://schemas.openxmlformats.org/officeDocument/2006/relationships/hyperlink" Target="https://europepmc.org/article/PMC/PMC12440165" TargetMode="External"/><Relationship Id="rId121" Type="http://schemas.openxmlformats.org/officeDocument/2006/relationships/hyperlink" Target="https://europepmc.org/article/PMC/PMC12733862" TargetMode="External"/><Relationship Id="rId122" Type="http://schemas.openxmlformats.org/officeDocument/2006/relationships/hyperlink" Target="https://europepmc.org/article/PMC/PMC12227691" TargetMode="External"/><Relationship Id="rId123" Type="http://schemas.openxmlformats.org/officeDocument/2006/relationships/hyperlink" Target="https://europepmc.org/article/PMC/PMC12193078" TargetMode="External"/><Relationship Id="rId124" Type="http://schemas.openxmlformats.org/officeDocument/2006/relationships/hyperlink" Target="https://europepmc.org/article/PMC/PMC12499557" TargetMode="External"/><Relationship Id="rId125" Type="http://schemas.openxmlformats.org/officeDocument/2006/relationships/hyperlink" Target="https://europepmc.org/article/PMC/PMC12332990" TargetMode="External"/><Relationship Id="rId126" Type="http://schemas.openxmlformats.org/officeDocument/2006/relationships/hyperlink" Target="https://europepmc.org/article/PMC/PMC12580201" TargetMode="External"/><Relationship Id="rId127" Type="http://schemas.openxmlformats.org/officeDocument/2006/relationships/hyperlink" Target="https://europepmc.org/article/PMC/PMC11898657" TargetMode="External"/><Relationship Id="rId128" Type="http://schemas.openxmlformats.org/officeDocument/2006/relationships/hyperlink" Target="https://europepmc.org/article/PMC/PMC11983456" TargetMode="External"/><Relationship Id="rId129" Type="http://schemas.openxmlformats.org/officeDocument/2006/relationships/hyperlink" Target="https://europepmc.org/article/PMC/PMC12467694" TargetMode="External"/><Relationship Id="rId130" Type="http://schemas.openxmlformats.org/officeDocument/2006/relationships/hyperlink" Target="https://europepmc.org/article/PMC/PMC12119131" TargetMode="External"/><Relationship Id="rId131" Type="http://schemas.openxmlformats.org/officeDocument/2006/relationships/hyperlink" Target="https://europepmc.org/article/PMC/PMC11933192" TargetMode="External"/><Relationship Id="rId132" Type="http://schemas.openxmlformats.org/officeDocument/2006/relationships/hyperlink" Target="https://europepmc.org/article/PMC/PMC12189867" TargetMode="External"/><Relationship Id="rId133" Type="http://schemas.openxmlformats.org/officeDocument/2006/relationships/hyperlink" Target="https://europepmc.org/article/PMC/PMC12404480" TargetMode="External"/><Relationship Id="rId134" Type="http://schemas.openxmlformats.org/officeDocument/2006/relationships/hyperlink" Target="https://europepmc.org/article/PMC/PMC12239351" TargetMode="External"/><Relationship Id="rId135" Type="http://schemas.openxmlformats.org/officeDocument/2006/relationships/hyperlink" Target="https://europepmc.org/article/PMC/PMC12471856" TargetMode="External"/><Relationship Id="rId136" Type="http://schemas.openxmlformats.org/officeDocument/2006/relationships/hyperlink" Target="https://europepmc.org/article/PMC/PMC12213050" TargetMode="External"/><Relationship Id="rId137" Type="http://schemas.openxmlformats.org/officeDocument/2006/relationships/hyperlink" Target="https://europepmc.org/article/PMC/PMC11999632" TargetMode="External"/><Relationship Id="rId138" Type="http://schemas.openxmlformats.org/officeDocument/2006/relationships/hyperlink" Target="https://europepmc.org/article/PMC/PMC12388561" TargetMode="External"/><Relationship Id="rId139" Type="http://schemas.openxmlformats.org/officeDocument/2006/relationships/hyperlink" Target="https://europepmc.org/article/PMC/PMC12190387" TargetMode="External"/><Relationship Id="rId140" Type="http://schemas.openxmlformats.org/officeDocument/2006/relationships/hyperlink" Target="https://europepmc.org/article/PMC/PMC12489083" TargetMode="External"/><Relationship Id="rId141" Type="http://schemas.openxmlformats.org/officeDocument/2006/relationships/hyperlink" Target="https://europepmc.org/article/PMC/PMC12620616" TargetMode="External"/><Relationship Id="rId142" Type="http://schemas.openxmlformats.org/officeDocument/2006/relationships/hyperlink" Target="https://europepmc.org/article/PMC/PMC12234637" TargetMode="External"/><Relationship Id="rId143" Type="http://schemas.openxmlformats.org/officeDocument/2006/relationships/hyperlink" Target="https://europepmc.org/article/PMC/PMC12290913" TargetMode="External"/><Relationship Id="rId144" Type="http://schemas.openxmlformats.org/officeDocument/2006/relationships/hyperlink" Target="https://europepmc.org/article/PMC/PMC11898873" TargetMode="External"/><Relationship Id="rId145" Type="http://schemas.openxmlformats.org/officeDocument/2006/relationships/hyperlink" Target="https://europepmc.org/article/PMC/PMC12564389" TargetMode="External"/><Relationship Id="rId146" Type="http://schemas.openxmlformats.org/officeDocument/2006/relationships/hyperlink" Target="https://europepmc.org/article/PMC/PMC11667687" TargetMode="External"/><Relationship Id="rId147" Type="http://schemas.openxmlformats.org/officeDocument/2006/relationships/hyperlink" Target="https://europepmc.org/article/PMC/PMC12212108" TargetMode="External"/><Relationship Id="rId148" Type="http://schemas.openxmlformats.org/officeDocument/2006/relationships/hyperlink" Target="https://europepmc.org/article/PMC/PMC12610522" TargetMode="External"/><Relationship Id="rId149" Type="http://schemas.openxmlformats.org/officeDocument/2006/relationships/hyperlink" Target="https://europepmc.org/article/PMC/PMC12563722" TargetMode="External"/><Relationship Id="rId150" Type="http://schemas.openxmlformats.org/officeDocument/2006/relationships/hyperlink" Target="https://europepmc.org/article/PMC/PMC12605480" TargetMode="External"/><Relationship Id="rId151" Type="http://schemas.openxmlformats.org/officeDocument/2006/relationships/hyperlink" Target="https://europepmc.org/article/PMC/PMC12092319" TargetMode="External"/><Relationship Id="rId152" Type="http://schemas.openxmlformats.org/officeDocument/2006/relationships/hyperlink" Target="https://europepmc.org/article/PMC/PMC11774367" TargetMode="External"/><Relationship Id="rId153" Type="http://schemas.openxmlformats.org/officeDocument/2006/relationships/hyperlink" Target="https://europepmc.org/article/PMC/PMC12027922" TargetMode="External"/><Relationship Id="rId154" Type="http://schemas.openxmlformats.org/officeDocument/2006/relationships/hyperlink" Target="https://europepmc.org/article/PMC/PMC12383659" TargetMode="External"/><Relationship Id="rId155" Type="http://schemas.openxmlformats.org/officeDocument/2006/relationships/hyperlink" Target="https://europepmc.org/article/PMC/PMC12603675" TargetMode="External"/><Relationship Id="rId156" Type="http://schemas.openxmlformats.org/officeDocument/2006/relationships/hyperlink" Target="https://europepmc.org/article/PMC/PMC12552472" TargetMode="External"/><Relationship Id="rId157" Type="http://schemas.openxmlformats.org/officeDocument/2006/relationships/hyperlink" Target="https://europepmc.org/article/PMC/PMC12148044" TargetMode="External"/><Relationship Id="rId158" Type="http://schemas.openxmlformats.org/officeDocument/2006/relationships/hyperlink" Target="https://europepmc.org/article/PMC/PMC12606778" TargetMode="External"/><Relationship Id="rId159" Type="http://schemas.openxmlformats.org/officeDocument/2006/relationships/hyperlink" Target="https://europepmc.org/article/PMC/PMC11968703" TargetMode="External"/><Relationship Id="rId160" Type="http://schemas.openxmlformats.org/officeDocument/2006/relationships/hyperlink" Target="https://europepmc.org/article/PMC/PMC12467930" TargetMode="External"/><Relationship Id="rId161" Type="http://schemas.openxmlformats.org/officeDocument/2006/relationships/hyperlink" Target="https://europepmc.org/article/PMC/PMC13223431" TargetMode="External"/><Relationship Id="rId162" Type="http://schemas.openxmlformats.org/officeDocument/2006/relationships/hyperlink" Target="https://europepmc.org/article/PMC/PMC12513637" TargetMode="External"/><Relationship Id="rId163" Type="http://schemas.openxmlformats.org/officeDocument/2006/relationships/hyperlink" Target="https://europepmc.org/article/PMC/PMC12687559" TargetMode="External"/><Relationship Id="rId164" Type="http://schemas.openxmlformats.org/officeDocument/2006/relationships/hyperlink" Target="https://europepmc.org/article/PMC/PMC12316318" TargetMode="External"/><Relationship Id="rId165" Type="http://schemas.openxmlformats.org/officeDocument/2006/relationships/hyperlink" Target="https://europepmc.org/article/PMC/PMC12353728" TargetMode="External"/><Relationship Id="rId166" Type="http://schemas.openxmlformats.org/officeDocument/2006/relationships/hyperlink" Target="https://europepmc.org/article/PMC/PMC12485631" TargetMode="External"/><Relationship Id="rId167" Type="http://schemas.openxmlformats.org/officeDocument/2006/relationships/hyperlink" Target="https://europepmc.org/article/PMC/PMC11999846" TargetMode="External"/><Relationship Id="rId168" Type="http://schemas.openxmlformats.org/officeDocument/2006/relationships/hyperlink" Target="https://europepmc.org/article/PMC/PMC12396830" TargetMode="External"/><Relationship Id="rId169" Type="http://schemas.openxmlformats.org/officeDocument/2006/relationships/hyperlink" Target="https://europepmc.org/article/PMC/PMC12689593" TargetMode="External"/><Relationship Id="rId170" Type="http://schemas.openxmlformats.org/officeDocument/2006/relationships/hyperlink" Target="https://europepmc.org/article/PMC/PMC12345889" TargetMode="External"/><Relationship Id="rId171" Type="http://schemas.openxmlformats.org/officeDocument/2006/relationships/hyperlink" Target="https://europepmc.org/article/PMC/PMC12737021" TargetMode="External"/><Relationship Id="rId172" Type="http://schemas.openxmlformats.org/officeDocument/2006/relationships/hyperlink" Target="https://europepmc.org/article/PMC/PMC12387165" TargetMode="External"/><Relationship Id="rId173" Type="http://schemas.openxmlformats.org/officeDocument/2006/relationships/hyperlink" Target="https://europepmc.org/article/PMC/PMC12143801" TargetMode="External"/><Relationship Id="rId174" Type="http://schemas.openxmlformats.org/officeDocument/2006/relationships/hyperlink" Target="https://europepmc.org/article/PMC/PMC12564920" TargetMode="External"/><Relationship Id="rId175" Type="http://schemas.openxmlformats.org/officeDocument/2006/relationships/hyperlink" Target="https://europepmc.org/article/PMC/PMC12845566" TargetMode="External"/><Relationship Id="rId176" Type="http://schemas.openxmlformats.org/officeDocument/2006/relationships/hyperlink" Target="https://europepmc.org/article/PMC/PMC11766424" TargetMode="External"/><Relationship Id="rId177" Type="http://schemas.openxmlformats.org/officeDocument/2006/relationships/hyperlink" Target="https://europepmc.org/article/PMC/PMC12143367" TargetMode="External"/><Relationship Id="rId178" Type="http://schemas.openxmlformats.org/officeDocument/2006/relationships/hyperlink" Target="https://europepmc.org/article/PMC/PMC12189467" TargetMode="External"/><Relationship Id="rId179" Type="http://schemas.openxmlformats.org/officeDocument/2006/relationships/hyperlink" Target="https://europepmc.org/article/PMC/PMC12295020" TargetMode="External"/><Relationship Id="rId180" Type="http://schemas.openxmlformats.org/officeDocument/2006/relationships/hyperlink" Target="https://europepmc.org/article/PMC/PMC12249172" TargetMode="External"/><Relationship Id="rId181" Type="http://schemas.openxmlformats.org/officeDocument/2006/relationships/hyperlink" Target="https://europepmc.org/article/PMC/PMC12572571" TargetMode="External"/><Relationship Id="rId182" Type="http://schemas.openxmlformats.org/officeDocument/2006/relationships/hyperlink" Target="https://europepmc.org/article/PMC/PMC12322712" TargetMode="External"/><Relationship Id="rId183" Type="http://schemas.openxmlformats.org/officeDocument/2006/relationships/hyperlink" Target="https://europepmc.org/article/PMC/PMC11856240" TargetMode="External"/><Relationship Id="rId184" Type="http://schemas.openxmlformats.org/officeDocument/2006/relationships/hyperlink" Target="https://europepmc.org/article/PMC/PMC12669110" TargetMode="External"/><Relationship Id="rId185" Type="http://schemas.openxmlformats.org/officeDocument/2006/relationships/hyperlink" Target="https://europepmc.org/article/PMC/PMC12152023" TargetMode="External"/><Relationship Id="rId186" Type="http://schemas.openxmlformats.org/officeDocument/2006/relationships/hyperlink" Target="https://europepmc.org/article/PMC/PMC12444220" TargetMode="External"/><Relationship Id="rId187" Type="http://schemas.openxmlformats.org/officeDocument/2006/relationships/hyperlink" Target="https://europepmc.org/article/PMC/PMC12190310" TargetMode="External"/><Relationship Id="rId188" Type="http://schemas.openxmlformats.org/officeDocument/2006/relationships/hyperlink" Target="https://europepmc.org/article/PMC/PMC12063467" TargetMode="External"/><Relationship Id="rId189" Type="http://schemas.openxmlformats.org/officeDocument/2006/relationships/hyperlink" Target="https://europepmc.org/article/PMC/PMC12346750" TargetMode="External"/><Relationship Id="rId190" Type="http://schemas.openxmlformats.org/officeDocument/2006/relationships/hyperlink" Target="https://europepmc.org/article/PMC/PMC12565449" TargetMode="External"/><Relationship Id="rId191" Type="http://schemas.openxmlformats.org/officeDocument/2006/relationships/hyperlink" Target="https://europepmc.org/article/PMC/PMC12886037" TargetMode="External"/><Relationship Id="rId192" Type="http://schemas.openxmlformats.org/officeDocument/2006/relationships/hyperlink" Target="https://europepmc.org/article/PMC/PMC12218925" TargetMode="External"/><Relationship Id="rId193" Type="http://schemas.openxmlformats.org/officeDocument/2006/relationships/hyperlink" Target="https://europepmc.org/article/PMC/PMC12454447" TargetMode="External"/><Relationship Id="rId194" Type="http://schemas.openxmlformats.org/officeDocument/2006/relationships/hyperlink" Target="https://europepmc.org/article/PMC/PMC12165889" TargetMode="External"/><Relationship Id="rId195" Type="http://schemas.openxmlformats.org/officeDocument/2006/relationships/hyperlink" Target="https://europepmc.org/article/PMC/PMC11988322" TargetMode="External"/><Relationship Id="rId196" Type="http://schemas.openxmlformats.org/officeDocument/2006/relationships/hyperlink" Target="https://europepmc.org/article/PMC/PMC12405214" TargetMode="External"/><Relationship Id="rId197" Type="http://schemas.openxmlformats.org/officeDocument/2006/relationships/hyperlink" Target="https://europepmc.org/article/PMC/PMC12157125" TargetMode="External"/><Relationship Id="rId198" Type="http://schemas.openxmlformats.org/officeDocument/2006/relationships/hyperlink" Target="https://europepmc.org/article/PMC/PMC12162252" TargetMode="External"/><Relationship Id="rId199" Type="http://schemas.openxmlformats.org/officeDocument/2006/relationships/hyperlink" Target="https://europepmc.org/article/PMC/PMC12572109" TargetMode="External"/><Relationship Id="rId200" Type="http://schemas.openxmlformats.org/officeDocument/2006/relationships/hyperlink" Target="https://europepmc.org/article/PMC/PMC11763917" TargetMode="External"/><Relationship Id="rId201" Type="http://schemas.openxmlformats.org/officeDocument/2006/relationships/hyperlink" Target="https://europepmc.org/article/PMC/PMC11695392" TargetMode="External"/><Relationship Id="rId202" Type="http://schemas.openxmlformats.org/officeDocument/2006/relationships/hyperlink" Target="https://europepmc.org/article/PMC/PMC12346189" TargetMode="External"/><Relationship Id="rId203" Type="http://schemas.openxmlformats.org/officeDocument/2006/relationships/hyperlink" Target="https://europepmc.org/article/PMC/PMC12336342" TargetMode="External"/><Relationship Id="rId204" Type="http://schemas.openxmlformats.org/officeDocument/2006/relationships/hyperlink" Target="https://europepmc.org/article/PMC/PMC11866614" TargetMode="External"/><Relationship Id="rId205" Type="http://schemas.openxmlformats.org/officeDocument/2006/relationships/hyperlink" Target="https://europepmc.org/article/PMC/PMC12066621" TargetMode="External"/><Relationship Id="rId206" Type="http://schemas.openxmlformats.org/officeDocument/2006/relationships/hyperlink" Target="https://europepmc.org/article/PMC/PMC11999292" TargetMode="External"/><Relationship Id="rId207" Type="http://schemas.openxmlformats.org/officeDocument/2006/relationships/hyperlink" Target="https://europepmc.org/article/PMC/PMC13105305" TargetMode="External"/><Relationship Id="rId208" Type="http://schemas.openxmlformats.org/officeDocument/2006/relationships/hyperlink" Target="https://europepmc.org/article/PMC/PMC11950469" TargetMode="External"/><Relationship Id="rId209" Type="http://schemas.openxmlformats.org/officeDocument/2006/relationships/hyperlink" Target="https://europepmc.org/article/PMC/PMC11835854" TargetMode="External"/><Relationship Id="rId210" Type="http://schemas.openxmlformats.org/officeDocument/2006/relationships/hyperlink" Target="https://europepmc.org/article/PMC/PMC11944010" TargetMode="External"/><Relationship Id="rId211" Type="http://schemas.openxmlformats.org/officeDocument/2006/relationships/hyperlink" Target="https://europepmc.org/article/PMC/PMC12650808" TargetMode="External"/><Relationship Id="rId212" Type="http://schemas.openxmlformats.org/officeDocument/2006/relationships/hyperlink" Target="https://europepmc.org/article/PMC/PMC12647221" TargetMode="External"/><Relationship Id="rId213" Type="http://schemas.openxmlformats.org/officeDocument/2006/relationships/hyperlink" Target="https://europepmc.org/article/PMC/PMC12283581" TargetMode="External"/><Relationship Id="rId214" Type="http://schemas.openxmlformats.org/officeDocument/2006/relationships/hyperlink" Target="https://europepmc.org/article/PMC/PMC12036548" TargetMode="External"/><Relationship Id="rId215" Type="http://schemas.openxmlformats.org/officeDocument/2006/relationships/hyperlink" Target="https://europepmc.org/article/PMC/PMC12329014" TargetMode="External"/><Relationship Id="rId216" Type="http://schemas.openxmlformats.org/officeDocument/2006/relationships/hyperlink" Target="https://europepmc.org/article/PMC/PMC12021809" TargetMode="External"/><Relationship Id="rId217" Type="http://schemas.openxmlformats.org/officeDocument/2006/relationships/hyperlink" Target="https://europepmc.org/article/PMC/PMC12685141" TargetMode="External"/><Relationship Id="rId218" Type="http://schemas.openxmlformats.org/officeDocument/2006/relationships/hyperlink" Target="https://europepmc.org/article/PMC/PMC12646915" TargetMode="External"/><Relationship Id="rId219" Type="http://schemas.openxmlformats.org/officeDocument/2006/relationships/hyperlink" Target="https://europepmc.org/article/PMC/PMC12691013" TargetMode="External"/><Relationship Id="rId220" Type="http://schemas.openxmlformats.org/officeDocument/2006/relationships/hyperlink" Target="https://europepmc.org/article/PMC/PMC11761908" TargetMode="External"/><Relationship Id="rId221" Type="http://schemas.openxmlformats.org/officeDocument/2006/relationships/hyperlink" Target="https://europepmc.org/article/PMC/PMC12405520" TargetMode="External"/><Relationship Id="rId222" Type="http://schemas.openxmlformats.org/officeDocument/2006/relationships/hyperlink" Target="https://europepmc.org/article/PMC/PMC11902864" TargetMode="External"/><Relationship Id="rId223" Type="http://schemas.openxmlformats.org/officeDocument/2006/relationships/hyperlink" Target="https://europepmc.org/article/PMC/PMC12153998" TargetMode="External"/><Relationship Id="rId224" Type="http://schemas.openxmlformats.org/officeDocument/2006/relationships/hyperlink" Target="https://europepmc.org/article/PMC/PMC12085623" TargetMode="External"/><Relationship Id="rId225" Type="http://schemas.openxmlformats.org/officeDocument/2006/relationships/hyperlink" Target="https://europepmc.org/article/PMC/PMC12861897" TargetMode="External"/><Relationship Id="rId226" Type="http://schemas.openxmlformats.org/officeDocument/2006/relationships/hyperlink" Target="https://europepmc.org/article/PMC/PMC12862074" TargetMode="External"/><Relationship Id="rId227" Type="http://schemas.openxmlformats.org/officeDocument/2006/relationships/hyperlink" Target="https://europepmc.org/article/PMC/PMC11763248" TargetMode="External"/><Relationship Id="rId228" Type="http://schemas.openxmlformats.org/officeDocument/2006/relationships/hyperlink" Target="https://europepmc.org/article/PMC/PMC12733839" TargetMode="External"/><Relationship Id="rId229" Type="http://schemas.openxmlformats.org/officeDocument/2006/relationships/hyperlink" Target="https://europepmc.org/article/PMC/PMC12686508" TargetMode="External"/><Relationship Id="rId230" Type="http://schemas.openxmlformats.org/officeDocument/2006/relationships/hyperlink" Target="https://europepmc.org/article/PMC/PMC12148559" TargetMode="External"/><Relationship Id="rId231" Type="http://schemas.openxmlformats.org/officeDocument/2006/relationships/hyperlink" Target="https://europepmc.org/article/PMC/PMC12817460" TargetMode="External"/><Relationship Id="rId232" Type="http://schemas.openxmlformats.org/officeDocument/2006/relationships/hyperlink" Target="https://europepmc.org/article/PMC/PMC12189345" TargetMode="External"/><Relationship Id="rId233" Type="http://schemas.openxmlformats.org/officeDocument/2006/relationships/hyperlink" Target="https://europepmc.org/article/PMC/PMC11974447" TargetMode="External"/><Relationship Id="rId234" Type="http://schemas.openxmlformats.org/officeDocument/2006/relationships/hyperlink" Target="https://europepmc.org/article/PMC/PMC13223442" TargetMode="External"/><Relationship Id="rId235" Type="http://schemas.openxmlformats.org/officeDocument/2006/relationships/hyperlink" Target="https://europepmc.org/article/PMC/PMC12460464" TargetMode="External"/><Relationship Id="rId236" Type="http://schemas.openxmlformats.org/officeDocument/2006/relationships/hyperlink" Target="https://europepmc.org/article/PMC/PMC12229398" TargetMode="External"/><Relationship Id="rId237" Type="http://schemas.openxmlformats.org/officeDocument/2006/relationships/hyperlink" Target="https://europepmc.org/article/PMC/PMC12249270" TargetMode="External"/><Relationship Id="rId238" Type="http://schemas.openxmlformats.org/officeDocument/2006/relationships/hyperlink" Target="https://europepmc.org/article/PMC/PMC12358265" TargetMode="External"/><Relationship Id="rId239" Type="http://schemas.openxmlformats.org/officeDocument/2006/relationships/hyperlink" Target="https://europepmc.org/article/PMC/PMC11936934" TargetMode="External"/><Relationship Id="rId240" Type="http://schemas.openxmlformats.org/officeDocument/2006/relationships/hyperlink" Target="https://europepmc.org/article/PMC/PMC11852629" TargetMode="External"/><Relationship Id="rId241" Type="http://schemas.openxmlformats.org/officeDocument/2006/relationships/hyperlink" Target="https://europepmc.org/article/PMC/PMC12812965" TargetMode="External"/><Relationship Id="rId242" Type="http://schemas.openxmlformats.org/officeDocument/2006/relationships/hyperlink" Target="https://europepmc.org/article/PMC/PMC12293373" TargetMode="External"/><Relationship Id="rId243" Type="http://schemas.openxmlformats.org/officeDocument/2006/relationships/hyperlink" Target="https://europepmc.org/article/PMC/PMC12085910" TargetMode="External"/><Relationship Id="rId244" Type="http://schemas.openxmlformats.org/officeDocument/2006/relationships/hyperlink" Target="https://europepmc.org/article/PMC/PMC12833296" TargetMode="External"/><Relationship Id="rId245" Type="http://schemas.openxmlformats.org/officeDocument/2006/relationships/hyperlink" Target="https://europepmc.org/article/PMC/PMC12286415" TargetMode="External"/><Relationship Id="rId246" Type="http://schemas.openxmlformats.org/officeDocument/2006/relationships/hyperlink" Target="https://europepmc.org/article/PMC/PMC11816878" TargetMode="External"/><Relationship Id="rId247" Type="http://schemas.openxmlformats.org/officeDocument/2006/relationships/hyperlink" Target="https://europepmc.org/article/PMC/PMC12409722" TargetMode="External"/><Relationship Id="rId248" Type="http://schemas.openxmlformats.org/officeDocument/2006/relationships/hyperlink" Target="https://europepmc.org/article/PMC/PMC11852041" TargetMode="External"/><Relationship Id="rId249" Type="http://schemas.openxmlformats.org/officeDocument/2006/relationships/hyperlink" Target="https://europepmc.org/article/PMC/PMC12797949" TargetMode="External"/><Relationship Id="rId250" Type="http://schemas.openxmlformats.org/officeDocument/2006/relationships/hyperlink" Target="https://europepmc.org/article/PMC/PMC12436478" TargetMode="External"/><Relationship Id="rId251" Type="http://schemas.openxmlformats.org/officeDocument/2006/relationships/hyperlink" Target="https://europepmc.org/article/PMC/PMC12722621" TargetMode="External"/><Relationship Id="rId252" Type="http://schemas.openxmlformats.org/officeDocument/2006/relationships/hyperlink" Target="https://europepmc.org/article/PMC/PMC11771893" TargetMode="External"/><Relationship Id="rId253" Type="http://schemas.openxmlformats.org/officeDocument/2006/relationships/hyperlink" Target="https://europepmc.org/article/PMC/PMC11729609" TargetMode="External"/><Relationship Id="rId254" Type="http://schemas.openxmlformats.org/officeDocument/2006/relationships/hyperlink" Target="https://europepmc.org/article/PMC/PMC12734304" TargetMode="External"/><Relationship Id="rId255" Type="http://schemas.openxmlformats.org/officeDocument/2006/relationships/hyperlink" Target="https://europepmc.org/article/PMC/PMC12183800" TargetMode="External"/><Relationship Id="rId256" Type="http://schemas.openxmlformats.org/officeDocument/2006/relationships/hyperlink" Target="https://europepmc.org/article/PMC/PMC12025211" TargetMode="External"/><Relationship Id="rId257" Type="http://schemas.openxmlformats.org/officeDocument/2006/relationships/hyperlink" Target="https://europepmc.org/article/PMC/PMC12534675" TargetMode="External"/><Relationship Id="rId258" Type="http://schemas.openxmlformats.org/officeDocument/2006/relationships/hyperlink" Target="https://europepmc.org/article/PMC/PMC12711134" TargetMode="External"/><Relationship Id="rId259" Type="http://schemas.openxmlformats.org/officeDocument/2006/relationships/hyperlink" Target="https://europepmc.org/article/PMC/PMC12855055" TargetMode="External"/><Relationship Id="rId260" Type="http://schemas.openxmlformats.org/officeDocument/2006/relationships/hyperlink" Target="https://europepmc.org/article/PMC/PMC12731630" TargetMode="External"/><Relationship Id="rId261" Type="http://schemas.openxmlformats.org/officeDocument/2006/relationships/hyperlink" Target="https://europepmc.org/article/PMC/PMC12491050" TargetMode="External"/><Relationship Id="rId262" Type="http://schemas.openxmlformats.org/officeDocument/2006/relationships/hyperlink" Target="https://europepmc.org/article/PMC/PMC11971367" TargetMode="External"/><Relationship Id="rId263" Type="http://schemas.openxmlformats.org/officeDocument/2006/relationships/hyperlink" Target="https://europepmc.org/article/PMC/PMC12387851" TargetMode="External"/><Relationship Id="rId264" Type="http://schemas.openxmlformats.org/officeDocument/2006/relationships/hyperlink" Target="https://europepmc.org/article/PMC/PMC12699262" TargetMode="External"/><Relationship Id="rId265" Type="http://schemas.openxmlformats.org/officeDocument/2006/relationships/hyperlink" Target="https://europepmc.org/article/PMC/PMC13223414" TargetMode="External"/><Relationship Id="rId266" Type="http://schemas.openxmlformats.org/officeDocument/2006/relationships/hyperlink" Target="https://europepmc.org/article/PMC/PMC12523697" TargetMode="External"/><Relationship Id="rId267" Type="http://schemas.openxmlformats.org/officeDocument/2006/relationships/hyperlink" Target="https://europepmc.org/article/PMC/PMC12745478" TargetMode="External"/><Relationship Id="rId268" Type="http://schemas.openxmlformats.org/officeDocument/2006/relationships/hyperlink" Target="https://europepmc.org/article/PMC/PMC11929326" TargetMode="External"/><Relationship Id="rId269" Type="http://schemas.openxmlformats.org/officeDocument/2006/relationships/hyperlink" Target="https://europepmc.org/article/PMC/PMC11953181" TargetMode="External"/><Relationship Id="rId270" Type="http://schemas.openxmlformats.org/officeDocument/2006/relationships/hyperlink" Target="https://europepmc.org/article/PMC/PMC12190484" TargetMode="External"/><Relationship Id="rId271" Type="http://schemas.openxmlformats.org/officeDocument/2006/relationships/hyperlink" Target="https://europepmc.org/article/PMC/PMC12237964" TargetMode="External"/><Relationship Id="rId272" Type="http://schemas.openxmlformats.org/officeDocument/2006/relationships/hyperlink" Target="https://europepmc.org/article/PMC/PMC12271101" TargetMode="External"/><Relationship Id="rId273" Type="http://schemas.openxmlformats.org/officeDocument/2006/relationships/hyperlink" Target="https://europepmc.org/article/PMC/PMC11970440" TargetMode="External"/><Relationship Id="rId274" Type="http://schemas.openxmlformats.org/officeDocument/2006/relationships/hyperlink" Target="https://europepmc.org/article/PMC/PMC11999707" TargetMode="External"/><Relationship Id="rId275" Type="http://schemas.openxmlformats.org/officeDocument/2006/relationships/hyperlink" Target="https://europepmc.org/article/PMC/PMC12074408" TargetMode="External"/><Relationship Id="rId276" Type="http://schemas.openxmlformats.org/officeDocument/2006/relationships/hyperlink" Target="https://europepmc.org/article/PMC/PMC12154171" TargetMode="External"/><Relationship Id="rId277" Type="http://schemas.openxmlformats.org/officeDocument/2006/relationships/hyperlink" Target="https://europepmc.org/article/PMC/PMC12204963" TargetMode="External"/><Relationship Id="rId278" Type="http://schemas.openxmlformats.org/officeDocument/2006/relationships/hyperlink" Target="https://europepmc.org/article/PMC/PMC12088959" TargetMode="External"/><Relationship Id="rId279" Type="http://schemas.openxmlformats.org/officeDocument/2006/relationships/hyperlink" Target="https://europepmc.org/article/PMC/PMC11719945" TargetMode="External"/><Relationship Id="rId280" Type="http://schemas.openxmlformats.org/officeDocument/2006/relationships/hyperlink" Target="https://europepmc.org/article/PMC/PMC12280878" TargetMode="External"/><Relationship Id="rId281" Type="http://schemas.openxmlformats.org/officeDocument/2006/relationships/hyperlink" Target="https://europepmc.org/article/PMC/PMC12074947" TargetMode="External"/><Relationship Id="rId282" Type="http://schemas.openxmlformats.org/officeDocument/2006/relationships/hyperlink" Target="https://europepmc.org/article/PMC/PMC12516162" TargetMode="External"/><Relationship Id="rId283" Type="http://schemas.openxmlformats.org/officeDocument/2006/relationships/hyperlink" Target="https://europepmc.org/article/PMC/PMC12833394" TargetMode="External"/><Relationship Id="rId284" Type="http://schemas.openxmlformats.org/officeDocument/2006/relationships/hyperlink" Target="https://europepmc.org/article/PMC/PMC12245699" TargetMode="External"/><Relationship Id="rId285" Type="http://schemas.openxmlformats.org/officeDocument/2006/relationships/hyperlink" Target="https://europepmc.org/article/PMC/PMC12610351" TargetMode="External"/><Relationship Id="rId286" Type="http://schemas.openxmlformats.org/officeDocument/2006/relationships/hyperlink" Target="https://europepmc.org/article/PMC/PMC12691452" TargetMode="External"/><Relationship Id="rId287" Type="http://schemas.openxmlformats.org/officeDocument/2006/relationships/hyperlink" Target="https://europepmc.org/article/PMC/PMC12594325" TargetMode="External"/><Relationship Id="rId288" Type="http://schemas.openxmlformats.org/officeDocument/2006/relationships/hyperlink" Target="https://europepmc.org/article/PMC/PMC12565600" TargetMode="External"/><Relationship Id="rId289" Type="http://schemas.openxmlformats.org/officeDocument/2006/relationships/hyperlink" Target="https://europepmc.org/article/PMC/PMC12658776" TargetMode="External"/><Relationship Id="rId290" Type="http://schemas.openxmlformats.org/officeDocument/2006/relationships/hyperlink" Target="https://europepmc.org/article/PMC/PMC12141237" TargetMode="External"/><Relationship Id="rId291" Type="http://schemas.openxmlformats.org/officeDocument/2006/relationships/hyperlink" Target="https://europepmc.org/article/PMC/PMC12457126" TargetMode="External"/><Relationship Id="rId292" Type="http://schemas.openxmlformats.org/officeDocument/2006/relationships/hyperlink" Target="https://europepmc.org/article/PMC/PMC12222156" TargetMode="External"/><Relationship Id="rId293" Type="http://schemas.openxmlformats.org/officeDocument/2006/relationships/hyperlink" Target="https://europepmc.org/article/PMC/PMC12141739" TargetMode="External"/><Relationship Id="rId294" Type="http://schemas.openxmlformats.org/officeDocument/2006/relationships/hyperlink" Target="https://europepmc.org/article/PMC/PMC11941083" TargetMode="External"/><Relationship Id="rId295" Type="http://schemas.openxmlformats.org/officeDocument/2006/relationships/hyperlink" Target="https://europepmc.org/article/PMC/PMC11922808" TargetMode="External"/><Relationship Id="rId296" Type="http://schemas.openxmlformats.org/officeDocument/2006/relationships/hyperlink" Target="https://europepmc.org/article/PMC/PMC12209302" TargetMode="External"/><Relationship Id="rId297" Type="http://schemas.openxmlformats.org/officeDocument/2006/relationships/hyperlink" Target="https://europepmc.org/article/PMC/PMC12391760" TargetMode="External"/><Relationship Id="rId298" Type="http://schemas.openxmlformats.org/officeDocument/2006/relationships/hyperlink" Target="https://europepmc.org/article/PMC/PMC12511338" TargetMode="External"/><Relationship Id="rId299" Type="http://schemas.openxmlformats.org/officeDocument/2006/relationships/hyperlink" Target="https://europepmc.org/article/PMC/PMC11825062" TargetMode="External"/><Relationship Id="rId300" Type="http://schemas.openxmlformats.org/officeDocument/2006/relationships/hyperlink" Target="https://europepmc.org/article/PMC/PMC12310404" TargetMode="External"/><Relationship Id="rId301" Type="http://schemas.openxmlformats.org/officeDocument/2006/relationships/hyperlink" Target="https://europepmc.org/article/PMC/PMC12499545" TargetMode="External"/><Relationship Id="rId302" Type="http://schemas.openxmlformats.org/officeDocument/2006/relationships/hyperlink" Target="https://europepmc.org/article/PMC/PMC12434915" TargetMode="External"/><Relationship Id="rId303" Type="http://schemas.openxmlformats.org/officeDocument/2006/relationships/hyperlink" Target="https://europepmc.org/article/PMC/PMC12565728" TargetMode="External"/><Relationship Id="rId304" Type="http://schemas.openxmlformats.org/officeDocument/2006/relationships/hyperlink" Target="https://europepmc.org/article/PMC/PMC12024523" TargetMode="External"/><Relationship Id="rId305" Type="http://schemas.openxmlformats.org/officeDocument/2006/relationships/hyperlink" Target="https://europepmc.org/article/PMC/PMC12531632" TargetMode="External"/><Relationship Id="rId306" Type="http://schemas.openxmlformats.org/officeDocument/2006/relationships/hyperlink" Target="https://europepmc.org/article/PMC/PMC12524272" TargetMode="External"/><Relationship Id="rId307" Type="http://schemas.openxmlformats.org/officeDocument/2006/relationships/hyperlink" Target="https://europepmc.org/article/PMC/PMC12521981" TargetMode="External"/><Relationship Id="rId308" Type="http://schemas.openxmlformats.org/officeDocument/2006/relationships/hyperlink" Target="https://europepmc.org/article/PMC/PMC12385503" TargetMode="External"/><Relationship Id="rId309" Type="http://schemas.openxmlformats.org/officeDocument/2006/relationships/hyperlink" Target="https://europepmc.org/article/PMC/PMC12559157" TargetMode="External"/><Relationship Id="rId310" Type="http://schemas.openxmlformats.org/officeDocument/2006/relationships/hyperlink" Target="https://europepmc.org/article/PMC/PMC12832843" TargetMode="External"/><Relationship Id="rId311" Type="http://schemas.openxmlformats.org/officeDocument/2006/relationships/hyperlink" Target="https://europepmc.org/article/PMC/PMC12468348" TargetMode="External"/><Relationship Id="rId312" Type="http://schemas.openxmlformats.org/officeDocument/2006/relationships/hyperlink" Target="https://europepmc.org/article/PMC/PMC12071678" TargetMode="External"/><Relationship Id="rId313" Type="http://schemas.openxmlformats.org/officeDocument/2006/relationships/hyperlink" Target="https://europepmc.org/article/PMC/PMC11912691" TargetMode="External"/><Relationship Id="rId314" Type="http://schemas.openxmlformats.org/officeDocument/2006/relationships/hyperlink" Target="https://europepmc.org/article/PMC/PMC12109275" TargetMode="External"/><Relationship Id="rId315" Type="http://schemas.openxmlformats.org/officeDocument/2006/relationships/hyperlink" Target="https://europepmc.org/article/PMC/PMC11724494" TargetMode="External"/><Relationship Id="rId316" Type="http://schemas.openxmlformats.org/officeDocument/2006/relationships/hyperlink" Target="https://europepmc.org/article/PMC/PMC13266693" TargetMode="External"/><Relationship Id="rId317" Type="http://schemas.openxmlformats.org/officeDocument/2006/relationships/hyperlink" Target="https://europepmc.org/article/PMC/PMC12708528" TargetMode="External"/><Relationship Id="rId318" Type="http://schemas.openxmlformats.org/officeDocument/2006/relationships/hyperlink" Target="https://europepmc.org/article/PMC/PMC12307509" TargetMode="External"/><Relationship Id="rId319" Type="http://schemas.openxmlformats.org/officeDocument/2006/relationships/hyperlink" Target="https://europepmc.org/article/PMC/PMC11857081" TargetMode="External"/><Relationship Id="rId320" Type="http://schemas.openxmlformats.org/officeDocument/2006/relationships/hyperlink" Target="https://europepmc.org/article/PMC/PMC12365901" TargetMode="External"/><Relationship Id="rId321" Type="http://schemas.openxmlformats.org/officeDocument/2006/relationships/hyperlink" Target="https://europepmc.org/article/PMC/PMC12072425" TargetMode="External"/><Relationship Id="rId322" Type="http://schemas.openxmlformats.org/officeDocument/2006/relationships/hyperlink" Target="https://europepmc.org/article/PMC/PMC13060574" TargetMode="External"/><Relationship Id="rId323" Type="http://schemas.openxmlformats.org/officeDocument/2006/relationships/hyperlink" Target="https://europepmc.org/article/PMC/PMC12135985" TargetMode="External"/><Relationship Id="rId324" Type="http://schemas.openxmlformats.org/officeDocument/2006/relationships/hyperlink" Target="https://europepmc.org/article/PMC/PMC12694168" TargetMode="External"/><Relationship Id="rId325" Type="http://schemas.openxmlformats.org/officeDocument/2006/relationships/hyperlink" Target="https://europepmc.org/article/PMC/PMC11841465" TargetMode="External"/><Relationship Id="rId326" Type="http://schemas.openxmlformats.org/officeDocument/2006/relationships/hyperlink" Target="https://europepmc.org/article/PMC/PMC11903279" TargetMode="External"/><Relationship Id="rId327" Type="http://schemas.openxmlformats.org/officeDocument/2006/relationships/hyperlink" Target="https://europepmc.org/article/PMC/PMC12025728" TargetMode="External"/><Relationship Id="rId328" Type="http://schemas.openxmlformats.org/officeDocument/2006/relationships/hyperlink" Target="https://europepmc.org/article/PMC/PMC12453851" TargetMode="External"/><Relationship Id="rId329" Type="http://schemas.openxmlformats.org/officeDocument/2006/relationships/hyperlink" Target="https://europepmc.org/article/PMC/PMC11706309" TargetMode="External"/><Relationship Id="rId330" Type="http://schemas.openxmlformats.org/officeDocument/2006/relationships/hyperlink" Target="https://europepmc.org/article/PMC/PMC12798188" TargetMode="External"/><Relationship Id="rId331" Type="http://schemas.openxmlformats.org/officeDocument/2006/relationships/hyperlink" Target="https://europepmc.org/article/PMC/PMC12155752" TargetMode="External"/><Relationship Id="rId332" Type="http://schemas.openxmlformats.org/officeDocument/2006/relationships/hyperlink" Target="https://europepmc.org/article/PMC/PMC12364678" TargetMode="External"/><Relationship Id="rId333" Type="http://schemas.openxmlformats.org/officeDocument/2006/relationships/hyperlink" Target="https://europepmc.org/article/PMC/PMC12647217" TargetMode="External"/><Relationship Id="rId334" Type="http://schemas.openxmlformats.org/officeDocument/2006/relationships/hyperlink" Target="https://europepmc.org/article/PMC/PMC12588513" TargetMode="External"/><Relationship Id="rId335" Type="http://schemas.openxmlformats.org/officeDocument/2006/relationships/hyperlink" Target="https://europepmc.org/article/PMC/PMC12680758" TargetMode="External"/><Relationship Id="rId336" Type="http://schemas.openxmlformats.org/officeDocument/2006/relationships/hyperlink" Target="https://europepmc.org/article/PMC/PMC12691229" TargetMode="External"/><Relationship Id="rId337" Type="http://schemas.openxmlformats.org/officeDocument/2006/relationships/hyperlink" Target="https://europepmc.org/article/PMC/PMC12560293" TargetMode="External"/><Relationship Id="rId338" Type="http://schemas.openxmlformats.org/officeDocument/2006/relationships/hyperlink" Target="https://europepmc.org/article/PMC/PMC12545830" TargetMode="External"/><Relationship Id="rId339" Type="http://schemas.openxmlformats.org/officeDocument/2006/relationships/hyperlink" Target="https://europepmc.org/article/PMC/PMC11898425" TargetMode="External"/><Relationship Id="rId340" Type="http://schemas.openxmlformats.org/officeDocument/2006/relationships/hyperlink" Target="https://europepmc.org/article/PMC/PMC12686268" TargetMode="External"/><Relationship Id="rId341" Type="http://schemas.openxmlformats.org/officeDocument/2006/relationships/hyperlink" Target="https://europepmc.org/article/PMC/PMC12192951" TargetMode="External"/><Relationship Id="rId342" Type="http://schemas.openxmlformats.org/officeDocument/2006/relationships/hyperlink" Target="https://europepmc.org/article/PMC/PMC12651976" TargetMode="External"/><Relationship Id="rId343" Type="http://schemas.openxmlformats.org/officeDocument/2006/relationships/hyperlink" Target="https://europepmc.org/article/PMC/PMC12729749" TargetMode="External"/><Relationship Id="rId344" Type="http://schemas.openxmlformats.org/officeDocument/2006/relationships/hyperlink" Target="https://europepmc.org/article/PMC/PMC12907448" TargetMode="External"/><Relationship Id="rId345" Type="http://schemas.openxmlformats.org/officeDocument/2006/relationships/hyperlink" Target="https://europepmc.org/article/PMC/PMC12823827" TargetMode="External"/><Relationship Id="rId346" Type="http://schemas.openxmlformats.org/officeDocument/2006/relationships/hyperlink" Target="https://europepmc.org/article/PMC/PMC12133262" TargetMode="External"/><Relationship Id="rId347" Type="http://schemas.openxmlformats.org/officeDocument/2006/relationships/hyperlink" Target="https://europepmc.org/article/PMC/PMC12691961" TargetMode="External"/><Relationship Id="rId348" Type="http://schemas.openxmlformats.org/officeDocument/2006/relationships/hyperlink" Target="https://europepmc.org/article/PMC/PMC12454378" TargetMode="External"/><Relationship Id="rId349" Type="http://schemas.openxmlformats.org/officeDocument/2006/relationships/hyperlink" Target="https://europepmc.org/article/PMC/PMC12733990" TargetMode="External"/><Relationship Id="rId350" Type="http://schemas.openxmlformats.org/officeDocument/2006/relationships/hyperlink" Target="https://europepmc.org/article/PMC/PMC12518381" TargetMode="External"/><Relationship Id="rId351" Type="http://schemas.openxmlformats.org/officeDocument/2006/relationships/hyperlink" Target="https://europepmc.org/article/PMC/PMC12516016" TargetMode="External"/><Relationship Id="rId352" Type="http://schemas.openxmlformats.org/officeDocument/2006/relationships/hyperlink" Target="https://europepmc.org/article/PMC/PMC12808379" TargetMode="External"/><Relationship Id="rId353" Type="http://schemas.openxmlformats.org/officeDocument/2006/relationships/hyperlink" Target="https://europepmc.org/article/PMC/PMC12660356" TargetMode="External"/><Relationship Id="rId354" Type="http://schemas.openxmlformats.org/officeDocument/2006/relationships/hyperlink" Target="https://europepmc.org/article/PMC/PMC12564139" TargetMode="External"/><Relationship Id="rId355" Type="http://schemas.openxmlformats.org/officeDocument/2006/relationships/hyperlink" Target="https://europepmc.org/article/PMC/PMC12565242" TargetMode="External"/><Relationship Id="rId356" Type="http://schemas.openxmlformats.org/officeDocument/2006/relationships/hyperlink" Target="https://europepmc.org/article/PMC/PMC12629890" TargetMode="External"/><Relationship Id="rId357" Type="http://schemas.openxmlformats.org/officeDocument/2006/relationships/hyperlink" Target="https://europepmc.org/article/PMC/PMC12847453" TargetMode="External"/><Relationship Id="rId358" Type="http://schemas.openxmlformats.org/officeDocument/2006/relationships/hyperlink" Target="https://europepmc.org/article/PMC/PMC12664667" TargetMode="External"/><Relationship Id="rId359" Type="http://schemas.openxmlformats.org/officeDocument/2006/relationships/hyperlink" Target="https://europepmc.org/article/PMC/PMC11954740" TargetMode="External"/><Relationship Id="rId360" Type="http://schemas.openxmlformats.org/officeDocument/2006/relationships/hyperlink" Target="https://europepmc.org/article/PMC/PMC12052540" TargetMode="External"/><Relationship Id="rId361" Type="http://schemas.openxmlformats.org/officeDocument/2006/relationships/hyperlink" Target="https://europepmc.org/article/PMC/PMC13223436" TargetMode="External"/><Relationship Id="rId362" Type="http://schemas.openxmlformats.org/officeDocument/2006/relationships/hyperlink" Target="https://europepmc.org/article/PMC/PMC12028011" TargetMode="External"/><Relationship Id="rId363" Type="http://schemas.openxmlformats.org/officeDocument/2006/relationships/hyperlink" Target="https://europepmc.org/article/PMC/PMC12383388" TargetMode="External"/><Relationship Id="rId364" Type="http://schemas.openxmlformats.org/officeDocument/2006/relationships/hyperlink" Target="https://europepmc.org/article/PMC/PMC12546431" TargetMode="External"/><Relationship Id="rId365" Type="http://schemas.openxmlformats.org/officeDocument/2006/relationships/hyperlink" Target="https://europepmc.org/article/PMC/PMC12565056" TargetMode="External"/><Relationship Id="rId366" Type="http://schemas.openxmlformats.org/officeDocument/2006/relationships/hyperlink" Target="https://europepmc.org/article/PMC/PMC12171332" TargetMode="External"/><Relationship Id="rId367" Type="http://schemas.openxmlformats.org/officeDocument/2006/relationships/hyperlink" Target="https://europepmc.org/article/PMC/PMC12776568" TargetMode="External"/><Relationship Id="rId368" Type="http://schemas.openxmlformats.org/officeDocument/2006/relationships/hyperlink" Target="https://europepmc.org/article/PMC/PMC12024531" TargetMode="External"/><Relationship Id="rId369" Type="http://schemas.openxmlformats.org/officeDocument/2006/relationships/hyperlink" Target="https://europepmc.org/article/PMC/PMC12675461" TargetMode="External"/><Relationship Id="rId370" Type="http://schemas.openxmlformats.org/officeDocument/2006/relationships/hyperlink" Target="https://europepmc.org/article/PMC/PMC12731716" TargetMode="External"/><Relationship Id="rId371" Type="http://schemas.openxmlformats.org/officeDocument/2006/relationships/hyperlink" Target="https://europepmc.org/article/PMC/PMC12528745" TargetMode="External"/><Relationship Id="rId372" Type="http://schemas.openxmlformats.org/officeDocument/2006/relationships/hyperlink" Target="https://europepmc.org/article/PMC/PMC12651589" TargetMode="External"/><Relationship Id="rId373" Type="http://schemas.openxmlformats.org/officeDocument/2006/relationships/hyperlink" Target="https://europepmc.org/article/PMC/PMC12177086" TargetMode="External"/><Relationship Id="rId374" Type="http://schemas.openxmlformats.org/officeDocument/2006/relationships/hyperlink" Target="https://europepmc.org/article/PMC/PMC12642030" TargetMode="External"/><Relationship Id="rId375" Type="http://schemas.openxmlformats.org/officeDocument/2006/relationships/hyperlink" Target="https://europepmc.org/article/PMC/PMC11836373" TargetMode="External"/><Relationship Id="rId376" Type="http://schemas.openxmlformats.org/officeDocument/2006/relationships/hyperlink" Target="https://europepmc.org/article/PMC/PMC12428199" TargetMode="External"/><Relationship Id="rId377" Type="http://schemas.openxmlformats.org/officeDocument/2006/relationships/hyperlink" Target="https://europepmc.org/article/PMC/PMC12333992" TargetMode="External"/><Relationship Id="rId378" Type="http://schemas.openxmlformats.org/officeDocument/2006/relationships/hyperlink" Target="https://europepmc.org/article/PMC/PMC12835897" TargetMode="External"/><Relationship Id="rId379" Type="http://schemas.openxmlformats.org/officeDocument/2006/relationships/hyperlink" Target="https://europepmc.org/article/PMC/PMC12708817" TargetMode="External"/><Relationship Id="rId380" Type="http://schemas.openxmlformats.org/officeDocument/2006/relationships/hyperlink" Target="https://europepmc.org/article/PMC/PMC11868628" TargetMode="External"/><Relationship Id="rId381" Type="http://schemas.openxmlformats.org/officeDocument/2006/relationships/hyperlink" Target="https://europepmc.org/article/PMC/PMC12527036" TargetMode="External"/><Relationship Id="rId382" Type="http://schemas.openxmlformats.org/officeDocument/2006/relationships/hyperlink" Target="https://europepmc.org/article/PMC/PMC12373713" TargetMode="External"/><Relationship Id="rId383" Type="http://schemas.openxmlformats.org/officeDocument/2006/relationships/hyperlink" Target="https://europepmc.org/article/PMC/PMC12092909" TargetMode="External"/><Relationship Id="rId384" Type="http://schemas.openxmlformats.org/officeDocument/2006/relationships/hyperlink" Target="https://europepmc.org/article/PMC/PMC12555394" TargetMode="External"/><Relationship Id="rId385" Type="http://schemas.openxmlformats.org/officeDocument/2006/relationships/hyperlink" Target="https://europepmc.org/article/PMC/PMC12597869" TargetMode="External"/><Relationship Id="rId386" Type="http://schemas.openxmlformats.org/officeDocument/2006/relationships/hyperlink" Target="https://europepmc.org/article/PMC/PMC11732976" TargetMode="External"/><Relationship Id="rId387" Type="http://schemas.openxmlformats.org/officeDocument/2006/relationships/hyperlink" Target="https://europepmc.org/article/PMC/PMC12509238" TargetMode="External"/><Relationship Id="rId388" Type="http://schemas.openxmlformats.org/officeDocument/2006/relationships/hyperlink" Target="https://europepmc.org/article/PMC/PMC12390166" TargetMode="External"/><Relationship Id="rId389" Type="http://schemas.openxmlformats.org/officeDocument/2006/relationships/hyperlink" Target="https://europepmc.org/article/PMC/PMC12680636" TargetMode="External"/><Relationship Id="rId390" Type="http://schemas.openxmlformats.org/officeDocument/2006/relationships/hyperlink" Target="https://europepmc.org/article/PMC/PMC11759462" TargetMode="External"/><Relationship Id="rId391" Type="http://schemas.openxmlformats.org/officeDocument/2006/relationships/hyperlink" Target="https://europepmc.org/article/PMC/PMC12453788" TargetMode="External"/><Relationship Id="rId392" Type="http://schemas.openxmlformats.org/officeDocument/2006/relationships/hyperlink" Target="https://europepmc.org/article/PMC/PMC12476419" TargetMode="External"/><Relationship Id="rId393" Type="http://schemas.openxmlformats.org/officeDocument/2006/relationships/hyperlink" Target="https://europepmc.org/article/PMC/PMC12247529" TargetMode="External"/><Relationship Id="rId394" Type="http://schemas.openxmlformats.org/officeDocument/2006/relationships/hyperlink" Target="https://europepmc.org/article/PMC/PMC11927916" TargetMode="External"/><Relationship Id="rId395" Type="http://schemas.openxmlformats.org/officeDocument/2006/relationships/hyperlink" Target="https://europepmc.org/article/PMC/PMC12526791" TargetMode="External"/><Relationship Id="rId396" Type="http://schemas.openxmlformats.org/officeDocument/2006/relationships/hyperlink" Target="https://europepmc.org/article/PMC/PMC11936986" TargetMode="External"/><Relationship Id="rId397" Type="http://schemas.openxmlformats.org/officeDocument/2006/relationships/hyperlink" Target="https://europepmc.org/article/PMC/PMC11856859" TargetMode="External"/><Relationship Id="rId398" Type="http://schemas.openxmlformats.org/officeDocument/2006/relationships/hyperlink" Target="https://europepmc.org/article/PMC/PMC12570530" TargetMode="External"/><Relationship Id="rId399" Type="http://schemas.openxmlformats.org/officeDocument/2006/relationships/hyperlink" Target="https://europepmc.org/article/PMC/PMC12691345" TargetMode="External"/><Relationship Id="rId400" Type="http://schemas.openxmlformats.org/officeDocument/2006/relationships/hyperlink" Target="https://europepmc.org/article/PMC/PMC12481068" TargetMode="External"/><Relationship Id="rId401" Type="http://schemas.openxmlformats.org/officeDocument/2006/relationships/hyperlink" Target="https://europepmc.org/article/PMC/PMC12504877" TargetMode="External"/><Relationship Id="rId402" Type="http://schemas.openxmlformats.org/officeDocument/2006/relationships/hyperlink" Target="https://europepmc.org/article/PMC/PMC12456844" TargetMode="External"/><Relationship Id="rId403" Type="http://schemas.openxmlformats.org/officeDocument/2006/relationships/hyperlink" Target="https://europepmc.org/article/PMC/PMC11815955" TargetMode="External"/><Relationship Id="rId404" Type="http://schemas.openxmlformats.org/officeDocument/2006/relationships/hyperlink" Target="https://europepmc.org/article/PMC/PMC11876936" TargetMode="External"/><Relationship Id="rId405" Type="http://schemas.openxmlformats.org/officeDocument/2006/relationships/hyperlink" Target="https://europepmc.org/article/PMC/PMC12561617" TargetMode="External"/><Relationship Id="rId406" Type="http://schemas.openxmlformats.org/officeDocument/2006/relationships/hyperlink" Target="https://europepmc.org/article/PMC/PMC12177113" TargetMode="External"/><Relationship Id="rId407" Type="http://schemas.openxmlformats.org/officeDocument/2006/relationships/hyperlink" Target="https://europepmc.org/article/PMC/PMC12622268" TargetMode="External"/><Relationship Id="rId408" Type="http://schemas.openxmlformats.org/officeDocument/2006/relationships/hyperlink" Target="https://europepmc.org/article/PMC/PMC12331667" TargetMode="External"/><Relationship Id="rId409" Type="http://schemas.openxmlformats.org/officeDocument/2006/relationships/hyperlink" Target="https://europepmc.org/article/PMC/PMC12169524" TargetMode="External"/><Relationship Id="rId410" Type="http://schemas.openxmlformats.org/officeDocument/2006/relationships/hyperlink" Target="https://europepmc.org/article/PMC/PMC12732170" TargetMode="External"/><Relationship Id="rId411" Type="http://schemas.openxmlformats.org/officeDocument/2006/relationships/hyperlink" Target="https://europepmc.org/article/PMC/PMC12650834" TargetMode="External"/><Relationship Id="rId412" Type="http://schemas.openxmlformats.org/officeDocument/2006/relationships/hyperlink" Target="https://europepmc.org/article/PMC/PMC12000039" TargetMode="External"/><Relationship Id="rId413" Type="http://schemas.openxmlformats.org/officeDocument/2006/relationships/hyperlink" Target="https://europepmc.org/article/PMC/PMC12593452" TargetMode="External"/><Relationship Id="rId414" Type="http://schemas.openxmlformats.org/officeDocument/2006/relationships/hyperlink" Target="https://europepmc.org/article/PMC/PMC12546231" TargetMode="External"/><Relationship Id="rId415" Type="http://schemas.openxmlformats.org/officeDocument/2006/relationships/hyperlink" Target="https://europepmc.org/article/PMC/PMC12385457" TargetMode="External"/><Relationship Id="rId416" Type="http://schemas.openxmlformats.org/officeDocument/2006/relationships/hyperlink" Target="https://europepmc.org/article/PMC/PMC12287020" TargetMode="External"/><Relationship Id="rId417" Type="http://schemas.openxmlformats.org/officeDocument/2006/relationships/hyperlink" Target="https://europepmc.org/article/PMC/PMC11971837" TargetMode="External"/><Relationship Id="rId418" Type="http://schemas.openxmlformats.org/officeDocument/2006/relationships/hyperlink" Target="https://europepmc.org/article/PMC/PMC12063847" TargetMode="External"/><Relationship Id="rId419" Type="http://schemas.openxmlformats.org/officeDocument/2006/relationships/hyperlink" Target="https://europepmc.org/article/PMC/PMC12851946" TargetMode="External"/><Relationship Id="rId420" Type="http://schemas.openxmlformats.org/officeDocument/2006/relationships/hyperlink" Target="https://europepmc.org/article/PMC/PMC12705568" TargetMode="External"/><Relationship Id="rId421" Type="http://schemas.openxmlformats.org/officeDocument/2006/relationships/hyperlink" Target="https://europepmc.org/article/PMC/PMC12188138" TargetMode="External"/><Relationship Id="rId422" Type="http://schemas.openxmlformats.org/officeDocument/2006/relationships/hyperlink" Target="https://europepmc.org/article/PMC/PMC12603148" TargetMode="External"/><Relationship Id="rId423" Type="http://schemas.openxmlformats.org/officeDocument/2006/relationships/hyperlink" Target="https://europepmc.org/article/PMC/PMC12293116" TargetMode="External"/><Relationship Id="rId424" Type="http://schemas.openxmlformats.org/officeDocument/2006/relationships/hyperlink" Target="https://europepmc.org/article/PMC/PMC11762182" TargetMode="External"/><Relationship Id="rId425" Type="http://schemas.openxmlformats.org/officeDocument/2006/relationships/hyperlink" Target="https://europepmc.org/article/PMC/PMC12098364" TargetMode="External"/><Relationship Id="rId426" Type="http://schemas.openxmlformats.org/officeDocument/2006/relationships/hyperlink" Target="https://europepmc.org/article/PMC/PMC12738869" TargetMode="External"/><Relationship Id="rId427" Type="http://schemas.openxmlformats.org/officeDocument/2006/relationships/hyperlink" Target="https://europepmc.org/article/PMC/PMC11887235" TargetMode="External"/><Relationship Id="rId428" Type="http://schemas.openxmlformats.org/officeDocument/2006/relationships/hyperlink" Target="https://europepmc.org/article/PMC/PMC12658185" TargetMode="External"/><Relationship Id="rId429" Type="http://schemas.openxmlformats.org/officeDocument/2006/relationships/hyperlink" Target="https://europepmc.org/article/PMC/PMC12354714" TargetMode="External"/><Relationship Id="rId430" Type="http://schemas.openxmlformats.org/officeDocument/2006/relationships/hyperlink" Target="https://europepmc.org/article/PMC/PMC12729827" TargetMode="External"/><Relationship Id="rId431" Type="http://schemas.openxmlformats.org/officeDocument/2006/relationships/hyperlink" Target="https://europepmc.org/article/PMC/PMC12500497" TargetMode="External"/><Relationship Id="rId432" Type="http://schemas.openxmlformats.org/officeDocument/2006/relationships/hyperlink" Target="https://europepmc.org/article/PMC/PMC12516837" TargetMode="External"/><Relationship Id="rId433" Type="http://schemas.openxmlformats.org/officeDocument/2006/relationships/hyperlink" Target="https://europepmc.org/article/PMC/PMC12675158" TargetMode="External"/><Relationship Id="rId434" Type="http://schemas.openxmlformats.org/officeDocument/2006/relationships/hyperlink" Target="https://europepmc.org/article/PMC/PMC11763925" TargetMode="External"/><Relationship Id="rId435" Type="http://schemas.openxmlformats.org/officeDocument/2006/relationships/hyperlink" Target="https://europepmc.org/article/PMC/PMC12565618" TargetMode="External"/><Relationship Id="rId436" Type="http://schemas.openxmlformats.org/officeDocument/2006/relationships/hyperlink" Target="https://europepmc.org/article/PMC/PMC12367112" TargetMode="External"/><Relationship Id="rId437" Type="http://schemas.openxmlformats.org/officeDocument/2006/relationships/hyperlink" Target="https://europepmc.org/article/PMC/PMC12758015" TargetMode="External"/><Relationship Id="rId438" Type="http://schemas.openxmlformats.org/officeDocument/2006/relationships/hyperlink" Target="https://europepmc.org/article/PMC/PMC11851456" TargetMode="External"/><Relationship Id="rId439" Type="http://schemas.openxmlformats.org/officeDocument/2006/relationships/hyperlink" Target="https://europepmc.org/article/PMC/PMC12248572" TargetMode="External"/><Relationship Id="rId440" Type="http://schemas.openxmlformats.org/officeDocument/2006/relationships/hyperlink" Target="https://europepmc.org/article/PMC/PMC13223492" TargetMode="External"/><Relationship Id="rId441" Type="http://schemas.openxmlformats.org/officeDocument/2006/relationships/hyperlink" Target="https://europepmc.org/article/PMC/PMC12241142" TargetMode="External"/><Relationship Id="rId442" Type="http://schemas.openxmlformats.org/officeDocument/2006/relationships/hyperlink" Target="https://europepmc.org/article/PMC/PMC12574434" TargetMode="External"/><Relationship Id="rId443" Type="http://schemas.openxmlformats.org/officeDocument/2006/relationships/hyperlink" Target="https://europepmc.org/article/PMC/PMC12637164" TargetMode="External"/><Relationship Id="rId444" Type="http://schemas.openxmlformats.org/officeDocument/2006/relationships/hyperlink" Target="https://europepmc.org/article/PMC/PMC12069047" TargetMode="External"/><Relationship Id="rId445" Type="http://schemas.openxmlformats.org/officeDocument/2006/relationships/hyperlink" Target="https://europepmc.org/article/PMC/PMC12469220" TargetMode="External"/><Relationship Id="rId446" Type="http://schemas.openxmlformats.org/officeDocument/2006/relationships/hyperlink" Target="https://europepmc.org/article/PMC/PMC12523546" TargetMode="External"/><Relationship Id="rId447" Type="http://schemas.openxmlformats.org/officeDocument/2006/relationships/hyperlink" Target="https://europepmc.org/article/PMC/PMC11799055" TargetMode="External"/><Relationship Id="rId448" Type="http://schemas.openxmlformats.org/officeDocument/2006/relationships/hyperlink" Target="https://europepmc.org/article/PMC/PMC12301082" TargetMode="External"/><Relationship Id="rId449" Type="http://schemas.openxmlformats.org/officeDocument/2006/relationships/hyperlink" Target="https://europepmc.org/article/PMC/PMC12602640" TargetMode="External"/><Relationship Id="rId450" Type="http://schemas.openxmlformats.org/officeDocument/2006/relationships/hyperlink" Target="https://europepmc.org/article/PMC/PMC13223426" TargetMode="External"/><Relationship Id="rId451" Type="http://schemas.openxmlformats.org/officeDocument/2006/relationships/hyperlink" Target="https://europepmc.org/article/PMC/PMC12459604" TargetMode="External"/><Relationship Id="rId452" Type="http://schemas.openxmlformats.org/officeDocument/2006/relationships/hyperlink" Target="https://europepmc.org/article/PMC/PMC12628415" TargetMode="External"/><Relationship Id="rId453" Type="http://schemas.openxmlformats.org/officeDocument/2006/relationships/hyperlink" Target="https://europepmc.org/article/PMC/PMC11717794" TargetMode="External"/><Relationship Id="rId454" Type="http://schemas.openxmlformats.org/officeDocument/2006/relationships/hyperlink" Target="https://europepmc.org/article/PMC/PMC12551925" TargetMode="External"/><Relationship Id="rId455" Type="http://schemas.openxmlformats.org/officeDocument/2006/relationships/hyperlink" Target="https://europepmc.org/article/PMC/PMC12006410" TargetMode="External"/><Relationship Id="rId456" Type="http://schemas.openxmlformats.org/officeDocument/2006/relationships/hyperlink" Target="https://europepmc.org/article/PMC/PMC12521361" TargetMode="External"/><Relationship Id="rId457" Type="http://schemas.openxmlformats.org/officeDocument/2006/relationships/hyperlink" Target="https://europepmc.org/article/PMC/PMC12387119" TargetMode="External"/><Relationship Id="rId458" Type="http://schemas.openxmlformats.org/officeDocument/2006/relationships/hyperlink" Target="https://europepmc.org/article/PMC/PMC12094958" TargetMode="External"/><Relationship Id="rId459" Type="http://schemas.openxmlformats.org/officeDocument/2006/relationships/hyperlink" Target="https://europepmc.org/article/PMC/PMC12823918" TargetMode="External"/><Relationship Id="rId460" Type="http://schemas.openxmlformats.org/officeDocument/2006/relationships/hyperlink" Target="https://europepmc.org/article/PMC/PMC12109281" TargetMode="External"/><Relationship Id="rId461" Type="http://schemas.openxmlformats.org/officeDocument/2006/relationships/hyperlink" Target="https://europepmc.org/article/PMC/PMC12385022" TargetMode="External"/><Relationship Id="rId462" Type="http://schemas.openxmlformats.org/officeDocument/2006/relationships/hyperlink" Target="https://europepmc.org/article/PMC/PMC11740782" TargetMode="External"/><Relationship Id="rId463" Type="http://schemas.openxmlformats.org/officeDocument/2006/relationships/hyperlink" Target="https://europepmc.org/article/PMC/PMC12607841" TargetMode="External"/><Relationship Id="rId464" Type="http://schemas.openxmlformats.org/officeDocument/2006/relationships/hyperlink" Target="https://europepmc.org/article/PMC/PMC12151474" TargetMode="External"/><Relationship Id="rId465" Type="http://schemas.openxmlformats.org/officeDocument/2006/relationships/hyperlink" Target="https://europepmc.org/article/PMC/PMC12715249" TargetMode="External"/><Relationship Id="rId466" Type="http://schemas.openxmlformats.org/officeDocument/2006/relationships/hyperlink" Target="https://europepmc.org/article/PMC/PMC12256241" TargetMode="External"/><Relationship Id="rId467" Type="http://schemas.openxmlformats.org/officeDocument/2006/relationships/hyperlink" Target="https://europepmc.org/article/PMC/PMC12361585" TargetMode="External"/><Relationship Id="rId468" Type="http://schemas.openxmlformats.org/officeDocument/2006/relationships/hyperlink" Target="https://europepmc.org/article/PMC/PMC12753390" TargetMode="External"/><Relationship Id="rId469" Type="http://schemas.openxmlformats.org/officeDocument/2006/relationships/hyperlink" Target="https://europepmc.org/article/PMC/PMC12365151" TargetMode="External"/><Relationship Id="rId470" Type="http://schemas.openxmlformats.org/officeDocument/2006/relationships/hyperlink" Target="https://europepmc.org/article/PMC/PMC12597856" TargetMode="External"/><Relationship Id="rId471" Type="http://schemas.openxmlformats.org/officeDocument/2006/relationships/hyperlink" Target="https://europepmc.org/article/PMC/PMC11813795" TargetMode="External"/><Relationship Id="rId472" Type="http://schemas.openxmlformats.org/officeDocument/2006/relationships/hyperlink" Target="https://europepmc.org/article/PMC/PMC12543161" TargetMode="External"/><Relationship Id="rId473" Type="http://schemas.openxmlformats.org/officeDocument/2006/relationships/hyperlink" Target="https://europepmc.org/article/PMC/PMC12058334" TargetMode="External"/><Relationship Id="rId474" Type="http://schemas.openxmlformats.org/officeDocument/2006/relationships/hyperlink" Target="https://europepmc.org/article/PMC/PMC11828341" TargetMode="External"/><Relationship Id="rId475" Type="http://schemas.openxmlformats.org/officeDocument/2006/relationships/hyperlink" Target="https://europepmc.org/article/PMC/PMC11937601" TargetMode="External"/><Relationship Id="rId476" Type="http://schemas.openxmlformats.org/officeDocument/2006/relationships/hyperlink" Target="https://europepmc.org/article/PMC/PMC12222329" TargetMode="External"/><Relationship Id="rId477" Type="http://schemas.openxmlformats.org/officeDocument/2006/relationships/hyperlink" Target="https://europepmc.org/article/PMC/PMC12454901" TargetMode="External"/><Relationship Id="rId478" Type="http://schemas.openxmlformats.org/officeDocument/2006/relationships/hyperlink" Target="https://europepmc.org/article/PMC/PMC12429428" TargetMode="External"/><Relationship Id="rId479" Type="http://schemas.openxmlformats.org/officeDocument/2006/relationships/hyperlink" Target="https://europepmc.org/article/PMC/PMC12043696" TargetMode="External"/><Relationship Id="rId480" Type="http://schemas.openxmlformats.org/officeDocument/2006/relationships/hyperlink" Target="https://europepmc.org/article/PMC/PMC12478919" TargetMode="External"/><Relationship Id="rId481" Type="http://schemas.openxmlformats.org/officeDocument/2006/relationships/hyperlink" Target="https://europepmc.org/article/PMC/PMC12062765" TargetMode="External"/><Relationship Id="rId482" Type="http://schemas.openxmlformats.org/officeDocument/2006/relationships/hyperlink" Target="https://europepmc.org/article/PMC/PMC12402046" TargetMode="External"/><Relationship Id="rId483" Type="http://schemas.openxmlformats.org/officeDocument/2006/relationships/hyperlink" Target="https://europepmc.org/article/PMC/PMC12418648" TargetMode="External"/><Relationship Id="rId484" Type="http://schemas.openxmlformats.org/officeDocument/2006/relationships/hyperlink" Target="https://europepmc.org/article/PMC/PMC12052117" TargetMode="External"/><Relationship Id="rId485" Type="http://schemas.openxmlformats.org/officeDocument/2006/relationships/hyperlink" Target="https://europepmc.org/article/PMC/PMC11979263" TargetMode="External"/><Relationship Id="rId486" Type="http://schemas.openxmlformats.org/officeDocument/2006/relationships/hyperlink" Target="https://europepmc.org/article/PMC/PMC12226657" TargetMode="External"/><Relationship Id="rId487" Type="http://schemas.openxmlformats.org/officeDocument/2006/relationships/hyperlink" Target="https://europepmc.org/article/PMC/PMC11818623" TargetMode="External"/><Relationship Id="rId488" Type="http://schemas.openxmlformats.org/officeDocument/2006/relationships/hyperlink" Target="https://europepmc.org/article/PMC/PMC12383681" TargetMode="External"/><Relationship Id="rId489" Type="http://schemas.openxmlformats.org/officeDocument/2006/relationships/hyperlink" Target="https://europepmc.org/article/PMC/PMC12275356" TargetMode="External"/><Relationship Id="rId490" Type="http://schemas.openxmlformats.org/officeDocument/2006/relationships/hyperlink" Target="https://europepmc.org/article/PMC/PMC12627679" TargetMode="External"/><Relationship Id="rId491" Type="http://schemas.openxmlformats.org/officeDocument/2006/relationships/hyperlink" Target="https://europepmc.org/article/PMC/PMC12335580" TargetMode="External"/><Relationship Id="rId492" Type="http://schemas.openxmlformats.org/officeDocument/2006/relationships/hyperlink" Target="https://europepmc.org/article/PMC/PMC12462649" TargetMode="External"/><Relationship Id="rId493" Type="http://schemas.openxmlformats.org/officeDocument/2006/relationships/hyperlink" Target="https://europepmc.org/article/PMC/PMC12852129" TargetMode="External"/><Relationship Id="rId494" Type="http://schemas.openxmlformats.org/officeDocument/2006/relationships/hyperlink" Target="https://europepmc.org/article/PMC/PMC12445147" TargetMode="External"/><Relationship Id="rId495" Type="http://schemas.openxmlformats.org/officeDocument/2006/relationships/hyperlink" Target="https://europepmc.org/article/PMC/PMC11960629" TargetMode="External"/><Relationship Id="rId496" Type="http://schemas.openxmlformats.org/officeDocument/2006/relationships/hyperlink" Target="https://europepmc.org/article/PMC/PMC12473302" TargetMode="External"/><Relationship Id="rId497" Type="http://schemas.openxmlformats.org/officeDocument/2006/relationships/hyperlink" Target="https://europepmc.org/article/PMC/PMC12540183" TargetMode="External"/><Relationship Id="rId498" Type="http://schemas.openxmlformats.org/officeDocument/2006/relationships/hyperlink" Target="https://europepmc.org/article/PMC/PMC11929658" TargetMode="External"/><Relationship Id="rId499" Type="http://schemas.openxmlformats.org/officeDocument/2006/relationships/hyperlink" Target="https://europepmc.org/article/PMC/PMC12084453" TargetMode="External"/><Relationship Id="rId500" Type="http://schemas.openxmlformats.org/officeDocument/2006/relationships/hyperlink" Target="https://europepmc.org/article/PMC/PMC12648177" TargetMode="External"/><Relationship Id="rId501" Type="http://schemas.openxmlformats.org/officeDocument/2006/relationships/hyperlink" Target="https://europepmc.org/article/PMC/PMC11794261" TargetMode="External"/><Relationship Id="rId502" Type="http://schemas.openxmlformats.org/officeDocument/2006/relationships/hyperlink" Target="https://europepmc.org/article/PMC/PMC12534769" TargetMode="External"/><Relationship Id="rId503" Type="http://schemas.openxmlformats.org/officeDocument/2006/relationships/hyperlink" Target="https://europepmc.org/article/PMC/PMC12714595" TargetMode="External"/><Relationship Id="rId504" Type="http://schemas.openxmlformats.org/officeDocument/2006/relationships/hyperlink" Target="https://europepmc.org/article/PMC/PMC12730384" TargetMode="External"/><Relationship Id="rId505" Type="http://schemas.openxmlformats.org/officeDocument/2006/relationships/hyperlink" Target="https://europepmc.org/article/PMC/PMC12561078" TargetMode="External"/><Relationship Id="rId506" Type="http://schemas.openxmlformats.org/officeDocument/2006/relationships/hyperlink" Target="https://europepmc.org/article/PMC/PMC12719480" TargetMode="External"/><Relationship Id="rId507" Type="http://schemas.openxmlformats.org/officeDocument/2006/relationships/hyperlink" Target="https://europepmc.org/article/PMC/PMC12564970" TargetMode="External"/><Relationship Id="rId508" Type="http://schemas.openxmlformats.org/officeDocument/2006/relationships/hyperlink" Target="https://europepmc.org/article/PMC/PMC12167337" TargetMode="External"/><Relationship Id="rId509" Type="http://schemas.openxmlformats.org/officeDocument/2006/relationships/hyperlink" Target="https://europepmc.org/article/PMC/PMC12335458" TargetMode="External"/><Relationship Id="rId510" Type="http://schemas.openxmlformats.org/officeDocument/2006/relationships/hyperlink" Target="https://europepmc.org/article/PMC/PMC12334629" TargetMode="External"/><Relationship Id="rId511" Type="http://schemas.openxmlformats.org/officeDocument/2006/relationships/hyperlink" Target="https://europepmc.org/article/PMC/PMC12731456" TargetMode="External"/><Relationship Id="rId512" Type="http://schemas.openxmlformats.org/officeDocument/2006/relationships/hyperlink" Target="https://europepmc.org/article/PMC/PMC12418127" TargetMode="External"/><Relationship Id="rId513" Type="http://schemas.openxmlformats.org/officeDocument/2006/relationships/hyperlink" Target="https://europepmc.org/article/PMC/PMC12011763" TargetMode="External"/><Relationship Id="rId514" Type="http://schemas.openxmlformats.org/officeDocument/2006/relationships/hyperlink" Target="https://europepmc.org/article/PMC/PMC12345923" TargetMode="External"/><Relationship Id="rId515" Type="http://schemas.openxmlformats.org/officeDocument/2006/relationships/hyperlink" Target="https://europepmc.org/article/PMC/PMC12119313" TargetMode="External"/><Relationship Id="rId516" Type="http://schemas.openxmlformats.org/officeDocument/2006/relationships/hyperlink" Target="https://europepmc.org/article/PMC/PMC12607678" TargetMode="External"/><Relationship Id="rId517" Type="http://schemas.openxmlformats.org/officeDocument/2006/relationships/hyperlink" Target="https://europepmc.org/article/PMC/PMC12468384" TargetMode="External"/><Relationship Id="rId518" Type="http://schemas.openxmlformats.org/officeDocument/2006/relationships/hyperlink" Target="https://europepmc.org/article/PMC/PMC12558874" TargetMode="External"/><Relationship Id="rId519" Type="http://schemas.openxmlformats.org/officeDocument/2006/relationships/hyperlink" Target="https://europepmc.org/article/PMC/PMC12192201" TargetMode="External"/><Relationship Id="rId520" Type="http://schemas.openxmlformats.org/officeDocument/2006/relationships/hyperlink" Target="https://europepmc.org/article/PMC/PMC11707918" TargetMode="External"/><Relationship Id="rId521" Type="http://schemas.openxmlformats.org/officeDocument/2006/relationships/hyperlink" Target="https://europepmc.org/article/PMC/PMC12476382" TargetMode="External"/><Relationship Id="rId522" Type="http://schemas.openxmlformats.org/officeDocument/2006/relationships/hyperlink" Target="https://europepmc.org/article/PMC/PMC12530578" TargetMode="External"/><Relationship Id="rId523" Type="http://schemas.openxmlformats.org/officeDocument/2006/relationships/hyperlink" Target="https://europepmc.org/article/PMC/PMC11805419" TargetMode="External"/><Relationship Id="rId524" Type="http://schemas.openxmlformats.org/officeDocument/2006/relationships/hyperlink" Target="https://europepmc.org/article/PMC/PMC12279466" TargetMode="External"/><Relationship Id="rId525" Type="http://schemas.openxmlformats.org/officeDocument/2006/relationships/hyperlink" Target="https://europepmc.org/article/PMC/PMC12467770" TargetMode="External"/><Relationship Id="rId526" Type="http://schemas.openxmlformats.org/officeDocument/2006/relationships/hyperlink" Target="https://europepmc.org/article/PMC/PMC11893424" TargetMode="External"/><Relationship Id="rId527" Type="http://schemas.openxmlformats.org/officeDocument/2006/relationships/hyperlink" Target="https://europepmc.org/article/PMC/PMC11950579" TargetMode="External"/><Relationship Id="rId528" Type="http://schemas.openxmlformats.org/officeDocument/2006/relationships/hyperlink" Target="https://europepmc.org/article/PMC/PMC12734337" TargetMode="External"/><Relationship Id="rId529" Type="http://schemas.openxmlformats.org/officeDocument/2006/relationships/hyperlink" Target="https://europepmc.org/article/PMC/PMC11869539" TargetMode="External"/><Relationship Id="rId530" Type="http://schemas.openxmlformats.org/officeDocument/2006/relationships/hyperlink" Target="https://europepmc.org/article/PMC/PMC12876126" TargetMode="External"/><Relationship Id="rId531" Type="http://schemas.openxmlformats.org/officeDocument/2006/relationships/hyperlink" Target="https://europepmc.org/article/PMC/PMC12236266" TargetMode="External"/><Relationship Id="rId532" Type="http://schemas.openxmlformats.org/officeDocument/2006/relationships/hyperlink" Target="https://europepmc.org/article/PMC/PMC12974135" TargetMode="External"/><Relationship Id="rId533" Type="http://schemas.openxmlformats.org/officeDocument/2006/relationships/hyperlink" Target="https://europepmc.org/article/PMC/PMC11811346" TargetMode="External"/><Relationship Id="rId534" Type="http://schemas.openxmlformats.org/officeDocument/2006/relationships/hyperlink" Target="https://europepmc.org/article/PMC/PMC11785394" TargetMode="External"/><Relationship Id="rId535" Type="http://schemas.openxmlformats.org/officeDocument/2006/relationships/hyperlink" Target="https://europepmc.org/article/PMC/PMC12222963" TargetMode="External"/><Relationship Id="rId536" Type="http://schemas.openxmlformats.org/officeDocument/2006/relationships/hyperlink" Target="https://europepmc.org/article/PMC/PMC12794183" TargetMode="External"/><Relationship Id="rId537" Type="http://schemas.openxmlformats.org/officeDocument/2006/relationships/hyperlink" Target="https://europepmc.org/article/PMC/PMC12611148" TargetMode="External"/><Relationship Id="rId538" Type="http://schemas.openxmlformats.org/officeDocument/2006/relationships/hyperlink" Target="https://europepmc.org/article/PMC/PMC12325224" TargetMode="External"/><Relationship Id="rId539" Type="http://schemas.openxmlformats.org/officeDocument/2006/relationships/hyperlink" Target="https://europepmc.org/article/PMC/PMC12532985" TargetMode="External"/><Relationship Id="rId540" Type="http://schemas.openxmlformats.org/officeDocument/2006/relationships/hyperlink" Target="https://europepmc.org/article/PMC/PMC12391420" TargetMode="External"/><Relationship Id="rId541" Type="http://schemas.openxmlformats.org/officeDocument/2006/relationships/hyperlink" Target="https://europepmc.org/article/PMC/PMC12325482" TargetMode="External"/><Relationship Id="rId542" Type="http://schemas.openxmlformats.org/officeDocument/2006/relationships/hyperlink" Target="https://europepmc.org/article/PMC/PMC1248158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B22" activeCellId="0" sqref="B22"/>
    </sheetView>
  </sheetViews>
  <sheetFormatPr defaultColWidth="8.71484375" defaultRowHeight="15" zeroHeight="false" outlineLevelRow="0" outlineLevelCol="0"/>
  <cols>
    <col collapsed="false" customWidth="true" hidden="false" outlineLevel="0" max="1" min="1" style="1" width="34"/>
    <col collapsed="false" customWidth="true" hidden="false" outlineLevel="0" max="2" min="2" style="1" width="90"/>
  </cols>
  <sheetData>
    <row r="1" customFormat="false" ht="49.5" hidden="false" customHeight="true" outlineLevel="0" collapsed="false">
      <c r="A1" s="2" t="s">
        <v>0</v>
      </c>
      <c r="B1" s="2"/>
    </row>
    <row r="2" customFormat="false" ht="15" hidden="false" customHeight="true" outlineLevel="0" collapsed="false">
      <c r="A2" s="3" t="s">
        <v>1</v>
      </c>
      <c r="B2" s="3" t="s">
        <v>2</v>
      </c>
    </row>
    <row r="4" customFormat="false" ht="15" hidden="false" customHeight="true" outlineLevel="0" collapsed="false">
      <c r="A4" s="4" t="s">
        <v>3</v>
      </c>
      <c r="B4" s="4"/>
    </row>
    <row r="5" customFormat="false" ht="25.5" hidden="false" customHeight="true" outlineLevel="0" collapsed="false">
      <c r="A5" s="3" t="s">
        <v>4</v>
      </c>
      <c r="B5" s="3" t="s">
        <v>5</v>
      </c>
    </row>
    <row r="6" customFormat="false" ht="25.5" hidden="false" customHeight="true" outlineLevel="0" collapsed="false">
      <c r="A6" s="3" t="s">
        <v>6</v>
      </c>
      <c r="B6" s="3" t="s">
        <v>7</v>
      </c>
    </row>
    <row r="8" customFormat="false" ht="15" hidden="false" customHeight="true" outlineLevel="0" collapsed="false">
      <c r="A8" s="4" t="s">
        <v>8</v>
      </c>
      <c r="B8" s="4"/>
    </row>
    <row r="9" customFormat="false" ht="15" hidden="false" customHeight="true" outlineLevel="0" collapsed="false">
      <c r="A9" s="3" t="s">
        <v>9</v>
      </c>
      <c r="B9" s="3" t="s">
        <v>10</v>
      </c>
    </row>
    <row r="10" customFormat="false" ht="25.5" hidden="false" customHeight="true" outlineLevel="0" collapsed="false">
      <c r="A10" s="3" t="s">
        <v>11</v>
      </c>
      <c r="B10" s="3" t="s">
        <v>12</v>
      </c>
    </row>
    <row r="11" customFormat="false" ht="25.5" hidden="false" customHeight="true" outlineLevel="0" collapsed="false">
      <c r="A11" s="3" t="s">
        <v>13</v>
      </c>
      <c r="B11" s="3" t="s">
        <v>14</v>
      </c>
    </row>
    <row r="12" customFormat="false" ht="15" hidden="false" customHeight="true" outlineLevel="0" collapsed="false">
      <c r="A12" s="3" t="s">
        <v>15</v>
      </c>
      <c r="B12" s="3" t="s">
        <v>16</v>
      </c>
    </row>
    <row r="13" customFormat="false" ht="15" hidden="false" customHeight="true" outlineLevel="0" collapsed="false">
      <c r="A13" s="3" t="s">
        <v>17</v>
      </c>
      <c r="B13" s="3" t="s">
        <v>18</v>
      </c>
    </row>
    <row r="14" customFormat="false" ht="15" hidden="false" customHeight="true" outlineLevel="0" collapsed="false">
      <c r="A14" s="3" t="s">
        <v>19</v>
      </c>
      <c r="B14" s="3" t="s">
        <v>20</v>
      </c>
    </row>
    <row r="16" customFormat="false" ht="15" hidden="false" customHeight="true" outlineLevel="0" collapsed="false">
      <c r="A16" s="4" t="s">
        <v>21</v>
      </c>
      <c r="B16" s="4"/>
    </row>
    <row r="17" customFormat="false" ht="25.5" hidden="false" customHeight="true" outlineLevel="0" collapsed="false">
      <c r="A17" s="3" t="s">
        <v>22</v>
      </c>
      <c r="B17" s="3" t="s">
        <v>23</v>
      </c>
    </row>
    <row r="18" customFormat="false" ht="15" hidden="false" customHeight="true" outlineLevel="0" collapsed="false">
      <c r="A18" s="3"/>
      <c r="B18" s="3"/>
    </row>
    <row r="19" customFormat="false" ht="15" hidden="false" customHeight="true" outlineLevel="0" collapsed="false">
      <c r="A19" s="4" t="s">
        <v>24</v>
      </c>
      <c r="B19" s="4"/>
    </row>
    <row r="20" customFormat="false" ht="15" hidden="false" customHeight="true" outlineLevel="0" collapsed="false">
      <c r="A20" s="5" t="s">
        <v>25</v>
      </c>
      <c r="B20" s="6" t="n">
        <f aca="false">COUNTIF(Annotation!I3:I544,"Y")+COUNTIF(Annotation!I3:I544,"N")</f>
        <v>128</v>
      </c>
    </row>
    <row r="21" customFormat="false" ht="15" hidden="false" customHeight="true" outlineLevel="0" collapsed="false">
      <c r="A21" s="3" t="s">
        <v>26</v>
      </c>
      <c r="B21" s="7" t="n">
        <f aca="false">COUNTIFS(Annotation!B3:B544,"test",Annotation!C3:C544,"done")</f>
        <v>80</v>
      </c>
    </row>
    <row r="22" customFormat="false" ht="15" hidden="false" customHeight="true" outlineLevel="0" collapsed="false">
      <c r="A22" s="3" t="s">
        <v>27</v>
      </c>
      <c r="B22" s="7" t="n">
        <f aca="false">IFERROR(AVERAGEIF(Annotation!B3:B544,"test",Annotation!AI3:AI544),"-")</f>
        <v>5.5625</v>
      </c>
    </row>
    <row r="23" customFormat="false" ht="15" hidden="false" customHeight="true" outlineLevel="0" collapsed="false">
      <c r="A23" s="3"/>
      <c r="B23" s="7"/>
    </row>
    <row r="24" customFormat="false" ht="15" hidden="false" customHeight="true" outlineLevel="0" collapsed="false">
      <c r="A24" s="3"/>
      <c r="B24" s="7"/>
    </row>
    <row r="25" customFormat="false" ht="15" hidden="false" customHeight="true" outlineLevel="0" collapsed="false">
      <c r="A25" s="3"/>
      <c r="B25" s="7"/>
    </row>
    <row r="26" customFormat="false" ht="15" hidden="false" customHeight="true" outlineLevel="0" collapsed="false">
      <c r="A26" s="3"/>
      <c r="B26" s="7"/>
    </row>
    <row r="27" customFormat="false" ht="15" hidden="false" customHeight="true" outlineLevel="0" collapsed="false">
      <c r="A27" s="3"/>
      <c r="B27" s="7"/>
    </row>
    <row r="29" customFormat="false" ht="25.5" hidden="false" customHeight="true" outlineLevel="0" collapsed="false">
      <c r="A29" s="3"/>
      <c r="B29"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544"/>
  <sheetViews>
    <sheetView showFormulas="false" showGridLines="true" showRowColHeaders="true" showZeros="true" rightToLeft="false" tabSelected="true" showOutlineSymbols="true" defaultGridColor="true" view="normal" topLeftCell="Q1" colorId="64" zoomScale="100" zoomScaleNormal="100" zoomScalePageLayoutView="100" workbookViewId="0">
      <pane xSplit="0" ySplit="1" topLeftCell="A121" activePane="bottomLeft" state="frozen"/>
      <selection pane="topLeft" activeCell="Q1" activeCellId="0" sqref="Q1"/>
      <selection pane="bottomLeft" activeCell="AD126" activeCellId="0" sqref="AD126"/>
    </sheetView>
  </sheetViews>
  <sheetFormatPr defaultColWidth="8.71484375" defaultRowHeight="15" zeroHeight="false" outlineLevelRow="0" outlineLevelCol="0"/>
  <cols>
    <col collapsed="false" customWidth="true" hidden="false" outlineLevel="0" max="2" min="1" style="1" width="8"/>
    <col collapsed="false" customWidth="true" hidden="false" outlineLevel="0" max="3" min="3" style="1" width="11"/>
    <col collapsed="false" customWidth="true" hidden="false" outlineLevel="0" max="4" min="4" style="1" width="13"/>
    <col collapsed="false" customWidth="true" hidden="false" outlineLevel="0" max="5" min="5" style="1" width="11"/>
    <col collapsed="false" customWidth="true" hidden="false" outlineLevel="0" max="6" min="6" style="1" width="48"/>
    <col collapsed="false" customWidth="true" hidden="false" outlineLevel="0" max="8" min="7" style="1" width="22"/>
    <col collapsed="false" customWidth="true" hidden="false" outlineLevel="0" max="9" min="9" style="1" width="8"/>
    <col collapsed="false" customWidth="true" hidden="false" outlineLevel="0" max="10" min="10" style="1" width="18"/>
    <col collapsed="false" customWidth="true" hidden="false" outlineLevel="0" max="11" min="11" style="1" width="15"/>
    <col collapsed="false" customWidth="true" hidden="false" outlineLevel="0" max="12" min="12" style="1" width="30"/>
    <col collapsed="false" customWidth="true" hidden="true" outlineLevel="0" max="13" min="13" style="1" width="15"/>
    <col collapsed="false" customWidth="true" hidden="true" outlineLevel="0" max="14" min="14" style="1" width="30"/>
    <col collapsed="false" customWidth="true" hidden="true" outlineLevel="0" max="15" min="15" style="1" width="15"/>
    <col collapsed="false" customWidth="true" hidden="true" outlineLevel="0" max="16" min="16" style="1" width="30"/>
    <col collapsed="false" customWidth="true" hidden="false" outlineLevel="0" max="17" min="17" style="1" width="15"/>
    <col collapsed="false" customWidth="true" hidden="false" outlineLevel="0" max="18" min="18" style="1" width="30"/>
    <col collapsed="false" customWidth="true" hidden="true" outlineLevel="0" max="19" min="19" style="1" width="15"/>
    <col collapsed="false" customWidth="true" hidden="true" outlineLevel="0" max="20" min="20" style="1" width="30"/>
    <col collapsed="false" customWidth="true" hidden="true" outlineLevel="0" max="21" min="21" style="1" width="15"/>
    <col collapsed="false" customWidth="true" hidden="true" outlineLevel="0" max="22" min="22" style="1" width="30"/>
    <col collapsed="false" customWidth="true" hidden="false" outlineLevel="0" max="23" min="23" style="1" width="15"/>
    <col collapsed="false" customWidth="true" hidden="false" outlineLevel="0" max="24" min="24" style="1" width="30"/>
    <col collapsed="false" customWidth="true" hidden="true" outlineLevel="0" max="25" min="25" style="1" width="15"/>
    <col collapsed="false" customWidth="true" hidden="true" outlineLevel="0" max="26" min="26" style="1" width="30"/>
    <col collapsed="false" customWidth="true" hidden="true" outlineLevel="0" max="27" min="27" style="1" width="15"/>
    <col collapsed="false" customWidth="true" hidden="true" outlineLevel="0" max="28" min="28" style="1" width="30"/>
    <col collapsed="false" customWidth="true" hidden="false" outlineLevel="0" max="29" min="29" style="1" width="15"/>
    <col collapsed="false" customWidth="true" hidden="false" outlineLevel="0" max="30" min="30" style="1" width="30"/>
    <col collapsed="false" customWidth="true" hidden="false" outlineLevel="0" max="31" min="31" style="1" width="15"/>
    <col collapsed="false" customWidth="true" hidden="false" outlineLevel="0" max="33" min="32" style="1" width="30"/>
    <col collapsed="false" customWidth="true" hidden="false" outlineLevel="0" max="34" min="34" style="1" width="24"/>
    <col collapsed="false" customWidth="true" hidden="false" outlineLevel="0" max="35" min="35" style="1" width="8"/>
    <col collapsed="false" customWidth="true" hidden="false" outlineLevel="0" max="36" min="36" style="1" width="12"/>
    <col collapsed="false" customWidth="true" hidden="false" outlineLevel="0" max="37" min="37" style="1" width="10"/>
  </cols>
  <sheetData>
    <row r="1" customFormat="false" ht="31.5" hidden="false" customHeight="true" outlineLevel="0" collapsed="false">
      <c r="A1" s="8" t="s">
        <v>28</v>
      </c>
      <c r="B1" s="8" t="s">
        <v>29</v>
      </c>
      <c r="C1" s="8" t="s">
        <v>30</v>
      </c>
      <c r="D1" s="8" t="s">
        <v>31</v>
      </c>
      <c r="E1" s="8" t="s">
        <v>32</v>
      </c>
      <c r="F1" s="8" t="s">
        <v>33</v>
      </c>
      <c r="G1" s="8" t="s">
        <v>34</v>
      </c>
      <c r="H1" s="8" t="s">
        <v>35</v>
      </c>
      <c r="I1" s="8" t="s">
        <v>36</v>
      </c>
      <c r="J1" s="8" t="s">
        <v>37</v>
      </c>
      <c r="K1" s="8" t="s">
        <v>38</v>
      </c>
      <c r="L1" s="8" t="s">
        <v>39</v>
      </c>
      <c r="M1" s="8" t="s">
        <v>40</v>
      </c>
      <c r="N1" s="8" t="s">
        <v>41</v>
      </c>
      <c r="O1" s="8" t="s">
        <v>42</v>
      </c>
      <c r="P1" s="8" t="s">
        <v>43</v>
      </c>
      <c r="Q1" s="8" t="s">
        <v>44</v>
      </c>
      <c r="R1" s="8" t="s">
        <v>45</v>
      </c>
      <c r="S1" s="8" t="s">
        <v>46</v>
      </c>
      <c r="T1" s="8" t="s">
        <v>47</v>
      </c>
      <c r="U1" s="8" t="s">
        <v>48</v>
      </c>
      <c r="V1" s="8" t="s">
        <v>49</v>
      </c>
      <c r="W1" s="8" t="s">
        <v>50</v>
      </c>
      <c r="X1" s="8" t="s">
        <v>51</v>
      </c>
      <c r="Y1" s="8" t="s">
        <v>52</v>
      </c>
      <c r="Z1" s="8" t="s">
        <v>53</v>
      </c>
      <c r="AA1" s="8" t="s">
        <v>54</v>
      </c>
      <c r="AB1" s="8" t="s">
        <v>55</v>
      </c>
      <c r="AC1" s="8" t="s">
        <v>56</v>
      </c>
      <c r="AD1" s="8" t="s">
        <v>57</v>
      </c>
      <c r="AE1" s="8" t="s">
        <v>58</v>
      </c>
      <c r="AF1" s="8" t="s">
        <v>59</v>
      </c>
      <c r="AG1" s="8" t="s">
        <v>60</v>
      </c>
      <c r="AH1" s="8" t="s">
        <v>61</v>
      </c>
      <c r="AI1" s="8" t="s">
        <v>62</v>
      </c>
      <c r="AJ1" s="8" t="s">
        <v>63</v>
      </c>
      <c r="AK1" s="8" t="s">
        <v>64</v>
      </c>
    </row>
    <row r="2" customFormat="false" ht="15" hidden="false" customHeight="true" outlineLevel="0" collapsed="false">
      <c r="A2" s="9" t="s">
        <v>65</v>
      </c>
      <c r="B2" s="9" t="s">
        <v>66</v>
      </c>
      <c r="C2" s="9" t="s">
        <v>67</v>
      </c>
      <c r="D2" s="9" t="s">
        <v>68</v>
      </c>
      <c r="E2" s="9" t="s">
        <v>69</v>
      </c>
      <c r="F2" s="9" t="s">
        <v>70</v>
      </c>
      <c r="G2" s="9" t="s">
        <v>69</v>
      </c>
      <c r="H2" s="9"/>
      <c r="I2" s="9" t="s">
        <v>71</v>
      </c>
      <c r="J2" s="9"/>
      <c r="K2" s="9" t="s">
        <v>72</v>
      </c>
      <c r="L2" s="9" t="s">
        <v>73</v>
      </c>
      <c r="M2" s="9" t="s">
        <v>74</v>
      </c>
      <c r="N2" s="9" t="s">
        <v>75</v>
      </c>
      <c r="O2" s="9" t="s">
        <v>72</v>
      </c>
      <c r="P2" s="9" t="s">
        <v>76</v>
      </c>
      <c r="Q2" s="9" t="s">
        <v>77</v>
      </c>
      <c r="R2" s="9" t="s">
        <v>78</v>
      </c>
      <c r="S2" s="9" t="s">
        <v>79</v>
      </c>
      <c r="T2" s="9" t="s">
        <v>78</v>
      </c>
      <c r="U2" s="9" t="s">
        <v>79</v>
      </c>
      <c r="V2" s="9" t="s">
        <v>78</v>
      </c>
      <c r="W2" s="9" t="s">
        <v>79</v>
      </c>
      <c r="X2" s="9" t="s">
        <v>78</v>
      </c>
      <c r="Y2" s="9" t="s">
        <v>79</v>
      </c>
      <c r="Z2" s="9" t="s">
        <v>80</v>
      </c>
      <c r="AA2" s="9" t="s">
        <v>72</v>
      </c>
      <c r="AB2" s="9" t="s">
        <v>81</v>
      </c>
      <c r="AC2" s="9" t="s">
        <v>82</v>
      </c>
      <c r="AD2" s="9" t="s">
        <v>83</v>
      </c>
      <c r="AE2" s="9" t="s">
        <v>84</v>
      </c>
      <c r="AF2" s="9" t="s">
        <v>85</v>
      </c>
      <c r="AG2" s="9" t="s">
        <v>86</v>
      </c>
      <c r="AH2" s="9"/>
      <c r="AI2" s="9" t="n">
        <v>9</v>
      </c>
      <c r="AJ2" s="9" t="s">
        <v>87</v>
      </c>
      <c r="AK2" s="10" t="s">
        <v>88</v>
      </c>
    </row>
    <row r="3" customFormat="false" ht="71.25" hidden="false" customHeight="true" outlineLevel="0" collapsed="false">
      <c r="A3" s="11" t="n">
        <v>1</v>
      </c>
      <c r="B3" s="11" t="str">
        <f aca="false">IF(I3="Y",IF(COUNTIF(I$3:I3,"Y")&lt;=20,"pilot",IF(COUNTIF(I$3:I3,"Y")&lt;=40,"dev",IF(COUNTIF(I$3:I3,"Y")&lt;=120,"test","extra"))),"")</f>
        <v>pilot</v>
      </c>
      <c r="C3" s="11" t="str">
        <f aca="false">IF(I3="Y",IF(COUNTA(K3,Q3,W3,AC3,AE3)=5,"done","in progress"),IF(I3="N","excluded",""))</f>
        <v>done</v>
      </c>
      <c r="D3" s="11" t="s">
        <v>89</v>
      </c>
      <c r="E3" s="12" t="s">
        <v>90</v>
      </c>
      <c r="F3" s="13" t="s">
        <v>91</v>
      </c>
      <c r="G3" s="11" t="s">
        <v>92</v>
      </c>
      <c r="H3" s="11"/>
      <c r="I3" s="14" t="s">
        <v>71</v>
      </c>
      <c r="J3" s="14"/>
      <c r="K3" s="14" t="s">
        <v>74</v>
      </c>
      <c r="L3" s="15" t="s">
        <v>93</v>
      </c>
      <c r="M3" s="14" t="s">
        <v>94</v>
      </c>
      <c r="N3" s="15" t="s">
        <v>95</v>
      </c>
      <c r="O3" s="14" t="s">
        <v>74</v>
      </c>
      <c r="P3" s="15" t="s">
        <v>96</v>
      </c>
      <c r="Q3" s="14" t="s">
        <v>72</v>
      </c>
      <c r="R3" s="15" t="s">
        <v>97</v>
      </c>
      <c r="S3" s="14" t="s">
        <v>79</v>
      </c>
      <c r="T3" s="15" t="s">
        <v>78</v>
      </c>
      <c r="U3" s="14" t="s">
        <v>79</v>
      </c>
      <c r="V3" s="15" t="s">
        <v>78</v>
      </c>
      <c r="W3" s="14" t="s">
        <v>82</v>
      </c>
      <c r="X3" s="15" t="s">
        <v>98</v>
      </c>
      <c r="Y3" s="14" t="s">
        <v>82</v>
      </c>
      <c r="Z3" s="15" t="s">
        <v>99</v>
      </c>
      <c r="AA3" s="14" t="s">
        <v>74</v>
      </c>
      <c r="AB3" s="15" t="s">
        <v>100</v>
      </c>
      <c r="AC3" s="14" t="s">
        <v>79</v>
      </c>
      <c r="AD3" s="15" t="s">
        <v>78</v>
      </c>
      <c r="AE3" s="14" t="s">
        <v>101</v>
      </c>
      <c r="AF3" s="15" t="s">
        <v>102</v>
      </c>
      <c r="AG3" s="15" t="s">
        <v>103</v>
      </c>
      <c r="AH3" s="15"/>
      <c r="AI3" s="14" t="n">
        <v>25</v>
      </c>
      <c r="AJ3" s="16" t="s">
        <v>104</v>
      </c>
      <c r="AK3" s="17" t="s">
        <v>105</v>
      </c>
    </row>
    <row r="4" customFormat="false" ht="71.25" hidden="false" customHeight="true" outlineLevel="0" collapsed="false">
      <c r="A4" s="11" t="n">
        <v>2</v>
      </c>
      <c r="B4" s="11" t="str">
        <f aca="false">IF(I4="Y",IF(COUNTIF(I$3:I4,"Y")&lt;=20,"pilot",IF(COUNTIF(I$3:I4,"Y")&lt;=40,"dev",IF(COUNTIF(I$3:I4,"Y")&lt;=120,"test","extra"))),"")</f>
        <v>pilot</v>
      </c>
      <c r="C4" s="11" t="str">
        <f aca="false">IF(I4="Y",IF(COUNTA(K4,Q4,W4,AC4,AE4)=5,"done","in progress"),IF(I4="N","excluded",""))</f>
        <v>done</v>
      </c>
      <c r="D4" s="11" t="s">
        <v>106</v>
      </c>
      <c r="E4" s="12" t="s">
        <v>90</v>
      </c>
      <c r="F4" s="13" t="s">
        <v>107</v>
      </c>
      <c r="G4" s="11" t="s">
        <v>108</v>
      </c>
      <c r="H4" s="11"/>
      <c r="I4" s="14" t="s">
        <v>71</v>
      </c>
      <c r="J4" s="14"/>
      <c r="K4" s="14" t="s">
        <v>74</v>
      </c>
      <c r="L4" s="15" t="s">
        <v>109</v>
      </c>
      <c r="M4" s="14" t="s">
        <v>94</v>
      </c>
      <c r="N4" s="15" t="s">
        <v>110</v>
      </c>
      <c r="O4" s="14" t="s">
        <v>94</v>
      </c>
      <c r="P4" s="15" t="s">
        <v>78</v>
      </c>
      <c r="Q4" s="14" t="s">
        <v>74</v>
      </c>
      <c r="R4" s="15" t="s">
        <v>111</v>
      </c>
      <c r="S4" s="14" t="s">
        <v>79</v>
      </c>
      <c r="T4" s="15" t="s">
        <v>78</v>
      </c>
      <c r="U4" s="14" t="s">
        <v>82</v>
      </c>
      <c r="V4" s="15" t="s">
        <v>111</v>
      </c>
      <c r="W4" s="14" t="s">
        <v>82</v>
      </c>
      <c r="X4" s="15" t="s">
        <v>112</v>
      </c>
      <c r="Y4" s="14" t="s">
        <v>79</v>
      </c>
      <c r="Z4" s="15" t="s">
        <v>78</v>
      </c>
      <c r="AA4" s="14" t="s">
        <v>94</v>
      </c>
      <c r="AB4" s="15" t="s">
        <v>78</v>
      </c>
      <c r="AC4" s="14" t="s">
        <v>82</v>
      </c>
      <c r="AD4" s="15" t="s">
        <v>113</v>
      </c>
      <c r="AE4" s="14" t="s">
        <v>101</v>
      </c>
      <c r="AF4" s="15" t="s">
        <v>114</v>
      </c>
      <c r="AG4" s="15" t="s">
        <v>115</v>
      </c>
      <c r="AH4" s="15"/>
      <c r="AI4" s="14" t="n">
        <v>20</v>
      </c>
      <c r="AJ4" s="16" t="s">
        <v>104</v>
      </c>
      <c r="AK4" s="17" t="s">
        <v>105</v>
      </c>
    </row>
    <row r="5" customFormat="false" ht="71.25" hidden="false" customHeight="true" outlineLevel="0" collapsed="false">
      <c r="A5" s="11" t="n">
        <v>3</v>
      </c>
      <c r="B5" s="11" t="str">
        <f aca="false">IF(I5="Y",IF(COUNTIF(I$3:I5,"Y")&lt;=20,"pilot",IF(COUNTIF(I$3:I5,"Y")&lt;=40,"dev",IF(COUNTIF(I$3:I5,"Y")&lt;=120,"test","extra"))),"")</f>
        <v>pilot</v>
      </c>
      <c r="C5" s="11" t="str">
        <f aca="false">IF(I5="Y",IF(COUNTA(K5,Q5,W5,AC5,AE5)=5,"done","in progress"),IF(I5="N","excluded",""))</f>
        <v>done</v>
      </c>
      <c r="D5" s="11" t="s">
        <v>116</v>
      </c>
      <c r="E5" s="12" t="s">
        <v>90</v>
      </c>
      <c r="F5" s="13" t="s">
        <v>117</v>
      </c>
      <c r="G5" s="11" t="s">
        <v>118</v>
      </c>
      <c r="H5" s="11"/>
      <c r="I5" s="14" t="s">
        <v>71</v>
      </c>
      <c r="J5" s="14"/>
      <c r="K5" s="14" t="s">
        <v>74</v>
      </c>
      <c r="L5" s="15" t="s">
        <v>119</v>
      </c>
      <c r="M5" s="14" t="s">
        <v>77</v>
      </c>
      <c r="N5" s="15" t="s">
        <v>78</v>
      </c>
      <c r="O5" s="14" t="s">
        <v>77</v>
      </c>
      <c r="P5" s="15" t="s">
        <v>78</v>
      </c>
      <c r="Q5" s="14" t="s">
        <v>77</v>
      </c>
      <c r="R5" s="15" t="s">
        <v>78</v>
      </c>
      <c r="S5" s="14" t="s">
        <v>79</v>
      </c>
      <c r="T5" s="15" t="s">
        <v>78</v>
      </c>
      <c r="U5" s="14" t="s">
        <v>79</v>
      </c>
      <c r="V5" s="15" t="s">
        <v>78</v>
      </c>
      <c r="W5" s="14" t="s">
        <v>82</v>
      </c>
      <c r="X5" s="15" t="s">
        <v>120</v>
      </c>
      <c r="Y5" s="14" t="s">
        <v>94</v>
      </c>
      <c r="Z5" s="15" t="s">
        <v>78</v>
      </c>
      <c r="AA5" s="14" t="s">
        <v>94</v>
      </c>
      <c r="AB5" s="15" t="s">
        <v>78</v>
      </c>
      <c r="AC5" s="14" t="s">
        <v>79</v>
      </c>
      <c r="AD5" s="15" t="s">
        <v>78</v>
      </c>
      <c r="AE5" s="14" t="s">
        <v>101</v>
      </c>
      <c r="AF5" s="15" t="s">
        <v>121</v>
      </c>
      <c r="AG5" s="15" t="s">
        <v>122</v>
      </c>
      <c r="AH5" s="15"/>
      <c r="AI5" s="14" t="n">
        <v>20</v>
      </c>
      <c r="AJ5" s="16" t="s">
        <v>104</v>
      </c>
      <c r="AK5" s="17" t="s">
        <v>105</v>
      </c>
    </row>
    <row r="6" customFormat="false" ht="57" hidden="false" customHeight="true" outlineLevel="0" collapsed="false">
      <c r="A6" s="11" t="n">
        <v>4</v>
      </c>
      <c r="B6" s="11" t="str">
        <f aca="false">IF(I6="Y",IF(COUNTIF(I$3:I6,"Y")&lt;=20,"pilot",IF(COUNTIF(I$3:I6,"Y")&lt;=40,"dev",IF(COUNTIF(I$3:I6,"Y")&lt;=120,"test","extra"))),"")</f>
        <v>pilot</v>
      </c>
      <c r="C6" s="11" t="str">
        <f aca="false">IF(I6="Y",IF(COUNTA(K6,Q6,W6,AC6,AE6)=5,"done","in progress"),IF(I6="N","excluded",""))</f>
        <v>done</v>
      </c>
      <c r="D6" s="11" t="s">
        <v>123</v>
      </c>
      <c r="E6" s="12" t="s">
        <v>90</v>
      </c>
      <c r="F6" s="13" t="s">
        <v>124</v>
      </c>
      <c r="G6" s="11" t="s">
        <v>125</v>
      </c>
      <c r="H6" s="11"/>
      <c r="I6" s="14" t="s">
        <v>71</v>
      </c>
      <c r="J6" s="14"/>
      <c r="K6" s="14" t="s">
        <v>77</v>
      </c>
      <c r="L6" s="15" t="s">
        <v>78</v>
      </c>
      <c r="M6" s="14" t="s">
        <v>77</v>
      </c>
      <c r="N6" s="15" t="s">
        <v>78</v>
      </c>
      <c r="O6" s="14" t="s">
        <v>94</v>
      </c>
      <c r="P6" s="15" t="s">
        <v>78</v>
      </c>
      <c r="Q6" s="14" t="s">
        <v>77</v>
      </c>
      <c r="R6" s="15" t="s">
        <v>78</v>
      </c>
      <c r="S6" s="14" t="s">
        <v>79</v>
      </c>
      <c r="T6" s="15" t="s">
        <v>78</v>
      </c>
      <c r="U6" s="14" t="s">
        <v>79</v>
      </c>
      <c r="V6" s="15" t="s">
        <v>78</v>
      </c>
      <c r="W6" s="14" t="s">
        <v>79</v>
      </c>
      <c r="X6" s="15" t="s">
        <v>78</v>
      </c>
      <c r="Y6" s="14" t="s">
        <v>94</v>
      </c>
      <c r="Z6" s="15" t="s">
        <v>78</v>
      </c>
      <c r="AA6" s="14" t="s">
        <v>74</v>
      </c>
      <c r="AB6" s="15" t="s">
        <v>126</v>
      </c>
      <c r="AC6" s="14" t="s">
        <v>79</v>
      </c>
      <c r="AD6" s="15" t="s">
        <v>78</v>
      </c>
      <c r="AE6" s="14" t="s">
        <v>84</v>
      </c>
      <c r="AF6" s="15" t="s">
        <v>127</v>
      </c>
      <c r="AG6" s="15" t="s">
        <v>128</v>
      </c>
      <c r="AH6" s="15"/>
      <c r="AI6" s="14" t="n">
        <v>20</v>
      </c>
      <c r="AJ6" s="16" t="s">
        <v>104</v>
      </c>
      <c r="AK6" s="17" t="s">
        <v>105</v>
      </c>
    </row>
    <row r="7" customFormat="false" ht="42.75" hidden="false" customHeight="true" outlineLevel="0" collapsed="false">
      <c r="A7" s="11" t="n">
        <v>5</v>
      </c>
      <c r="B7" s="11" t="str">
        <f aca="false">IF(I7="Y",IF(COUNTIF(I$3:I7,"Y")&lt;=20,"pilot",IF(COUNTIF(I$3:I7,"Y")&lt;=40,"dev",IF(COUNTIF(I$3:I7,"Y")&lt;=120,"test","extra"))),"")</f>
        <v/>
      </c>
      <c r="C7" s="11" t="str">
        <f aca="false">IF(I7="Y",IF(COUNTA(K7,Q7,W7,AC7,AE7)=5,"done","in progress"),IF(I7="N","excluded",""))</f>
        <v>excluded</v>
      </c>
      <c r="D7" s="11" t="s">
        <v>129</v>
      </c>
      <c r="E7" s="12" t="s">
        <v>90</v>
      </c>
      <c r="F7" s="13" t="s">
        <v>130</v>
      </c>
      <c r="G7" s="11" t="s">
        <v>131</v>
      </c>
      <c r="H7" s="11"/>
      <c r="I7" s="14" t="s">
        <v>132</v>
      </c>
      <c r="J7" s="14" t="s">
        <v>133</v>
      </c>
      <c r="K7" s="14"/>
      <c r="L7" s="15"/>
      <c r="M7" s="14"/>
      <c r="N7" s="15"/>
      <c r="O7" s="14"/>
      <c r="P7" s="15"/>
      <c r="Q7" s="14"/>
      <c r="R7" s="15"/>
      <c r="S7" s="14"/>
      <c r="T7" s="15"/>
      <c r="U7" s="14"/>
      <c r="V7" s="15"/>
      <c r="W7" s="14"/>
      <c r="X7" s="15"/>
      <c r="Y7" s="14"/>
      <c r="Z7" s="15"/>
      <c r="AA7" s="14"/>
      <c r="AB7" s="15"/>
      <c r="AC7" s="14"/>
      <c r="AD7" s="15"/>
      <c r="AE7" s="14"/>
      <c r="AF7" s="15"/>
      <c r="AG7" s="15"/>
      <c r="AH7" s="15"/>
      <c r="AI7" s="14"/>
      <c r="AJ7" s="16"/>
      <c r="AK7" s="17" t="s">
        <v>105</v>
      </c>
    </row>
    <row r="8" customFormat="false" ht="71.25" hidden="false" customHeight="true" outlineLevel="0" collapsed="false">
      <c r="A8" s="11" t="n">
        <v>6</v>
      </c>
      <c r="B8" s="11" t="str">
        <f aca="false">IF(I8="Y",IF(COUNTIF(I$3:I8,"Y")&lt;=20,"pilot",IF(COUNTIF(I$3:I8,"Y")&lt;=40,"dev",IF(COUNTIF(I$3:I8,"Y")&lt;=120,"test","extra"))),"")</f>
        <v>pilot</v>
      </c>
      <c r="C8" s="11" t="str">
        <f aca="false">IF(I8="Y",IF(COUNTA(K8,Q8,W8,AC8,AE8)=5,"done","in progress"),IF(I8="N","excluded",""))</f>
        <v>done</v>
      </c>
      <c r="D8" s="11" t="s">
        <v>134</v>
      </c>
      <c r="E8" s="12" t="s">
        <v>90</v>
      </c>
      <c r="F8" s="13" t="s">
        <v>135</v>
      </c>
      <c r="G8" s="11" t="s">
        <v>136</v>
      </c>
      <c r="H8" s="11"/>
      <c r="I8" s="14" t="s">
        <v>71</v>
      </c>
      <c r="J8" s="14"/>
      <c r="K8" s="14" t="s">
        <v>77</v>
      </c>
      <c r="L8" s="15" t="s">
        <v>137</v>
      </c>
      <c r="M8" s="14" t="s">
        <v>94</v>
      </c>
      <c r="N8" s="15" t="s">
        <v>138</v>
      </c>
      <c r="O8" s="14" t="s">
        <v>94</v>
      </c>
      <c r="P8" s="15" t="s">
        <v>78</v>
      </c>
      <c r="Q8" s="14" t="s">
        <v>72</v>
      </c>
      <c r="R8" s="15" t="s">
        <v>139</v>
      </c>
      <c r="S8" s="14" t="s">
        <v>79</v>
      </c>
      <c r="T8" s="15" t="s">
        <v>78</v>
      </c>
      <c r="U8" s="14" t="s">
        <v>79</v>
      </c>
      <c r="V8" s="15" t="s">
        <v>78</v>
      </c>
      <c r="W8" s="14" t="s">
        <v>79</v>
      </c>
      <c r="X8" s="15" t="s">
        <v>78</v>
      </c>
      <c r="Y8" s="14" t="s">
        <v>79</v>
      </c>
      <c r="Z8" s="15" t="s">
        <v>78</v>
      </c>
      <c r="AA8" s="14" t="s">
        <v>74</v>
      </c>
      <c r="AB8" s="15" t="s">
        <v>140</v>
      </c>
      <c r="AC8" s="14" t="s">
        <v>79</v>
      </c>
      <c r="AD8" s="15" t="s">
        <v>78</v>
      </c>
      <c r="AE8" s="14" t="s">
        <v>101</v>
      </c>
      <c r="AF8" s="15" t="s">
        <v>141</v>
      </c>
      <c r="AG8" s="15" t="s">
        <v>142</v>
      </c>
      <c r="AH8" s="15"/>
      <c r="AI8" s="14" t="n">
        <v>15</v>
      </c>
      <c r="AJ8" s="16" t="s">
        <v>104</v>
      </c>
      <c r="AK8" s="17" t="s">
        <v>105</v>
      </c>
    </row>
    <row r="9" customFormat="false" ht="42.75" hidden="false" customHeight="true" outlineLevel="0" collapsed="false">
      <c r="A9" s="11" t="n">
        <v>7</v>
      </c>
      <c r="B9" s="11" t="str">
        <f aca="false">IF(I9="Y",IF(COUNTIF(I$3:I9,"Y")&lt;=20,"pilot",IF(COUNTIF(I$3:I9,"Y")&lt;=40,"dev",IF(COUNTIF(I$3:I9,"Y")&lt;=120,"test","extra"))),"")</f>
        <v/>
      </c>
      <c r="C9" s="11" t="str">
        <f aca="false">IF(I9="Y",IF(COUNTA(K9,Q9,W9,AC9,AE9)=5,"done","in progress"),IF(I9="N","excluded",""))</f>
        <v>excluded</v>
      </c>
      <c r="D9" s="11" t="s">
        <v>143</v>
      </c>
      <c r="E9" s="12" t="s">
        <v>90</v>
      </c>
      <c r="F9" s="13" t="s">
        <v>144</v>
      </c>
      <c r="G9" s="11" t="s">
        <v>145</v>
      </c>
      <c r="H9" s="11"/>
      <c r="I9" s="14" t="s">
        <v>132</v>
      </c>
      <c r="J9" s="14" t="s">
        <v>146</v>
      </c>
      <c r="K9" s="14"/>
      <c r="L9" s="15"/>
      <c r="M9" s="14"/>
      <c r="N9" s="15"/>
      <c r="O9" s="14"/>
      <c r="P9" s="15"/>
      <c r="Q9" s="14"/>
      <c r="R9" s="15"/>
      <c r="S9" s="14"/>
      <c r="T9" s="15"/>
      <c r="U9" s="14"/>
      <c r="V9" s="15"/>
      <c r="W9" s="14"/>
      <c r="X9" s="15"/>
      <c r="Y9" s="14"/>
      <c r="Z9" s="15"/>
      <c r="AA9" s="14"/>
      <c r="AB9" s="15"/>
      <c r="AC9" s="14"/>
      <c r="AD9" s="15"/>
      <c r="AE9" s="14"/>
      <c r="AF9" s="15"/>
      <c r="AG9" s="15"/>
      <c r="AH9" s="15"/>
      <c r="AI9" s="14"/>
      <c r="AJ9" s="16"/>
      <c r="AK9" s="17" t="s">
        <v>105</v>
      </c>
    </row>
    <row r="10" customFormat="false" ht="71.25" hidden="false" customHeight="true" outlineLevel="0" collapsed="false">
      <c r="A10" s="11" t="n">
        <v>8</v>
      </c>
      <c r="B10" s="11" t="str">
        <f aca="false">IF(I10="Y",IF(COUNTIF(I$3:I10,"Y")&lt;=20,"pilot",IF(COUNTIF(I$3:I10,"Y")&lt;=40,"dev",IF(COUNTIF(I$3:I10,"Y")&lt;=120,"test","extra"))),"")</f>
        <v>pilot</v>
      </c>
      <c r="C10" s="11" t="str">
        <f aca="false">IF(I10="Y",IF(COUNTA(K10,Q10,W10,AC10,AE10)=5,"done","in progress"),IF(I10="N","excluded",""))</f>
        <v>done</v>
      </c>
      <c r="D10" s="11" t="s">
        <v>147</v>
      </c>
      <c r="E10" s="12" t="s">
        <v>90</v>
      </c>
      <c r="F10" s="13" t="s">
        <v>148</v>
      </c>
      <c r="G10" s="11" t="s">
        <v>149</v>
      </c>
      <c r="H10" s="11"/>
      <c r="I10" s="14" t="s">
        <v>71</v>
      </c>
      <c r="J10" s="14"/>
      <c r="K10" s="14" t="s">
        <v>77</v>
      </c>
      <c r="L10" s="15" t="s">
        <v>78</v>
      </c>
      <c r="M10" s="14" t="s">
        <v>77</v>
      </c>
      <c r="N10" s="15" t="s">
        <v>150</v>
      </c>
      <c r="O10" s="14" t="s">
        <v>94</v>
      </c>
      <c r="P10" s="15" t="s">
        <v>78</v>
      </c>
      <c r="Q10" s="14" t="s">
        <v>72</v>
      </c>
      <c r="R10" s="15" t="s">
        <v>151</v>
      </c>
      <c r="S10" s="14" t="s">
        <v>79</v>
      </c>
      <c r="T10" s="15" t="s">
        <v>78</v>
      </c>
      <c r="U10" s="14" t="s">
        <v>79</v>
      </c>
      <c r="V10" s="15" t="s">
        <v>78</v>
      </c>
      <c r="W10" s="14" t="s">
        <v>79</v>
      </c>
      <c r="X10" s="15" t="s">
        <v>152</v>
      </c>
      <c r="Y10" s="14" t="s">
        <v>94</v>
      </c>
      <c r="Z10" s="15" t="s">
        <v>78</v>
      </c>
      <c r="AA10" s="14" t="s">
        <v>94</v>
      </c>
      <c r="AB10" s="15" t="s">
        <v>78</v>
      </c>
      <c r="AC10" s="14" t="s">
        <v>79</v>
      </c>
      <c r="AD10" s="15" t="s">
        <v>78</v>
      </c>
      <c r="AE10" s="14" t="s">
        <v>79</v>
      </c>
      <c r="AF10" s="15" t="s">
        <v>78</v>
      </c>
      <c r="AG10" s="15" t="s">
        <v>153</v>
      </c>
      <c r="AH10" s="15"/>
      <c r="AI10" s="14" t="n">
        <v>15</v>
      </c>
      <c r="AJ10" s="16" t="s">
        <v>104</v>
      </c>
      <c r="AK10" s="17" t="s">
        <v>154</v>
      </c>
    </row>
    <row r="11" customFormat="false" ht="71.25" hidden="false" customHeight="true" outlineLevel="0" collapsed="false">
      <c r="A11" s="11" t="n">
        <v>9</v>
      </c>
      <c r="B11" s="11" t="str">
        <f aca="false">IF(I11="Y",IF(COUNTIF(I$3:I11,"Y")&lt;=20,"pilot",IF(COUNTIF(I$3:I11,"Y")&lt;=40,"dev",IF(COUNTIF(I$3:I11,"Y")&lt;=120,"test","extra"))),"")</f>
        <v>pilot</v>
      </c>
      <c r="C11" s="11" t="str">
        <f aca="false">IF(I11="Y",IF(COUNTA(K11,Q11,W11,AC11,AE11)=5,"done","in progress"),IF(I11="N","excluded",""))</f>
        <v>done</v>
      </c>
      <c r="D11" s="11" t="s">
        <v>155</v>
      </c>
      <c r="E11" s="12" t="s">
        <v>90</v>
      </c>
      <c r="F11" s="13" t="s">
        <v>156</v>
      </c>
      <c r="G11" s="11" t="s">
        <v>157</v>
      </c>
      <c r="H11" s="11"/>
      <c r="I11" s="14" t="s">
        <v>71</v>
      </c>
      <c r="J11" s="14"/>
      <c r="K11" s="14" t="s">
        <v>74</v>
      </c>
      <c r="L11" s="15" t="s">
        <v>158</v>
      </c>
      <c r="M11" s="14" t="s">
        <v>77</v>
      </c>
      <c r="N11" s="15" t="s">
        <v>78</v>
      </c>
      <c r="O11" s="14" t="s">
        <v>74</v>
      </c>
      <c r="P11" s="15" t="s">
        <v>159</v>
      </c>
      <c r="Q11" s="14" t="s">
        <v>77</v>
      </c>
      <c r="R11" s="15" t="s">
        <v>160</v>
      </c>
      <c r="S11" s="14" t="s">
        <v>79</v>
      </c>
      <c r="T11" s="15" t="s">
        <v>78</v>
      </c>
      <c r="U11" s="14" t="s">
        <v>82</v>
      </c>
      <c r="V11" s="15" t="s">
        <v>161</v>
      </c>
      <c r="W11" s="14" t="s">
        <v>82</v>
      </c>
      <c r="X11" s="15" t="s">
        <v>162</v>
      </c>
      <c r="Y11" s="14" t="s">
        <v>94</v>
      </c>
      <c r="Z11" s="15" t="s">
        <v>78</v>
      </c>
      <c r="AA11" s="14" t="s">
        <v>77</v>
      </c>
      <c r="AB11" s="15" t="s">
        <v>78</v>
      </c>
      <c r="AC11" s="14" t="s">
        <v>82</v>
      </c>
      <c r="AD11" s="15" t="s">
        <v>163</v>
      </c>
      <c r="AE11" s="14" t="s">
        <v>84</v>
      </c>
      <c r="AF11" s="15" t="s">
        <v>164</v>
      </c>
      <c r="AG11" s="15" t="s">
        <v>165</v>
      </c>
      <c r="AH11" s="15"/>
      <c r="AI11" s="14" t="n">
        <v>15</v>
      </c>
      <c r="AJ11" s="16" t="s">
        <v>104</v>
      </c>
      <c r="AK11" s="17" t="s">
        <v>105</v>
      </c>
    </row>
    <row r="12" customFormat="false" ht="85.5" hidden="false" customHeight="true" outlineLevel="0" collapsed="false">
      <c r="A12" s="11" t="n">
        <v>10</v>
      </c>
      <c r="B12" s="11" t="str">
        <f aca="false">IF(I12="Y",IF(COUNTIF(I$3:I12,"Y")&lt;=20,"pilot",IF(COUNTIF(I$3:I12,"Y")&lt;=40,"dev",IF(COUNTIF(I$3:I12,"Y")&lt;=120,"test","extra"))),"")</f>
        <v>pilot</v>
      </c>
      <c r="C12" s="11" t="str">
        <f aca="false">IF(I12="Y",IF(COUNTA(K12,Q12,W12,AC12,AE12)=5,"done","in progress"),IF(I12="N","excluded",""))</f>
        <v>done</v>
      </c>
      <c r="D12" s="11" t="s">
        <v>166</v>
      </c>
      <c r="E12" s="12" t="s">
        <v>90</v>
      </c>
      <c r="F12" s="13" t="s">
        <v>167</v>
      </c>
      <c r="G12" s="11" t="s">
        <v>168</v>
      </c>
      <c r="H12" s="11"/>
      <c r="I12" s="14" t="s">
        <v>71</v>
      </c>
      <c r="J12" s="14"/>
      <c r="K12" s="14" t="s">
        <v>74</v>
      </c>
      <c r="L12" s="15" t="s">
        <v>169</v>
      </c>
      <c r="M12" s="14" t="s">
        <v>74</v>
      </c>
      <c r="N12" s="15" t="s">
        <v>170</v>
      </c>
      <c r="O12" s="14" t="s">
        <v>74</v>
      </c>
      <c r="P12" s="15" t="s">
        <v>171</v>
      </c>
      <c r="Q12" s="14" t="s">
        <v>77</v>
      </c>
      <c r="R12" s="15" t="s">
        <v>172</v>
      </c>
      <c r="S12" s="14" t="s">
        <v>79</v>
      </c>
      <c r="T12" s="15" t="s">
        <v>78</v>
      </c>
      <c r="U12" s="14" t="s">
        <v>79</v>
      </c>
      <c r="V12" s="15" t="s">
        <v>78</v>
      </c>
      <c r="W12" s="14" t="s">
        <v>82</v>
      </c>
      <c r="X12" s="15" t="s">
        <v>173</v>
      </c>
      <c r="Y12" s="14" t="s">
        <v>79</v>
      </c>
      <c r="Z12" s="15" t="s">
        <v>78</v>
      </c>
      <c r="AA12" s="14" t="s">
        <v>72</v>
      </c>
      <c r="AB12" s="15" t="s">
        <v>174</v>
      </c>
      <c r="AC12" s="14" t="s">
        <v>79</v>
      </c>
      <c r="AD12" s="15" t="s">
        <v>78</v>
      </c>
      <c r="AE12" s="14" t="s">
        <v>84</v>
      </c>
      <c r="AF12" s="15" t="s">
        <v>175</v>
      </c>
      <c r="AG12" s="15" t="s">
        <v>176</v>
      </c>
      <c r="AH12" s="15"/>
      <c r="AI12" s="14" t="n">
        <v>15</v>
      </c>
      <c r="AJ12" s="16" t="s">
        <v>104</v>
      </c>
      <c r="AK12" s="17" t="s">
        <v>105</v>
      </c>
    </row>
    <row r="13" customFormat="false" ht="99.75" hidden="false" customHeight="true" outlineLevel="0" collapsed="false">
      <c r="A13" s="11" t="n">
        <v>11</v>
      </c>
      <c r="B13" s="11" t="str">
        <f aca="false">IF(I13="Y",IF(COUNTIF(I$3:I13,"Y")&lt;=20,"pilot",IF(COUNTIF(I$3:I13,"Y")&lt;=40,"dev",IF(COUNTIF(I$3:I13,"Y")&lt;=120,"test","extra"))),"")</f>
        <v>pilot</v>
      </c>
      <c r="C13" s="11" t="str">
        <f aca="false">IF(I13="Y",IF(COUNTA(K13,Q13,W13,AC13,AE13)=5,"done","in progress"),IF(I13="N","excluded",""))</f>
        <v>done</v>
      </c>
      <c r="D13" s="11" t="s">
        <v>177</v>
      </c>
      <c r="E13" s="12" t="s">
        <v>90</v>
      </c>
      <c r="F13" s="13" t="s">
        <v>178</v>
      </c>
      <c r="G13" s="11" t="s">
        <v>136</v>
      </c>
      <c r="H13" s="11"/>
      <c r="I13" s="14" t="s">
        <v>71</v>
      </c>
      <c r="J13" s="14"/>
      <c r="K13" s="14" t="s">
        <v>74</v>
      </c>
      <c r="L13" s="15" t="s">
        <v>179</v>
      </c>
      <c r="M13" s="14" t="s">
        <v>77</v>
      </c>
      <c r="N13" s="15" t="s">
        <v>78</v>
      </c>
      <c r="O13" s="14" t="s">
        <v>77</v>
      </c>
      <c r="P13" s="15" t="s">
        <v>78</v>
      </c>
      <c r="Q13" s="14" t="s">
        <v>74</v>
      </c>
      <c r="R13" s="15" t="s">
        <v>180</v>
      </c>
      <c r="S13" s="14" t="s">
        <v>79</v>
      </c>
      <c r="T13" s="15" t="s">
        <v>78</v>
      </c>
      <c r="U13" s="14" t="s">
        <v>79</v>
      </c>
      <c r="V13" s="15" t="s">
        <v>78</v>
      </c>
      <c r="W13" s="14" t="s">
        <v>82</v>
      </c>
      <c r="X13" s="15" t="s">
        <v>181</v>
      </c>
      <c r="Y13" s="14" t="s">
        <v>79</v>
      </c>
      <c r="Z13" s="15" t="s">
        <v>78</v>
      </c>
      <c r="AA13" s="14" t="s">
        <v>74</v>
      </c>
      <c r="AB13" s="15" t="s">
        <v>180</v>
      </c>
      <c r="AC13" s="14" t="s">
        <v>79</v>
      </c>
      <c r="AD13" s="15" t="s">
        <v>78</v>
      </c>
      <c r="AE13" s="14" t="s">
        <v>101</v>
      </c>
      <c r="AF13" s="15" t="s">
        <v>182</v>
      </c>
      <c r="AG13" s="15" t="s">
        <v>183</v>
      </c>
      <c r="AH13" s="15"/>
      <c r="AI13" s="14" t="n">
        <v>15</v>
      </c>
      <c r="AJ13" s="16" t="s">
        <v>104</v>
      </c>
      <c r="AK13" s="17" t="s">
        <v>154</v>
      </c>
    </row>
    <row r="14" customFormat="false" ht="71.25" hidden="false" customHeight="true" outlineLevel="0" collapsed="false">
      <c r="A14" s="11" t="n">
        <v>12</v>
      </c>
      <c r="B14" s="11" t="str">
        <f aca="false">IF(I14="Y",IF(COUNTIF(I$3:I14,"Y")&lt;=20,"pilot",IF(COUNTIF(I$3:I14,"Y")&lt;=40,"dev",IF(COUNTIF(I$3:I14,"Y")&lt;=120,"test","extra"))),"")</f>
        <v>pilot</v>
      </c>
      <c r="C14" s="11" t="str">
        <f aca="false">IF(I14="Y",IF(COUNTA(K14,Q14,W14,AC14,AE14)=5,"done","in progress"),IF(I14="N","excluded",""))</f>
        <v>done</v>
      </c>
      <c r="D14" s="11" t="s">
        <v>184</v>
      </c>
      <c r="E14" s="12" t="s">
        <v>90</v>
      </c>
      <c r="F14" s="13" t="s">
        <v>185</v>
      </c>
      <c r="G14" s="11" t="s">
        <v>186</v>
      </c>
      <c r="H14" s="11"/>
      <c r="I14" s="14" t="s">
        <v>71</v>
      </c>
      <c r="J14" s="14"/>
      <c r="K14" s="14" t="s">
        <v>77</v>
      </c>
      <c r="L14" s="15" t="s">
        <v>187</v>
      </c>
      <c r="M14" s="14" t="s">
        <v>77</v>
      </c>
      <c r="N14" s="15" t="s">
        <v>78</v>
      </c>
      <c r="O14" s="14" t="s">
        <v>94</v>
      </c>
      <c r="P14" s="15" t="s">
        <v>78</v>
      </c>
      <c r="Q14" s="14" t="s">
        <v>77</v>
      </c>
      <c r="R14" s="15" t="s">
        <v>187</v>
      </c>
      <c r="S14" s="14" t="s">
        <v>79</v>
      </c>
      <c r="T14" s="15" t="s">
        <v>78</v>
      </c>
      <c r="U14" s="14" t="s">
        <v>79</v>
      </c>
      <c r="V14" s="15" t="s">
        <v>78</v>
      </c>
      <c r="W14" s="14" t="s">
        <v>79</v>
      </c>
      <c r="X14" s="15" t="s">
        <v>78</v>
      </c>
      <c r="Y14" s="14" t="s">
        <v>82</v>
      </c>
      <c r="Z14" s="15" t="s">
        <v>188</v>
      </c>
      <c r="AA14" s="14" t="s">
        <v>74</v>
      </c>
      <c r="AB14" s="15" t="s">
        <v>189</v>
      </c>
      <c r="AC14" s="14" t="s">
        <v>79</v>
      </c>
      <c r="AD14" s="15" t="s">
        <v>78</v>
      </c>
      <c r="AE14" s="14" t="s">
        <v>79</v>
      </c>
      <c r="AF14" s="15" t="s">
        <v>78</v>
      </c>
      <c r="AG14" s="15" t="s">
        <v>190</v>
      </c>
      <c r="AH14" s="15"/>
      <c r="AI14" s="14" t="n">
        <v>15</v>
      </c>
      <c r="AJ14" s="16" t="s">
        <v>104</v>
      </c>
      <c r="AK14" s="17" t="s">
        <v>105</v>
      </c>
    </row>
    <row r="15" customFormat="false" ht="71.25" hidden="false" customHeight="true" outlineLevel="0" collapsed="false">
      <c r="A15" s="11" t="n">
        <v>13</v>
      </c>
      <c r="B15" s="11" t="str">
        <f aca="false">IF(I15="Y",IF(COUNTIF(I$3:I15,"Y")&lt;=20,"pilot",IF(COUNTIF(I$3:I15,"Y")&lt;=40,"dev",IF(COUNTIF(I$3:I15,"Y")&lt;=120,"test","extra"))),"")</f>
        <v>pilot</v>
      </c>
      <c r="C15" s="11" t="str">
        <f aca="false">IF(I15="Y",IF(COUNTA(K15,Q15,W15,AC15,AE15)=5,"done","in progress"),IF(I15="N","excluded",""))</f>
        <v>done</v>
      </c>
      <c r="D15" s="11" t="s">
        <v>191</v>
      </c>
      <c r="E15" s="12" t="s">
        <v>90</v>
      </c>
      <c r="F15" s="13" t="s">
        <v>192</v>
      </c>
      <c r="G15" s="11" t="s">
        <v>193</v>
      </c>
      <c r="H15" s="11"/>
      <c r="I15" s="14" t="s">
        <v>71</v>
      </c>
      <c r="J15" s="14"/>
      <c r="K15" s="14" t="s">
        <v>77</v>
      </c>
      <c r="L15" s="15" t="s">
        <v>78</v>
      </c>
      <c r="M15" s="14" t="s">
        <v>77</v>
      </c>
      <c r="N15" s="15" t="s">
        <v>78</v>
      </c>
      <c r="O15" s="14" t="s">
        <v>77</v>
      </c>
      <c r="P15" s="15" t="s">
        <v>194</v>
      </c>
      <c r="Q15" s="14" t="s">
        <v>77</v>
      </c>
      <c r="R15" s="15" t="s">
        <v>78</v>
      </c>
      <c r="S15" s="14" t="s">
        <v>79</v>
      </c>
      <c r="T15" s="15" t="s">
        <v>78</v>
      </c>
      <c r="U15" s="14" t="s">
        <v>79</v>
      </c>
      <c r="V15" s="15" t="s">
        <v>78</v>
      </c>
      <c r="W15" s="14" t="s">
        <v>79</v>
      </c>
      <c r="X15" s="15" t="s">
        <v>78</v>
      </c>
      <c r="Y15" s="14" t="s">
        <v>79</v>
      </c>
      <c r="Z15" s="15" t="s">
        <v>78</v>
      </c>
      <c r="AA15" s="14" t="s">
        <v>77</v>
      </c>
      <c r="AB15" s="15" t="s">
        <v>78</v>
      </c>
      <c r="AC15" s="14" t="s">
        <v>79</v>
      </c>
      <c r="AD15" s="15" t="s">
        <v>78</v>
      </c>
      <c r="AE15" s="14" t="s">
        <v>101</v>
      </c>
      <c r="AF15" s="15" t="s">
        <v>195</v>
      </c>
      <c r="AG15" s="15" t="s">
        <v>196</v>
      </c>
      <c r="AH15" s="15"/>
      <c r="AI15" s="14" t="n">
        <v>15</v>
      </c>
      <c r="AJ15" s="16" t="s">
        <v>104</v>
      </c>
      <c r="AK15" s="17" t="s">
        <v>154</v>
      </c>
    </row>
    <row r="16" customFormat="false" ht="71.25" hidden="false" customHeight="true" outlineLevel="0" collapsed="false">
      <c r="A16" s="11" t="n">
        <v>14</v>
      </c>
      <c r="B16" s="11" t="str">
        <f aca="false">IF(I16="Y",IF(COUNTIF(I$3:I16,"Y")&lt;=20,"pilot",IF(COUNTIF(I$3:I16,"Y")&lt;=40,"dev",IF(COUNTIF(I$3:I16,"Y")&lt;=120,"test","extra"))),"")</f>
        <v>pilot</v>
      </c>
      <c r="C16" s="11" t="str">
        <f aca="false">IF(I16="Y",IF(COUNTA(K16,Q16,W16,AC16,AE16)=5,"done","in progress"),IF(I16="N","excluded",""))</f>
        <v>done</v>
      </c>
      <c r="D16" s="11" t="s">
        <v>197</v>
      </c>
      <c r="E16" s="12" t="s">
        <v>90</v>
      </c>
      <c r="F16" s="13" t="s">
        <v>198</v>
      </c>
      <c r="G16" s="11" t="s">
        <v>145</v>
      </c>
      <c r="H16" s="11"/>
      <c r="I16" s="14" t="s">
        <v>71</v>
      </c>
      <c r="J16" s="14"/>
      <c r="K16" s="14" t="s">
        <v>77</v>
      </c>
      <c r="L16" s="15" t="s">
        <v>78</v>
      </c>
      <c r="M16" s="14" t="s">
        <v>94</v>
      </c>
      <c r="N16" s="15" t="s">
        <v>199</v>
      </c>
      <c r="O16" s="14" t="s">
        <v>94</v>
      </c>
      <c r="P16" s="15" t="s">
        <v>78</v>
      </c>
      <c r="Q16" s="14" t="s">
        <v>77</v>
      </c>
      <c r="R16" s="15" t="s">
        <v>200</v>
      </c>
      <c r="S16" s="14" t="s">
        <v>79</v>
      </c>
      <c r="T16" s="15" t="s">
        <v>78</v>
      </c>
      <c r="U16" s="14" t="s">
        <v>79</v>
      </c>
      <c r="V16" s="15" t="s">
        <v>78</v>
      </c>
      <c r="W16" s="14" t="s">
        <v>79</v>
      </c>
      <c r="X16" s="15" t="s">
        <v>78</v>
      </c>
      <c r="Y16" s="14" t="s">
        <v>79</v>
      </c>
      <c r="Z16" s="15" t="s">
        <v>78</v>
      </c>
      <c r="AA16" s="14" t="s">
        <v>77</v>
      </c>
      <c r="AB16" s="15" t="s">
        <v>78</v>
      </c>
      <c r="AC16" s="14" t="s">
        <v>79</v>
      </c>
      <c r="AD16" s="15" t="s">
        <v>78</v>
      </c>
      <c r="AE16" s="14" t="s">
        <v>84</v>
      </c>
      <c r="AF16" s="15" t="s">
        <v>201</v>
      </c>
      <c r="AG16" s="15" t="s">
        <v>202</v>
      </c>
      <c r="AH16" s="15"/>
      <c r="AI16" s="14" t="n">
        <v>15</v>
      </c>
      <c r="AJ16" s="16" t="s">
        <v>104</v>
      </c>
      <c r="AK16" s="17" t="s">
        <v>154</v>
      </c>
    </row>
    <row r="17" customFormat="false" ht="99.75" hidden="false" customHeight="true" outlineLevel="0" collapsed="false">
      <c r="A17" s="11" t="n">
        <v>15</v>
      </c>
      <c r="B17" s="11" t="str">
        <f aca="false">IF(I17="Y",IF(COUNTIF(I$3:I17,"Y")&lt;=20,"pilot",IF(COUNTIF(I$3:I17,"Y")&lt;=40,"dev",IF(COUNTIF(I$3:I17,"Y")&lt;=120,"test","extra"))),"")</f>
        <v>pilot</v>
      </c>
      <c r="C17" s="11" t="str">
        <f aca="false">IF(I17="Y",IF(COUNTA(K17,Q17,W17,AC17,AE17)=5,"done","in progress"),IF(I17="N","excluded",""))</f>
        <v>done</v>
      </c>
      <c r="D17" s="11" t="s">
        <v>203</v>
      </c>
      <c r="E17" s="12" t="s">
        <v>90</v>
      </c>
      <c r="F17" s="13" t="s">
        <v>204</v>
      </c>
      <c r="G17" s="11" t="s">
        <v>205</v>
      </c>
      <c r="H17" s="11"/>
      <c r="I17" s="14" t="s">
        <v>71</v>
      </c>
      <c r="J17" s="14"/>
      <c r="K17" s="14" t="s">
        <v>74</v>
      </c>
      <c r="L17" s="15" t="s">
        <v>206</v>
      </c>
      <c r="M17" s="14" t="s">
        <v>94</v>
      </c>
      <c r="N17" s="15" t="s">
        <v>207</v>
      </c>
      <c r="O17" s="14" t="s">
        <v>94</v>
      </c>
      <c r="P17" s="15" t="s">
        <v>78</v>
      </c>
      <c r="Q17" s="14" t="s">
        <v>74</v>
      </c>
      <c r="R17" s="15" t="s">
        <v>208</v>
      </c>
      <c r="S17" s="14" t="s">
        <v>79</v>
      </c>
      <c r="T17" s="15" t="s">
        <v>78</v>
      </c>
      <c r="U17" s="14" t="s">
        <v>79</v>
      </c>
      <c r="V17" s="15" t="s">
        <v>78</v>
      </c>
      <c r="W17" s="14" t="s">
        <v>82</v>
      </c>
      <c r="X17" s="15" t="s">
        <v>209</v>
      </c>
      <c r="Y17" s="14" t="s">
        <v>79</v>
      </c>
      <c r="Z17" s="15" t="s">
        <v>78</v>
      </c>
      <c r="AA17" s="14" t="s">
        <v>74</v>
      </c>
      <c r="AB17" s="15" t="s">
        <v>210</v>
      </c>
      <c r="AC17" s="14" t="s">
        <v>79</v>
      </c>
      <c r="AD17" s="15" t="s">
        <v>78</v>
      </c>
      <c r="AE17" s="14" t="s">
        <v>101</v>
      </c>
      <c r="AF17" s="15" t="s">
        <v>211</v>
      </c>
      <c r="AG17" s="15" t="s">
        <v>212</v>
      </c>
      <c r="AH17" s="15"/>
      <c r="AI17" s="14" t="n">
        <v>15</v>
      </c>
      <c r="AJ17" s="16" t="s">
        <v>104</v>
      </c>
      <c r="AK17" s="17" t="s">
        <v>105</v>
      </c>
    </row>
    <row r="18" customFormat="false" ht="71.25" hidden="false" customHeight="true" outlineLevel="0" collapsed="false">
      <c r="A18" s="11" t="n">
        <v>16</v>
      </c>
      <c r="B18" s="11" t="str">
        <f aca="false">IF(I18="Y",IF(COUNTIF(I$3:I18,"Y")&lt;=20,"pilot",IF(COUNTIF(I$3:I18,"Y")&lt;=40,"dev",IF(COUNTIF(I$3:I18,"Y")&lt;=120,"test","extra"))),"")</f>
        <v>pilot</v>
      </c>
      <c r="C18" s="11" t="str">
        <f aca="false">IF(I18="Y",IF(COUNTA(K18,Q18,W18,AC18,AE18)=5,"done","in progress"),IF(I18="N","excluded",""))</f>
        <v>done</v>
      </c>
      <c r="D18" s="11" t="s">
        <v>213</v>
      </c>
      <c r="E18" s="12" t="s">
        <v>90</v>
      </c>
      <c r="F18" s="13" t="s">
        <v>214</v>
      </c>
      <c r="G18" s="11" t="s">
        <v>118</v>
      </c>
      <c r="H18" s="11"/>
      <c r="I18" s="14" t="s">
        <v>71</v>
      </c>
      <c r="J18" s="14"/>
      <c r="K18" s="14" t="s">
        <v>77</v>
      </c>
      <c r="L18" s="15" t="s">
        <v>78</v>
      </c>
      <c r="M18" s="14" t="s">
        <v>94</v>
      </c>
      <c r="N18" s="15" t="s">
        <v>215</v>
      </c>
      <c r="O18" s="14" t="s">
        <v>94</v>
      </c>
      <c r="P18" s="15" t="s">
        <v>78</v>
      </c>
      <c r="Q18" s="14" t="s">
        <v>77</v>
      </c>
      <c r="R18" s="15" t="s">
        <v>216</v>
      </c>
      <c r="S18" s="14" t="s">
        <v>79</v>
      </c>
      <c r="T18" s="15" t="s">
        <v>78</v>
      </c>
      <c r="U18" s="14" t="s">
        <v>79</v>
      </c>
      <c r="V18" s="15" t="s">
        <v>78</v>
      </c>
      <c r="W18" s="14" t="s">
        <v>79</v>
      </c>
      <c r="X18" s="15" t="s">
        <v>78</v>
      </c>
      <c r="Y18" s="14" t="s">
        <v>79</v>
      </c>
      <c r="Z18" s="15" t="s">
        <v>78</v>
      </c>
      <c r="AA18" s="14" t="s">
        <v>77</v>
      </c>
      <c r="AB18" s="15" t="s">
        <v>78</v>
      </c>
      <c r="AC18" s="14" t="s">
        <v>79</v>
      </c>
      <c r="AD18" s="15" t="s">
        <v>78</v>
      </c>
      <c r="AE18" s="14" t="s">
        <v>101</v>
      </c>
      <c r="AF18" s="15" t="s">
        <v>121</v>
      </c>
      <c r="AG18" s="15" t="s">
        <v>217</v>
      </c>
      <c r="AH18" s="15"/>
      <c r="AI18" s="14" t="n">
        <v>10</v>
      </c>
      <c r="AJ18" s="16" t="s">
        <v>104</v>
      </c>
      <c r="AK18" s="17" t="s">
        <v>105</v>
      </c>
    </row>
    <row r="19" customFormat="false" ht="71.25" hidden="false" customHeight="true" outlineLevel="0" collapsed="false">
      <c r="A19" s="11" t="n">
        <v>17</v>
      </c>
      <c r="B19" s="11" t="str">
        <f aca="false">IF(I19="Y",IF(COUNTIF(I$3:I19,"Y")&lt;=20,"pilot",IF(COUNTIF(I$3:I19,"Y")&lt;=40,"dev",IF(COUNTIF(I$3:I19,"Y")&lt;=120,"test","extra"))),"")</f>
        <v>pilot</v>
      </c>
      <c r="C19" s="11" t="str">
        <f aca="false">IF(I19="Y",IF(COUNTA(K19,Q19,W19,AC19,AE19)=5,"done","in progress"),IF(I19="N","excluded",""))</f>
        <v>done</v>
      </c>
      <c r="D19" s="11" t="s">
        <v>218</v>
      </c>
      <c r="E19" s="12" t="s">
        <v>90</v>
      </c>
      <c r="F19" s="13" t="s">
        <v>219</v>
      </c>
      <c r="G19" s="11" t="s">
        <v>220</v>
      </c>
      <c r="H19" s="11"/>
      <c r="I19" s="14" t="s">
        <v>71</v>
      </c>
      <c r="J19" s="14"/>
      <c r="K19" s="14" t="s">
        <v>74</v>
      </c>
      <c r="L19" s="15" t="s">
        <v>221</v>
      </c>
      <c r="M19" s="14" t="s">
        <v>94</v>
      </c>
      <c r="N19" s="15" t="s">
        <v>222</v>
      </c>
      <c r="O19" s="14" t="s">
        <v>74</v>
      </c>
      <c r="P19" s="15" t="s">
        <v>223</v>
      </c>
      <c r="Q19" s="14" t="s">
        <v>74</v>
      </c>
      <c r="R19" s="15" t="s">
        <v>224</v>
      </c>
      <c r="S19" s="14" t="s">
        <v>82</v>
      </c>
      <c r="T19" s="15" t="s">
        <v>225</v>
      </c>
      <c r="U19" s="14" t="s">
        <v>79</v>
      </c>
      <c r="V19" s="15" t="s">
        <v>78</v>
      </c>
      <c r="W19" s="14" t="s">
        <v>82</v>
      </c>
      <c r="X19" s="15" t="s">
        <v>226</v>
      </c>
      <c r="Y19" s="14" t="s">
        <v>94</v>
      </c>
      <c r="Z19" s="15" t="s">
        <v>78</v>
      </c>
      <c r="AA19" s="14" t="s">
        <v>94</v>
      </c>
      <c r="AB19" s="15" t="s">
        <v>78</v>
      </c>
      <c r="AC19" s="14" t="s">
        <v>79</v>
      </c>
      <c r="AD19" s="15" t="s">
        <v>78</v>
      </c>
      <c r="AE19" s="14" t="s">
        <v>101</v>
      </c>
      <c r="AF19" s="15" t="s">
        <v>227</v>
      </c>
      <c r="AG19" s="15" t="s">
        <v>228</v>
      </c>
      <c r="AH19" s="15"/>
      <c r="AI19" s="14" t="n">
        <v>10</v>
      </c>
      <c r="AJ19" s="16" t="s">
        <v>104</v>
      </c>
      <c r="AK19" s="17" t="s">
        <v>154</v>
      </c>
    </row>
    <row r="20" customFormat="false" ht="85.5" hidden="false" customHeight="true" outlineLevel="0" collapsed="false">
      <c r="A20" s="11" t="n">
        <v>18</v>
      </c>
      <c r="B20" s="11" t="str">
        <f aca="false">IF(I20="Y",IF(COUNTIF(I$3:I20,"Y")&lt;=20,"pilot",IF(COUNTIF(I$3:I20,"Y")&lt;=40,"dev",IF(COUNTIF(I$3:I20,"Y")&lt;=120,"test","extra"))),"")</f>
        <v>pilot</v>
      </c>
      <c r="C20" s="11" t="str">
        <f aca="false">IF(I20="Y",IF(COUNTA(K20,Q20,W20,AC20,AE20)=5,"done","in progress"),IF(I20="N","excluded",""))</f>
        <v>done</v>
      </c>
      <c r="D20" s="11" t="s">
        <v>229</v>
      </c>
      <c r="E20" s="12" t="s">
        <v>90</v>
      </c>
      <c r="F20" s="13" t="s">
        <v>230</v>
      </c>
      <c r="G20" s="11" t="s">
        <v>193</v>
      </c>
      <c r="H20" s="11"/>
      <c r="I20" s="14" t="s">
        <v>71</v>
      </c>
      <c r="J20" s="14"/>
      <c r="K20" s="14" t="s">
        <v>77</v>
      </c>
      <c r="L20" s="15" t="s">
        <v>78</v>
      </c>
      <c r="M20" s="14" t="s">
        <v>77</v>
      </c>
      <c r="N20" s="15" t="s">
        <v>78</v>
      </c>
      <c r="O20" s="14" t="s">
        <v>94</v>
      </c>
      <c r="P20" s="15" t="s">
        <v>78</v>
      </c>
      <c r="Q20" s="14" t="s">
        <v>77</v>
      </c>
      <c r="R20" s="15" t="s">
        <v>78</v>
      </c>
      <c r="S20" s="14" t="s">
        <v>79</v>
      </c>
      <c r="T20" s="15" t="s">
        <v>78</v>
      </c>
      <c r="U20" s="14" t="s">
        <v>79</v>
      </c>
      <c r="V20" s="15" t="s">
        <v>78</v>
      </c>
      <c r="W20" s="14" t="s">
        <v>79</v>
      </c>
      <c r="X20" s="15" t="s">
        <v>78</v>
      </c>
      <c r="Y20" s="14" t="s">
        <v>79</v>
      </c>
      <c r="Z20" s="15" t="s">
        <v>78</v>
      </c>
      <c r="AA20" s="14" t="s">
        <v>77</v>
      </c>
      <c r="AB20" s="15" t="s">
        <v>78</v>
      </c>
      <c r="AC20" s="14" t="s">
        <v>79</v>
      </c>
      <c r="AD20" s="15" t="s">
        <v>78</v>
      </c>
      <c r="AE20" s="14" t="s">
        <v>101</v>
      </c>
      <c r="AF20" s="15" t="s">
        <v>231</v>
      </c>
      <c r="AG20" s="15" t="s">
        <v>232</v>
      </c>
      <c r="AH20" s="15"/>
      <c r="AI20" s="14" t="n">
        <v>10</v>
      </c>
      <c r="AJ20" s="16" t="s">
        <v>104</v>
      </c>
      <c r="AK20" s="17" t="s">
        <v>105</v>
      </c>
    </row>
    <row r="21" customFormat="false" ht="71.25" hidden="false" customHeight="true" outlineLevel="0" collapsed="false">
      <c r="A21" s="11" t="n">
        <v>19</v>
      </c>
      <c r="B21" s="11" t="str">
        <f aca="false">IF(I21="Y",IF(COUNTIF(I$3:I21,"Y")&lt;=20,"pilot",IF(COUNTIF(I$3:I21,"Y")&lt;=40,"dev",IF(COUNTIF(I$3:I21,"Y")&lt;=120,"test","extra"))),"")</f>
        <v>pilot</v>
      </c>
      <c r="C21" s="11" t="str">
        <f aca="false">IF(I21="Y",IF(COUNTA(K21,Q21,W21,AC21,AE21)=5,"done","in progress"),IF(I21="N","excluded",""))</f>
        <v>done</v>
      </c>
      <c r="D21" s="11" t="s">
        <v>233</v>
      </c>
      <c r="E21" s="12" t="s">
        <v>90</v>
      </c>
      <c r="F21" s="13" t="s">
        <v>234</v>
      </c>
      <c r="G21" s="11" t="s">
        <v>235</v>
      </c>
      <c r="H21" s="11"/>
      <c r="I21" s="14" t="s">
        <v>71</v>
      </c>
      <c r="J21" s="14"/>
      <c r="K21" s="14" t="s">
        <v>74</v>
      </c>
      <c r="L21" s="15" t="s">
        <v>236</v>
      </c>
      <c r="M21" s="14" t="s">
        <v>94</v>
      </c>
      <c r="N21" s="15" t="s">
        <v>237</v>
      </c>
      <c r="O21" s="14" t="s">
        <v>74</v>
      </c>
      <c r="P21" s="15" t="s">
        <v>238</v>
      </c>
      <c r="Q21" s="14" t="s">
        <v>72</v>
      </c>
      <c r="R21" s="15" t="s">
        <v>239</v>
      </c>
      <c r="S21" s="14" t="s">
        <v>79</v>
      </c>
      <c r="T21" s="15" t="s">
        <v>78</v>
      </c>
      <c r="U21" s="14" t="s">
        <v>79</v>
      </c>
      <c r="V21" s="15" t="s">
        <v>240</v>
      </c>
      <c r="W21" s="14" t="s">
        <v>82</v>
      </c>
      <c r="X21" s="15" t="s">
        <v>241</v>
      </c>
      <c r="Y21" s="14" t="s">
        <v>94</v>
      </c>
      <c r="Z21" s="15" t="s">
        <v>78</v>
      </c>
      <c r="AA21" s="14" t="s">
        <v>94</v>
      </c>
      <c r="AB21" s="15" t="s">
        <v>78</v>
      </c>
      <c r="AC21" s="14" t="s">
        <v>79</v>
      </c>
      <c r="AD21" s="15" t="s">
        <v>78</v>
      </c>
      <c r="AE21" s="14" t="s">
        <v>79</v>
      </c>
      <c r="AF21" s="15" t="s">
        <v>78</v>
      </c>
      <c r="AG21" s="15" t="s">
        <v>242</v>
      </c>
      <c r="AH21" s="15"/>
      <c r="AI21" s="14" t="n">
        <v>10</v>
      </c>
      <c r="AJ21" s="16" t="s">
        <v>104</v>
      </c>
      <c r="AK21" s="17" t="s">
        <v>154</v>
      </c>
    </row>
    <row r="22" customFormat="false" ht="57" hidden="false" customHeight="true" outlineLevel="0" collapsed="false">
      <c r="A22" s="11" t="n">
        <v>20</v>
      </c>
      <c r="B22" s="11" t="str">
        <f aca="false">IF(I22="Y",IF(COUNTIF(I$3:I22,"Y")&lt;=20,"pilot",IF(COUNTIF(I$3:I22,"Y")&lt;=40,"dev",IF(COUNTIF(I$3:I22,"Y")&lt;=120,"test","extra"))),"")</f>
        <v/>
      </c>
      <c r="C22" s="11" t="str">
        <f aca="false">IF(I22="Y",IF(COUNTA(K22,Q22,W22,AC22,AE22)=5,"done","in progress"),IF(I22="N","excluded",""))</f>
        <v>excluded</v>
      </c>
      <c r="D22" s="11" t="s">
        <v>243</v>
      </c>
      <c r="E22" s="12" t="s">
        <v>90</v>
      </c>
      <c r="F22" s="13" t="s">
        <v>244</v>
      </c>
      <c r="G22" s="11" t="s">
        <v>245</v>
      </c>
      <c r="H22" s="11"/>
      <c r="I22" s="14" t="s">
        <v>132</v>
      </c>
      <c r="J22" s="14" t="s">
        <v>246</v>
      </c>
      <c r="K22" s="14" t="s">
        <v>77</v>
      </c>
      <c r="L22" s="15" t="s">
        <v>78</v>
      </c>
      <c r="M22" s="14" t="s">
        <v>77</v>
      </c>
      <c r="N22" s="15" t="s">
        <v>78</v>
      </c>
      <c r="O22" s="14" t="s">
        <v>94</v>
      </c>
      <c r="P22" s="15" t="s">
        <v>78</v>
      </c>
      <c r="Q22" s="14" t="s">
        <v>77</v>
      </c>
      <c r="R22" s="15" t="s">
        <v>78</v>
      </c>
      <c r="S22" s="14" t="s">
        <v>79</v>
      </c>
      <c r="T22" s="15" t="s">
        <v>78</v>
      </c>
      <c r="U22" s="14" t="s">
        <v>79</v>
      </c>
      <c r="V22" s="15" t="s">
        <v>78</v>
      </c>
      <c r="W22" s="14" t="s">
        <v>79</v>
      </c>
      <c r="X22" s="15" t="s">
        <v>78</v>
      </c>
      <c r="Y22" s="14" t="s">
        <v>94</v>
      </c>
      <c r="Z22" s="15" t="s">
        <v>78</v>
      </c>
      <c r="AA22" s="14" t="s">
        <v>94</v>
      </c>
      <c r="AB22" s="15" t="s">
        <v>78</v>
      </c>
      <c r="AC22" s="14" t="s">
        <v>79</v>
      </c>
      <c r="AD22" s="15" t="s">
        <v>78</v>
      </c>
      <c r="AE22" s="14" t="s">
        <v>84</v>
      </c>
      <c r="AF22" s="15" t="s">
        <v>247</v>
      </c>
      <c r="AG22" s="15" t="s">
        <v>248</v>
      </c>
      <c r="AH22" s="15"/>
      <c r="AI22" s="14" t="n">
        <v>15</v>
      </c>
      <c r="AJ22" s="16" t="s">
        <v>104</v>
      </c>
      <c r="AK22" s="17" t="s">
        <v>105</v>
      </c>
    </row>
    <row r="23" customFormat="false" ht="85.5" hidden="false" customHeight="true" outlineLevel="0" collapsed="false">
      <c r="A23" s="11" t="n">
        <v>21</v>
      </c>
      <c r="B23" s="11" t="str">
        <f aca="false">IF(I23="Y",IF(COUNTIF(I$3:I23,"Y")&lt;=20,"pilot",IF(COUNTIF(I$3:I23,"Y")&lt;=40,"dev",IF(COUNTIF(I$3:I23,"Y")&lt;=120,"test","extra"))),"")</f>
        <v>pilot</v>
      </c>
      <c r="C23" s="11" t="str">
        <f aca="false">IF(I23="Y",IF(COUNTA(K23,Q23,W23,AC23,AE23)=5,"done","in progress"),IF(I23="N","excluded",""))</f>
        <v>done</v>
      </c>
      <c r="D23" s="11" t="s">
        <v>249</v>
      </c>
      <c r="E23" s="12" t="s">
        <v>90</v>
      </c>
      <c r="F23" s="13" t="s">
        <v>250</v>
      </c>
      <c r="G23" s="11" t="s">
        <v>251</v>
      </c>
      <c r="H23" s="11"/>
      <c r="I23" s="14" t="s">
        <v>71</v>
      </c>
      <c r="J23" s="14"/>
      <c r="K23" s="14" t="s">
        <v>74</v>
      </c>
      <c r="L23" s="15" t="s">
        <v>252</v>
      </c>
      <c r="M23" s="14" t="s">
        <v>77</v>
      </c>
      <c r="N23" s="15" t="s">
        <v>78</v>
      </c>
      <c r="O23" s="14" t="s">
        <v>94</v>
      </c>
      <c r="P23" s="15" t="s">
        <v>78</v>
      </c>
      <c r="Q23" s="14" t="s">
        <v>74</v>
      </c>
      <c r="R23" s="15" t="s">
        <v>253</v>
      </c>
      <c r="S23" s="14" t="s">
        <v>79</v>
      </c>
      <c r="T23" s="15" t="s">
        <v>78</v>
      </c>
      <c r="U23" s="14" t="s">
        <v>79</v>
      </c>
      <c r="V23" s="15" t="s">
        <v>78</v>
      </c>
      <c r="W23" s="14" t="s">
        <v>82</v>
      </c>
      <c r="X23" s="15" t="s">
        <v>254</v>
      </c>
      <c r="Y23" s="14" t="s">
        <v>94</v>
      </c>
      <c r="Z23" s="15" t="s">
        <v>78</v>
      </c>
      <c r="AA23" s="14" t="s">
        <v>94</v>
      </c>
      <c r="AB23" s="15" t="s">
        <v>78</v>
      </c>
      <c r="AC23" s="14" t="s">
        <v>255</v>
      </c>
      <c r="AD23" s="15" t="s">
        <v>256</v>
      </c>
      <c r="AE23" s="14" t="s">
        <v>79</v>
      </c>
      <c r="AF23" s="15" t="s">
        <v>78</v>
      </c>
      <c r="AG23" s="15" t="s">
        <v>257</v>
      </c>
      <c r="AH23" s="15"/>
      <c r="AI23" s="14" t="n">
        <v>10</v>
      </c>
      <c r="AJ23" s="16" t="s">
        <v>104</v>
      </c>
      <c r="AK23" s="17" t="s">
        <v>154</v>
      </c>
    </row>
    <row r="24" customFormat="false" ht="85.5" hidden="false" customHeight="true" outlineLevel="0" collapsed="false">
      <c r="A24" s="11" t="n">
        <v>22</v>
      </c>
      <c r="B24" s="11" t="str">
        <f aca="false">IF(I24="Y",IF(COUNTIF(I$3:I24,"Y")&lt;=20,"pilot",IF(COUNTIF(I$3:I24,"Y")&lt;=40,"dev",IF(COUNTIF(I$3:I24,"Y")&lt;=120,"test","extra"))),"")</f>
        <v>pilot</v>
      </c>
      <c r="C24" s="11" t="str">
        <f aca="false">IF(I24="Y",IF(COUNTA(K24,Q24,W24,AC24,AE24)=5,"done","in progress"),IF(I24="N","excluded",""))</f>
        <v>done</v>
      </c>
      <c r="D24" s="11" t="s">
        <v>258</v>
      </c>
      <c r="E24" s="12" t="s">
        <v>90</v>
      </c>
      <c r="F24" s="13" t="s">
        <v>259</v>
      </c>
      <c r="G24" s="11" t="s">
        <v>118</v>
      </c>
      <c r="H24" s="11"/>
      <c r="I24" s="14" t="s">
        <v>71</v>
      </c>
      <c r="J24" s="14"/>
      <c r="K24" s="14" t="s">
        <v>77</v>
      </c>
      <c r="L24" s="15" t="s">
        <v>260</v>
      </c>
      <c r="M24" s="14" t="s">
        <v>94</v>
      </c>
      <c r="N24" s="15" t="s">
        <v>261</v>
      </c>
      <c r="O24" s="14" t="s">
        <v>94</v>
      </c>
      <c r="P24" s="15" t="s">
        <v>78</v>
      </c>
      <c r="Q24" s="14" t="s">
        <v>74</v>
      </c>
      <c r="R24" s="15" t="s">
        <v>262</v>
      </c>
      <c r="S24" s="14" t="s">
        <v>79</v>
      </c>
      <c r="T24" s="15" t="s">
        <v>78</v>
      </c>
      <c r="U24" s="14" t="s">
        <v>79</v>
      </c>
      <c r="V24" s="15" t="s">
        <v>78</v>
      </c>
      <c r="W24" s="14" t="s">
        <v>79</v>
      </c>
      <c r="X24" s="15" t="s">
        <v>78</v>
      </c>
      <c r="Y24" s="14" t="s">
        <v>79</v>
      </c>
      <c r="Z24" s="15" t="s">
        <v>78</v>
      </c>
      <c r="AA24" s="14" t="s">
        <v>74</v>
      </c>
      <c r="AB24" s="15" t="s">
        <v>263</v>
      </c>
      <c r="AC24" s="14" t="s">
        <v>79</v>
      </c>
      <c r="AD24" s="15" t="s">
        <v>78</v>
      </c>
      <c r="AE24" s="14" t="s">
        <v>84</v>
      </c>
      <c r="AF24" s="15" t="s">
        <v>264</v>
      </c>
      <c r="AG24" s="15" t="s">
        <v>265</v>
      </c>
      <c r="AH24" s="15"/>
      <c r="AI24" s="14" t="n">
        <v>15</v>
      </c>
      <c r="AJ24" s="16" t="s">
        <v>104</v>
      </c>
      <c r="AK24" s="17" t="s">
        <v>105</v>
      </c>
    </row>
    <row r="25" customFormat="false" ht="42.75" hidden="false" customHeight="true" outlineLevel="0" collapsed="false">
      <c r="A25" s="11" t="n">
        <v>23</v>
      </c>
      <c r="B25" s="11" t="str">
        <f aca="false">IF(I25="Y",IF(COUNTIF(I$3:I25,"Y")&lt;=20,"pilot",IF(COUNTIF(I$3:I25,"Y")&lt;=40,"dev",IF(COUNTIF(I$3:I25,"Y")&lt;=120,"test","extra"))),"")</f>
        <v>pilot</v>
      </c>
      <c r="C25" s="11" t="str">
        <f aca="false">IF(I25="Y",IF(COUNTA(K25,Q25,W25,AC25,AE25)=5,"done","in progress"),IF(I25="N","excluded",""))</f>
        <v>done</v>
      </c>
      <c r="D25" s="11" t="s">
        <v>266</v>
      </c>
      <c r="E25" s="12" t="s">
        <v>90</v>
      </c>
      <c r="F25" s="13" t="s">
        <v>267</v>
      </c>
      <c r="G25" s="11" t="s">
        <v>92</v>
      </c>
      <c r="H25" s="11"/>
      <c r="I25" s="14" t="s">
        <v>71</v>
      </c>
      <c r="J25" s="14"/>
      <c r="K25" s="14" t="s">
        <v>72</v>
      </c>
      <c r="L25" s="15" t="s">
        <v>268</v>
      </c>
      <c r="M25" s="14" t="s">
        <v>94</v>
      </c>
      <c r="N25" s="15" t="s">
        <v>78</v>
      </c>
      <c r="O25" s="14" t="s">
        <v>94</v>
      </c>
      <c r="P25" s="15" t="s">
        <v>78</v>
      </c>
      <c r="Q25" s="14" t="s">
        <v>77</v>
      </c>
      <c r="R25" s="15" t="s">
        <v>78</v>
      </c>
      <c r="S25" s="14" t="s">
        <v>79</v>
      </c>
      <c r="T25" s="15" t="s">
        <v>78</v>
      </c>
      <c r="U25" s="14" t="s">
        <v>79</v>
      </c>
      <c r="V25" s="15" t="s">
        <v>78</v>
      </c>
      <c r="W25" s="14" t="s">
        <v>82</v>
      </c>
      <c r="X25" s="15" t="s">
        <v>269</v>
      </c>
      <c r="Y25" s="14" t="s">
        <v>79</v>
      </c>
      <c r="Z25" s="15" t="s">
        <v>78</v>
      </c>
      <c r="AA25" s="14" t="s">
        <v>74</v>
      </c>
      <c r="AB25" s="15" t="s">
        <v>270</v>
      </c>
      <c r="AC25" s="14" t="s">
        <v>79</v>
      </c>
      <c r="AD25" s="15" t="s">
        <v>78</v>
      </c>
      <c r="AE25" s="14" t="s">
        <v>101</v>
      </c>
      <c r="AF25" s="15" t="s">
        <v>121</v>
      </c>
      <c r="AG25" s="15" t="s">
        <v>271</v>
      </c>
      <c r="AH25" s="15"/>
      <c r="AI25" s="14" t="n">
        <v>15</v>
      </c>
      <c r="AJ25" s="14" t="s">
        <v>87</v>
      </c>
      <c r="AK25" s="17" t="s">
        <v>105</v>
      </c>
    </row>
    <row r="26" customFormat="false" ht="28.5" hidden="false" customHeight="true" outlineLevel="0" collapsed="false">
      <c r="A26" s="11" t="n">
        <v>24</v>
      </c>
      <c r="B26" s="11" t="str">
        <f aca="false">IF(I26="Y",IF(COUNTIF(I$3:I26,"Y")&lt;=20,"pilot",IF(COUNTIF(I$3:I26,"Y")&lt;=40,"dev",IF(COUNTIF(I$3:I26,"Y")&lt;=120,"test","extra"))),"")</f>
        <v/>
      </c>
      <c r="C26" s="11" t="str">
        <f aca="false">IF(I26="Y",IF(COUNTA(K26,Q26,W26,AC26,AE26)=5,"done","in progress"),IF(I26="N","excluded",""))</f>
        <v>excluded</v>
      </c>
      <c r="D26" s="11" t="s">
        <v>272</v>
      </c>
      <c r="E26" s="12" t="s">
        <v>90</v>
      </c>
      <c r="F26" s="13" t="s">
        <v>273</v>
      </c>
      <c r="G26" s="11" t="s">
        <v>274</v>
      </c>
      <c r="H26" s="11"/>
      <c r="I26" s="14" t="s">
        <v>132</v>
      </c>
      <c r="J26" s="14" t="s">
        <v>275</v>
      </c>
      <c r="K26" s="14"/>
      <c r="L26" s="15"/>
      <c r="M26" s="14"/>
      <c r="N26" s="15"/>
      <c r="O26" s="14"/>
      <c r="P26" s="15"/>
      <c r="Q26" s="14"/>
      <c r="R26" s="15"/>
      <c r="S26" s="14"/>
      <c r="T26" s="15"/>
      <c r="U26" s="14"/>
      <c r="V26" s="15"/>
      <c r="W26" s="14"/>
      <c r="X26" s="15"/>
      <c r="Y26" s="14"/>
      <c r="Z26" s="15"/>
      <c r="AA26" s="14"/>
      <c r="AB26" s="15"/>
      <c r="AC26" s="14"/>
      <c r="AD26" s="15"/>
      <c r="AE26" s="14"/>
      <c r="AF26" s="15"/>
      <c r="AG26" s="15" t="s">
        <v>276</v>
      </c>
      <c r="AH26" s="15"/>
      <c r="AI26" s="14" t="n">
        <v>5</v>
      </c>
      <c r="AJ26" s="14" t="s">
        <v>87</v>
      </c>
      <c r="AK26" s="17" t="s">
        <v>105</v>
      </c>
    </row>
    <row r="27" customFormat="false" ht="42.75" hidden="false" customHeight="true" outlineLevel="0" collapsed="false">
      <c r="A27" s="11" t="n">
        <v>25</v>
      </c>
      <c r="B27" s="11" t="str">
        <f aca="false">IF(I27="Y",IF(COUNTIF(I$3:I27,"Y")&lt;=20,"pilot",IF(COUNTIF(I$3:I27,"Y")&lt;=40,"dev",IF(COUNTIF(I$3:I27,"Y")&lt;=120,"test","extra"))),"")</f>
        <v>dev</v>
      </c>
      <c r="C27" s="11" t="str">
        <f aca="false">IF(I27="Y",IF(COUNTA(K27,Q27,W27,AC27,AE27)=5,"done","in progress"),IF(I27="N","excluded",""))</f>
        <v>done</v>
      </c>
      <c r="D27" s="11" t="s">
        <v>277</v>
      </c>
      <c r="E27" s="12" t="s">
        <v>90</v>
      </c>
      <c r="F27" s="13" t="s">
        <v>278</v>
      </c>
      <c r="G27" s="11" t="s">
        <v>118</v>
      </c>
      <c r="H27" s="11"/>
      <c r="I27" s="14" t="s">
        <v>71</v>
      </c>
      <c r="J27" s="14"/>
      <c r="K27" s="14" t="s">
        <v>74</v>
      </c>
      <c r="L27" s="15" t="s">
        <v>279</v>
      </c>
      <c r="M27" s="14" t="s">
        <v>74</v>
      </c>
      <c r="N27" s="15" t="s">
        <v>280</v>
      </c>
      <c r="O27" s="14" t="s">
        <v>94</v>
      </c>
      <c r="P27" s="15" t="s">
        <v>78</v>
      </c>
      <c r="Q27" s="14" t="s">
        <v>74</v>
      </c>
      <c r="R27" s="15" t="s">
        <v>281</v>
      </c>
      <c r="S27" s="14" t="s">
        <v>79</v>
      </c>
      <c r="T27" s="15" t="s">
        <v>78</v>
      </c>
      <c r="U27" s="14" t="s">
        <v>79</v>
      </c>
      <c r="V27" s="15" t="s">
        <v>78</v>
      </c>
      <c r="W27" s="14" t="s">
        <v>82</v>
      </c>
      <c r="X27" s="15" t="s">
        <v>282</v>
      </c>
      <c r="Y27" s="14" t="s">
        <v>82</v>
      </c>
      <c r="Z27" s="15" t="s">
        <v>283</v>
      </c>
      <c r="AA27" s="14" t="s">
        <v>74</v>
      </c>
      <c r="AB27" s="15" t="s">
        <v>284</v>
      </c>
      <c r="AC27" s="14" t="s">
        <v>79</v>
      </c>
      <c r="AD27" s="15" t="s">
        <v>78</v>
      </c>
      <c r="AE27" s="14" t="s">
        <v>101</v>
      </c>
      <c r="AF27" s="15" t="s">
        <v>121</v>
      </c>
      <c r="AG27" s="15" t="s">
        <v>285</v>
      </c>
      <c r="AH27" s="15"/>
      <c r="AI27" s="14" t="n">
        <v>15</v>
      </c>
      <c r="AJ27" s="14" t="s">
        <v>87</v>
      </c>
      <c r="AK27" s="17" t="s">
        <v>105</v>
      </c>
    </row>
    <row r="28" customFormat="false" ht="57" hidden="false" customHeight="true" outlineLevel="0" collapsed="false">
      <c r="A28" s="11" t="n">
        <v>26</v>
      </c>
      <c r="B28" s="11" t="str">
        <f aca="false">IF(I28="Y",IF(COUNTIF(I$3:I28,"Y")&lt;=20,"pilot",IF(COUNTIF(I$3:I28,"Y")&lt;=40,"dev",IF(COUNTIF(I$3:I28,"Y")&lt;=120,"test","extra"))),"")</f>
        <v>dev</v>
      </c>
      <c r="C28" s="11" t="str">
        <f aca="false">IF(I28="Y",IF(COUNTA(K28,Q28,W28,AC28,AE28)=5,"done","in progress"),IF(I28="N","excluded",""))</f>
        <v>done</v>
      </c>
      <c r="D28" s="11" t="s">
        <v>286</v>
      </c>
      <c r="E28" s="12" t="s">
        <v>90</v>
      </c>
      <c r="F28" s="13" t="s">
        <v>287</v>
      </c>
      <c r="G28" s="11" t="s">
        <v>288</v>
      </c>
      <c r="H28" s="11"/>
      <c r="I28" s="14" t="s">
        <v>71</v>
      </c>
      <c r="J28" s="14"/>
      <c r="K28" s="14" t="s">
        <v>74</v>
      </c>
      <c r="L28" s="15" t="s">
        <v>289</v>
      </c>
      <c r="M28" s="14" t="s">
        <v>94</v>
      </c>
      <c r="N28" s="15" t="s">
        <v>78</v>
      </c>
      <c r="O28" s="14" t="s">
        <v>94</v>
      </c>
      <c r="P28" s="15" t="s">
        <v>78</v>
      </c>
      <c r="Q28" s="14" t="s">
        <v>74</v>
      </c>
      <c r="R28" s="15" t="s">
        <v>290</v>
      </c>
      <c r="S28" s="14" t="s">
        <v>79</v>
      </c>
      <c r="T28" s="15" t="s">
        <v>78</v>
      </c>
      <c r="U28" s="14" t="s">
        <v>79</v>
      </c>
      <c r="V28" s="15" t="s">
        <v>78</v>
      </c>
      <c r="W28" s="14" t="s">
        <v>82</v>
      </c>
      <c r="X28" s="15" t="s">
        <v>291</v>
      </c>
      <c r="Y28" s="14" t="s">
        <v>79</v>
      </c>
      <c r="Z28" s="15" t="s">
        <v>78</v>
      </c>
      <c r="AA28" s="14" t="s">
        <v>74</v>
      </c>
      <c r="AB28" s="15" t="s">
        <v>292</v>
      </c>
      <c r="AC28" s="14" t="s">
        <v>79</v>
      </c>
      <c r="AD28" s="15" t="s">
        <v>78</v>
      </c>
      <c r="AE28" s="14" t="s">
        <v>101</v>
      </c>
      <c r="AF28" s="15" t="s">
        <v>293</v>
      </c>
      <c r="AG28" s="15" t="s">
        <v>294</v>
      </c>
      <c r="AH28" s="15"/>
      <c r="AI28" s="14" t="n">
        <v>15</v>
      </c>
      <c r="AJ28" s="14" t="s">
        <v>87</v>
      </c>
      <c r="AK28" s="17" t="s">
        <v>105</v>
      </c>
    </row>
    <row r="29" customFormat="false" ht="57" hidden="false" customHeight="true" outlineLevel="0" collapsed="false">
      <c r="A29" s="11" t="n">
        <v>27</v>
      </c>
      <c r="B29" s="11" t="str">
        <f aca="false">IF(I29="Y",IF(COUNTIF(I$3:I29,"Y")&lt;=20,"pilot",IF(COUNTIF(I$3:I29,"Y")&lt;=40,"dev",IF(COUNTIF(I$3:I29,"Y")&lt;=120,"test","extra"))),"")</f>
        <v>dev</v>
      </c>
      <c r="C29" s="11" t="str">
        <f aca="false">IF(I29="Y",IF(COUNTA(K29,Q29,W29,AC29,AE29)=5,"done","in progress"),IF(I29="N","excluded",""))</f>
        <v>done</v>
      </c>
      <c r="D29" s="11" t="s">
        <v>295</v>
      </c>
      <c r="E29" s="12" t="s">
        <v>90</v>
      </c>
      <c r="F29" s="13" t="s">
        <v>296</v>
      </c>
      <c r="G29" s="11" t="s">
        <v>205</v>
      </c>
      <c r="H29" s="11"/>
      <c r="I29" s="14" t="s">
        <v>71</v>
      </c>
      <c r="J29" s="14"/>
      <c r="K29" s="14" t="s">
        <v>74</v>
      </c>
      <c r="L29" s="15" t="s">
        <v>297</v>
      </c>
      <c r="M29" s="14" t="s">
        <v>77</v>
      </c>
      <c r="N29" s="15" t="s">
        <v>298</v>
      </c>
      <c r="O29" s="14" t="s">
        <v>74</v>
      </c>
      <c r="P29" s="15" t="s">
        <v>299</v>
      </c>
      <c r="Q29" s="14" t="s">
        <v>74</v>
      </c>
      <c r="R29" s="15" t="s">
        <v>297</v>
      </c>
      <c r="S29" s="14" t="s">
        <v>79</v>
      </c>
      <c r="T29" s="15" t="s">
        <v>78</v>
      </c>
      <c r="U29" s="14" t="s">
        <v>79</v>
      </c>
      <c r="V29" s="15" t="s">
        <v>78</v>
      </c>
      <c r="W29" s="14" t="s">
        <v>82</v>
      </c>
      <c r="X29" s="15" t="s">
        <v>300</v>
      </c>
      <c r="Y29" s="14" t="s">
        <v>79</v>
      </c>
      <c r="Z29" s="15" t="s">
        <v>78</v>
      </c>
      <c r="AA29" s="14" t="s">
        <v>74</v>
      </c>
      <c r="AB29" s="15" t="s">
        <v>301</v>
      </c>
      <c r="AC29" s="14" t="s">
        <v>79</v>
      </c>
      <c r="AD29" s="15" t="s">
        <v>78</v>
      </c>
      <c r="AE29" s="14" t="s">
        <v>101</v>
      </c>
      <c r="AF29" s="15" t="s">
        <v>302</v>
      </c>
      <c r="AG29" s="15" t="s">
        <v>303</v>
      </c>
      <c r="AH29" s="15"/>
      <c r="AI29" s="14" t="n">
        <v>15</v>
      </c>
      <c r="AJ29" s="14" t="s">
        <v>87</v>
      </c>
      <c r="AK29" s="17" t="s">
        <v>105</v>
      </c>
    </row>
    <row r="30" customFormat="false" ht="57" hidden="false" customHeight="true" outlineLevel="0" collapsed="false">
      <c r="A30" s="11" t="n">
        <v>28</v>
      </c>
      <c r="B30" s="11" t="str">
        <f aca="false">IF(I30="Y",IF(COUNTIF(I$3:I30,"Y")&lt;=20,"pilot",IF(COUNTIF(I$3:I30,"Y")&lt;=40,"dev",IF(COUNTIF(I$3:I30,"Y")&lt;=120,"test","extra"))),"")</f>
        <v>dev</v>
      </c>
      <c r="C30" s="11" t="str">
        <f aca="false">IF(I30="Y",IF(COUNTA(K30,Q30,W30,AC30,AE30)=5,"done","in progress"),IF(I30="N","excluded",""))</f>
        <v>done</v>
      </c>
      <c r="D30" s="11" t="s">
        <v>304</v>
      </c>
      <c r="E30" s="12" t="s">
        <v>90</v>
      </c>
      <c r="F30" s="13" t="s">
        <v>305</v>
      </c>
      <c r="G30" s="11" t="s">
        <v>306</v>
      </c>
      <c r="H30" s="11"/>
      <c r="I30" s="14" t="s">
        <v>71</v>
      </c>
      <c r="J30" s="14"/>
      <c r="K30" s="14" t="s">
        <v>74</v>
      </c>
      <c r="L30" s="15" t="s">
        <v>307</v>
      </c>
      <c r="M30" s="14" t="s">
        <v>94</v>
      </c>
      <c r="N30" s="15" t="s">
        <v>78</v>
      </c>
      <c r="O30" s="14" t="s">
        <v>94</v>
      </c>
      <c r="P30" s="15" t="s">
        <v>78</v>
      </c>
      <c r="Q30" s="14" t="s">
        <v>74</v>
      </c>
      <c r="R30" s="15" t="s">
        <v>308</v>
      </c>
      <c r="S30" s="14" t="s">
        <v>79</v>
      </c>
      <c r="T30" s="15" t="s">
        <v>78</v>
      </c>
      <c r="U30" s="14" t="s">
        <v>79</v>
      </c>
      <c r="V30" s="15" t="s">
        <v>309</v>
      </c>
      <c r="W30" s="14" t="s">
        <v>82</v>
      </c>
      <c r="X30" s="15" t="s">
        <v>310</v>
      </c>
      <c r="Y30" s="14" t="s">
        <v>94</v>
      </c>
      <c r="Z30" s="15" t="s">
        <v>78</v>
      </c>
      <c r="AA30" s="14" t="s">
        <v>94</v>
      </c>
      <c r="AB30" s="15" t="s">
        <v>78</v>
      </c>
      <c r="AC30" s="14" t="s">
        <v>82</v>
      </c>
      <c r="AD30" s="15" t="s">
        <v>311</v>
      </c>
      <c r="AE30" s="14" t="s">
        <v>101</v>
      </c>
      <c r="AF30" s="15" t="s">
        <v>312</v>
      </c>
      <c r="AG30" s="15" t="s">
        <v>313</v>
      </c>
      <c r="AH30" s="15"/>
      <c r="AI30" s="14" t="n">
        <v>15</v>
      </c>
      <c r="AJ30" s="14" t="s">
        <v>87</v>
      </c>
      <c r="AK30" s="17" t="s">
        <v>105</v>
      </c>
    </row>
    <row r="31" customFormat="false" ht="28.5" hidden="false" customHeight="true" outlineLevel="0" collapsed="false">
      <c r="A31" s="11" t="n">
        <v>29</v>
      </c>
      <c r="B31" s="11" t="str">
        <f aca="false">IF(I31="Y",IF(COUNTIF(I$3:I31,"Y")&lt;=20,"pilot",IF(COUNTIF(I$3:I31,"Y")&lt;=40,"dev",IF(COUNTIF(I$3:I31,"Y")&lt;=120,"test","extra"))),"")</f>
        <v>dev</v>
      </c>
      <c r="C31" s="11" t="str">
        <f aca="false">IF(I31="Y",IF(COUNTA(K31,Q31,W31,AC31,AE31)=5,"done","in progress"),IF(I31="N","excluded",""))</f>
        <v>done</v>
      </c>
      <c r="D31" s="11" t="s">
        <v>314</v>
      </c>
      <c r="E31" s="12" t="s">
        <v>90</v>
      </c>
      <c r="F31" s="13" t="s">
        <v>315</v>
      </c>
      <c r="G31" s="11" t="s">
        <v>193</v>
      </c>
      <c r="H31" s="11"/>
      <c r="I31" s="14" t="s">
        <v>71</v>
      </c>
      <c r="J31" s="14"/>
      <c r="K31" s="14" t="s">
        <v>77</v>
      </c>
      <c r="L31" s="15" t="s">
        <v>78</v>
      </c>
      <c r="M31" s="14" t="s">
        <v>94</v>
      </c>
      <c r="N31" s="15" t="s">
        <v>78</v>
      </c>
      <c r="O31" s="14" t="s">
        <v>74</v>
      </c>
      <c r="P31" s="15" t="s">
        <v>316</v>
      </c>
      <c r="Q31" s="14" t="s">
        <v>77</v>
      </c>
      <c r="R31" s="15" t="s">
        <v>78</v>
      </c>
      <c r="S31" s="14" t="s">
        <v>79</v>
      </c>
      <c r="T31" s="15" t="s">
        <v>78</v>
      </c>
      <c r="U31" s="14" t="s">
        <v>79</v>
      </c>
      <c r="V31" s="15" t="s">
        <v>78</v>
      </c>
      <c r="W31" s="14" t="s">
        <v>79</v>
      </c>
      <c r="X31" s="15" t="s">
        <v>78</v>
      </c>
      <c r="Y31" s="14" t="s">
        <v>79</v>
      </c>
      <c r="Z31" s="15" t="s">
        <v>78</v>
      </c>
      <c r="AA31" s="14" t="s">
        <v>77</v>
      </c>
      <c r="AB31" s="15" t="s">
        <v>317</v>
      </c>
      <c r="AC31" s="14" t="s">
        <v>79</v>
      </c>
      <c r="AD31" s="15" t="s">
        <v>78</v>
      </c>
      <c r="AE31" s="14" t="s">
        <v>84</v>
      </c>
      <c r="AF31" s="15" t="s">
        <v>318</v>
      </c>
      <c r="AG31" s="15" t="s">
        <v>319</v>
      </c>
      <c r="AH31" s="15"/>
      <c r="AI31" s="14" t="n">
        <v>15</v>
      </c>
      <c r="AJ31" s="14" t="s">
        <v>87</v>
      </c>
      <c r="AK31" s="17" t="s">
        <v>105</v>
      </c>
    </row>
    <row r="32" customFormat="false" ht="42.75" hidden="false" customHeight="true" outlineLevel="0" collapsed="false">
      <c r="A32" s="11" t="n">
        <v>30</v>
      </c>
      <c r="B32" s="11" t="str">
        <f aca="false">IF(I32="Y",IF(COUNTIF(I$3:I32,"Y")&lt;=20,"pilot",IF(COUNTIF(I$3:I32,"Y")&lt;=40,"dev",IF(COUNTIF(I$3:I32,"Y")&lt;=120,"test","extra"))),"")</f>
        <v>dev</v>
      </c>
      <c r="C32" s="11" t="str">
        <f aca="false">IF(I32="Y",IF(COUNTA(K32,Q32,W32,AC32,AE32)=5,"done","in progress"),IF(I32="N","excluded",""))</f>
        <v>done</v>
      </c>
      <c r="D32" s="11" t="s">
        <v>320</v>
      </c>
      <c r="E32" s="12" t="s">
        <v>90</v>
      </c>
      <c r="F32" s="13" t="s">
        <v>321</v>
      </c>
      <c r="G32" s="11" t="s">
        <v>322</v>
      </c>
      <c r="H32" s="11"/>
      <c r="I32" s="14" t="s">
        <v>71</v>
      </c>
      <c r="J32" s="14"/>
      <c r="K32" s="14" t="s">
        <v>77</v>
      </c>
      <c r="L32" s="15" t="s">
        <v>78</v>
      </c>
      <c r="M32" s="14" t="s">
        <v>94</v>
      </c>
      <c r="N32" s="15" t="s">
        <v>78</v>
      </c>
      <c r="O32" s="14" t="s">
        <v>94</v>
      </c>
      <c r="P32" s="15" t="s">
        <v>78</v>
      </c>
      <c r="Q32" s="14" t="s">
        <v>77</v>
      </c>
      <c r="R32" s="15" t="s">
        <v>78</v>
      </c>
      <c r="S32" s="14" t="s">
        <v>79</v>
      </c>
      <c r="T32" s="15" t="s">
        <v>78</v>
      </c>
      <c r="U32" s="14" t="s">
        <v>79</v>
      </c>
      <c r="V32" s="15" t="s">
        <v>78</v>
      </c>
      <c r="W32" s="14" t="s">
        <v>82</v>
      </c>
      <c r="X32" s="15" t="s">
        <v>323</v>
      </c>
      <c r="Y32" s="14" t="s">
        <v>79</v>
      </c>
      <c r="Z32" s="15" t="s">
        <v>78</v>
      </c>
      <c r="AA32" s="14" t="s">
        <v>94</v>
      </c>
      <c r="AB32" s="15" t="s">
        <v>78</v>
      </c>
      <c r="AC32" s="14" t="s">
        <v>79</v>
      </c>
      <c r="AD32" s="15" t="s">
        <v>78</v>
      </c>
      <c r="AE32" s="14" t="s">
        <v>84</v>
      </c>
      <c r="AF32" s="15" t="s">
        <v>324</v>
      </c>
      <c r="AG32" s="15" t="s">
        <v>325</v>
      </c>
      <c r="AH32" s="15"/>
      <c r="AI32" s="14" t="n">
        <v>15</v>
      </c>
      <c r="AJ32" s="14" t="s">
        <v>87</v>
      </c>
      <c r="AK32" s="17" t="s">
        <v>105</v>
      </c>
    </row>
    <row r="33" customFormat="false" ht="28.5" hidden="false" customHeight="true" outlineLevel="0" collapsed="false">
      <c r="A33" s="11" t="n">
        <v>31</v>
      </c>
      <c r="B33" s="11" t="str">
        <f aca="false">IF(I33="Y",IF(COUNTIF(I$3:I33,"Y")&lt;=20,"pilot",IF(COUNTIF(I$3:I33,"Y")&lt;=40,"dev",IF(COUNTIF(I$3:I33,"Y")&lt;=120,"test","extra"))),"")</f>
        <v>dev</v>
      </c>
      <c r="C33" s="11" t="str">
        <f aca="false">IF(I33="Y",IF(COUNTA(K33,Q33,W33,AC33,AE33)=5,"done","in progress"),IF(I33="N","excluded",""))</f>
        <v>done</v>
      </c>
      <c r="D33" s="11" t="s">
        <v>326</v>
      </c>
      <c r="E33" s="12" t="s">
        <v>90</v>
      </c>
      <c r="F33" s="13" t="s">
        <v>327</v>
      </c>
      <c r="G33" s="11" t="s">
        <v>328</v>
      </c>
      <c r="H33" s="11"/>
      <c r="I33" s="14" t="s">
        <v>71</v>
      </c>
      <c r="J33" s="14"/>
      <c r="K33" s="14" t="s">
        <v>77</v>
      </c>
      <c r="L33" s="15" t="s">
        <v>78</v>
      </c>
      <c r="M33" s="14" t="s">
        <v>94</v>
      </c>
      <c r="N33" s="15" t="s">
        <v>329</v>
      </c>
      <c r="O33" s="14" t="s">
        <v>77</v>
      </c>
      <c r="P33" s="15" t="s">
        <v>329</v>
      </c>
      <c r="Q33" s="14" t="s">
        <v>77</v>
      </c>
      <c r="R33" s="15" t="s">
        <v>78</v>
      </c>
      <c r="S33" s="14" t="s">
        <v>79</v>
      </c>
      <c r="T33" s="15" t="s">
        <v>78</v>
      </c>
      <c r="U33" s="14" t="s">
        <v>79</v>
      </c>
      <c r="V33" s="15" t="s">
        <v>78</v>
      </c>
      <c r="W33" s="14" t="s">
        <v>82</v>
      </c>
      <c r="X33" s="15" t="s">
        <v>330</v>
      </c>
      <c r="Y33" s="14" t="s">
        <v>79</v>
      </c>
      <c r="Z33" s="15" t="s">
        <v>78</v>
      </c>
      <c r="AA33" s="14" t="s">
        <v>77</v>
      </c>
      <c r="AB33" s="15" t="s">
        <v>78</v>
      </c>
      <c r="AC33" s="14" t="s">
        <v>79</v>
      </c>
      <c r="AD33" s="15" t="s">
        <v>78</v>
      </c>
      <c r="AE33" s="14" t="s">
        <v>84</v>
      </c>
      <c r="AF33" s="15" t="s">
        <v>331</v>
      </c>
      <c r="AG33" s="15" t="s">
        <v>332</v>
      </c>
      <c r="AH33" s="15"/>
      <c r="AI33" s="14" t="n">
        <v>15</v>
      </c>
      <c r="AJ33" s="14" t="s">
        <v>87</v>
      </c>
      <c r="AK33" s="17" t="s">
        <v>105</v>
      </c>
    </row>
    <row r="34" customFormat="false" ht="42.75" hidden="false" customHeight="true" outlineLevel="0" collapsed="false">
      <c r="A34" s="11" t="n">
        <v>32</v>
      </c>
      <c r="B34" s="11" t="str">
        <f aca="false">IF(I34="Y",IF(COUNTIF(I$3:I34,"Y")&lt;=20,"pilot",IF(COUNTIF(I$3:I34,"Y")&lt;=40,"dev",IF(COUNTIF(I$3:I34,"Y")&lt;=120,"test","extra"))),"")</f>
        <v>dev</v>
      </c>
      <c r="C34" s="11" t="str">
        <f aca="false">IF(I34="Y",IF(COUNTA(K34,Q34,W34,AC34,AE34)=5,"done","in progress"),IF(I34="N","excluded",""))</f>
        <v>done</v>
      </c>
      <c r="D34" s="11" t="s">
        <v>333</v>
      </c>
      <c r="E34" s="12" t="s">
        <v>90</v>
      </c>
      <c r="F34" s="13" t="s">
        <v>334</v>
      </c>
      <c r="G34" s="11" t="s">
        <v>193</v>
      </c>
      <c r="H34" s="11"/>
      <c r="I34" s="14" t="s">
        <v>71</v>
      </c>
      <c r="J34" s="14"/>
      <c r="K34" s="14" t="s">
        <v>77</v>
      </c>
      <c r="L34" s="15" t="s">
        <v>78</v>
      </c>
      <c r="M34" s="14" t="s">
        <v>94</v>
      </c>
      <c r="N34" s="15" t="s">
        <v>78</v>
      </c>
      <c r="O34" s="14" t="s">
        <v>94</v>
      </c>
      <c r="P34" s="15" t="s">
        <v>78</v>
      </c>
      <c r="Q34" s="14" t="s">
        <v>77</v>
      </c>
      <c r="R34" s="15" t="s">
        <v>78</v>
      </c>
      <c r="S34" s="14" t="s">
        <v>79</v>
      </c>
      <c r="T34" s="15" t="s">
        <v>78</v>
      </c>
      <c r="U34" s="14" t="s">
        <v>79</v>
      </c>
      <c r="V34" s="15" t="s">
        <v>78</v>
      </c>
      <c r="W34" s="14" t="s">
        <v>79</v>
      </c>
      <c r="X34" s="15" t="s">
        <v>78</v>
      </c>
      <c r="Y34" s="14" t="s">
        <v>79</v>
      </c>
      <c r="Z34" s="15" t="s">
        <v>78</v>
      </c>
      <c r="AA34" s="14" t="s">
        <v>77</v>
      </c>
      <c r="AB34" s="15" t="s">
        <v>78</v>
      </c>
      <c r="AC34" s="14" t="s">
        <v>82</v>
      </c>
      <c r="AD34" s="15" t="s">
        <v>335</v>
      </c>
      <c r="AE34" s="14" t="s">
        <v>79</v>
      </c>
      <c r="AF34" s="15" t="s">
        <v>78</v>
      </c>
      <c r="AG34" s="15" t="s">
        <v>336</v>
      </c>
      <c r="AH34" s="15"/>
      <c r="AI34" s="14" t="n">
        <v>15</v>
      </c>
      <c r="AJ34" s="14" t="s">
        <v>87</v>
      </c>
      <c r="AK34" s="17" t="s">
        <v>154</v>
      </c>
    </row>
    <row r="35" customFormat="false" ht="28.5" hidden="false" customHeight="true" outlineLevel="0" collapsed="false">
      <c r="A35" s="11" t="n">
        <v>33</v>
      </c>
      <c r="B35" s="11" t="str">
        <f aca="false">IF(I35="Y",IF(COUNTIF(I$3:I35,"Y")&lt;=20,"pilot",IF(COUNTIF(I$3:I35,"Y")&lt;=40,"dev",IF(COUNTIF(I$3:I35,"Y")&lt;=120,"test","extra"))),"")</f>
        <v>dev</v>
      </c>
      <c r="C35" s="11" t="str">
        <f aca="false">IF(I35="Y",IF(COUNTA(K35,Q35,W35,AC35,AE35)=5,"done","in progress"),IF(I35="N","excluded",""))</f>
        <v>done</v>
      </c>
      <c r="D35" s="11" t="s">
        <v>337</v>
      </c>
      <c r="E35" s="12" t="s">
        <v>90</v>
      </c>
      <c r="F35" s="13" t="s">
        <v>338</v>
      </c>
      <c r="G35" s="11" t="s">
        <v>339</v>
      </c>
      <c r="H35" s="11"/>
      <c r="I35" s="14" t="s">
        <v>71</v>
      </c>
      <c r="J35" s="14"/>
      <c r="K35" s="14" t="s">
        <v>74</v>
      </c>
      <c r="L35" s="15" t="s">
        <v>340</v>
      </c>
      <c r="M35" s="14" t="s">
        <v>94</v>
      </c>
      <c r="N35" s="15" t="s">
        <v>78</v>
      </c>
      <c r="O35" s="14" t="s">
        <v>74</v>
      </c>
      <c r="P35" s="15" t="s">
        <v>341</v>
      </c>
      <c r="Q35" s="14" t="s">
        <v>74</v>
      </c>
      <c r="R35" s="15" t="s">
        <v>342</v>
      </c>
      <c r="S35" s="14" t="s">
        <v>79</v>
      </c>
      <c r="T35" s="15" t="s">
        <v>78</v>
      </c>
      <c r="U35" s="14" t="s">
        <v>79</v>
      </c>
      <c r="V35" s="15" t="s">
        <v>78</v>
      </c>
      <c r="W35" s="14" t="s">
        <v>82</v>
      </c>
      <c r="X35" s="15" t="s">
        <v>343</v>
      </c>
      <c r="Y35" s="14" t="s">
        <v>79</v>
      </c>
      <c r="Z35" s="15" t="s">
        <v>78</v>
      </c>
      <c r="AA35" s="14" t="s">
        <v>74</v>
      </c>
      <c r="AB35" s="15" t="s">
        <v>342</v>
      </c>
      <c r="AC35" s="14" t="s">
        <v>79</v>
      </c>
      <c r="AD35" s="15" t="s">
        <v>78</v>
      </c>
      <c r="AE35" s="14" t="s">
        <v>84</v>
      </c>
      <c r="AF35" s="15" t="s">
        <v>344</v>
      </c>
      <c r="AG35" s="15" t="s">
        <v>345</v>
      </c>
      <c r="AH35" s="15"/>
      <c r="AI35" s="14" t="n">
        <v>15</v>
      </c>
      <c r="AJ35" s="14" t="s">
        <v>87</v>
      </c>
      <c r="AK35" s="17" t="s">
        <v>154</v>
      </c>
    </row>
    <row r="36" customFormat="false" ht="42.75" hidden="false" customHeight="true" outlineLevel="0" collapsed="false">
      <c r="A36" s="11" t="n">
        <v>34</v>
      </c>
      <c r="B36" s="11" t="str">
        <f aca="false">IF(I36="Y",IF(COUNTIF(I$3:I36,"Y")&lt;=20,"pilot",IF(COUNTIF(I$3:I36,"Y")&lt;=40,"dev",IF(COUNTIF(I$3:I36,"Y")&lt;=120,"test","extra"))),"")</f>
        <v>dev</v>
      </c>
      <c r="C36" s="11" t="str">
        <f aca="false">IF(I36="Y",IF(COUNTA(K36,Q36,W36,AC36,AE36)=5,"done","in progress"),IF(I36="N","excluded",""))</f>
        <v>done</v>
      </c>
      <c r="D36" s="11" t="s">
        <v>346</v>
      </c>
      <c r="E36" s="12" t="s">
        <v>90</v>
      </c>
      <c r="F36" s="13" t="s">
        <v>347</v>
      </c>
      <c r="G36" s="11" t="s">
        <v>145</v>
      </c>
      <c r="H36" s="11"/>
      <c r="I36" s="14" t="s">
        <v>71</v>
      </c>
      <c r="J36" s="14"/>
      <c r="K36" s="14" t="s">
        <v>77</v>
      </c>
      <c r="L36" s="15" t="s">
        <v>348</v>
      </c>
      <c r="M36" s="14" t="s">
        <v>94</v>
      </c>
      <c r="N36" s="15" t="s">
        <v>349</v>
      </c>
      <c r="O36" s="14" t="s">
        <v>74</v>
      </c>
      <c r="P36" s="15" t="s">
        <v>350</v>
      </c>
      <c r="Q36" s="14" t="s">
        <v>74</v>
      </c>
      <c r="R36" s="15" t="s">
        <v>351</v>
      </c>
      <c r="S36" s="14" t="s">
        <v>79</v>
      </c>
      <c r="T36" s="15" t="s">
        <v>78</v>
      </c>
      <c r="U36" s="14" t="s">
        <v>79</v>
      </c>
      <c r="V36" s="15" t="s">
        <v>78</v>
      </c>
      <c r="W36" s="14" t="s">
        <v>82</v>
      </c>
      <c r="X36" s="15" t="s">
        <v>352</v>
      </c>
      <c r="Y36" s="14" t="s">
        <v>79</v>
      </c>
      <c r="Z36" s="15" t="s">
        <v>78</v>
      </c>
      <c r="AA36" s="14" t="s">
        <v>74</v>
      </c>
      <c r="AB36" s="15" t="s">
        <v>353</v>
      </c>
      <c r="AC36" s="14" t="s">
        <v>79</v>
      </c>
      <c r="AD36" s="15" t="s">
        <v>78</v>
      </c>
      <c r="AE36" s="14" t="s">
        <v>101</v>
      </c>
      <c r="AF36" s="15" t="s">
        <v>354</v>
      </c>
      <c r="AG36" s="15" t="s">
        <v>355</v>
      </c>
      <c r="AH36" s="15"/>
      <c r="AI36" s="14" t="n">
        <v>15</v>
      </c>
      <c r="AJ36" s="14" t="s">
        <v>87</v>
      </c>
      <c r="AK36" s="17" t="s">
        <v>105</v>
      </c>
    </row>
    <row r="37" customFormat="false" ht="42.75" hidden="false" customHeight="true" outlineLevel="0" collapsed="false">
      <c r="A37" s="11" t="n">
        <v>35</v>
      </c>
      <c r="B37" s="11" t="str">
        <f aca="false">IF(I37="Y",IF(COUNTIF(I$3:I37,"Y")&lt;=20,"pilot",IF(COUNTIF(I$3:I37,"Y")&lt;=40,"dev",IF(COUNTIF(I$3:I37,"Y")&lt;=120,"test","extra"))),"")</f>
        <v>dev</v>
      </c>
      <c r="C37" s="11" t="str">
        <f aca="false">IF(I37="Y",IF(COUNTA(K37,Q37,W37,AC37,AE37)=5,"done","in progress"),IF(I37="N","excluded",""))</f>
        <v>done</v>
      </c>
      <c r="D37" s="11" t="s">
        <v>356</v>
      </c>
      <c r="E37" s="12" t="s">
        <v>90</v>
      </c>
      <c r="F37" s="13" t="s">
        <v>357</v>
      </c>
      <c r="G37" s="11" t="s">
        <v>118</v>
      </c>
      <c r="H37" s="11"/>
      <c r="I37" s="14" t="s">
        <v>71</v>
      </c>
      <c r="J37" s="14"/>
      <c r="K37" s="14" t="s">
        <v>77</v>
      </c>
      <c r="L37" s="15" t="s">
        <v>78</v>
      </c>
      <c r="M37" s="14" t="s">
        <v>77</v>
      </c>
      <c r="N37" s="15" t="s">
        <v>78</v>
      </c>
      <c r="O37" s="14" t="s">
        <v>77</v>
      </c>
      <c r="P37" s="15" t="s">
        <v>78</v>
      </c>
      <c r="Q37" s="14" t="s">
        <v>77</v>
      </c>
      <c r="R37" s="15" t="s">
        <v>78</v>
      </c>
      <c r="S37" s="14" t="s">
        <v>79</v>
      </c>
      <c r="T37" s="15" t="s">
        <v>78</v>
      </c>
      <c r="U37" s="14" t="s">
        <v>79</v>
      </c>
      <c r="V37" s="15" t="s">
        <v>78</v>
      </c>
      <c r="W37" s="14" t="s">
        <v>79</v>
      </c>
      <c r="X37" s="15" t="s">
        <v>78</v>
      </c>
      <c r="Y37" s="14" t="s">
        <v>79</v>
      </c>
      <c r="Z37" s="15" t="s">
        <v>78</v>
      </c>
      <c r="AA37" s="14" t="s">
        <v>72</v>
      </c>
      <c r="AB37" s="15" t="s">
        <v>358</v>
      </c>
      <c r="AC37" s="14" t="s">
        <v>79</v>
      </c>
      <c r="AD37" s="15" t="s">
        <v>78</v>
      </c>
      <c r="AE37" s="14" t="s">
        <v>101</v>
      </c>
      <c r="AF37" s="15" t="s">
        <v>359</v>
      </c>
      <c r="AG37" s="15" t="s">
        <v>360</v>
      </c>
      <c r="AH37" s="15"/>
      <c r="AI37" s="14" t="n">
        <v>15</v>
      </c>
      <c r="AJ37" s="14" t="s">
        <v>87</v>
      </c>
      <c r="AK37" s="17" t="s">
        <v>105</v>
      </c>
    </row>
    <row r="38" customFormat="false" ht="42.75" hidden="false" customHeight="true" outlineLevel="0" collapsed="false">
      <c r="A38" s="11" t="n">
        <v>36</v>
      </c>
      <c r="B38" s="11" t="str">
        <f aca="false">IF(I38="Y",IF(COUNTIF(I$3:I38,"Y")&lt;=20,"pilot",IF(COUNTIF(I$3:I38,"Y")&lt;=40,"dev",IF(COUNTIF(I$3:I38,"Y")&lt;=120,"test","extra"))),"")</f>
        <v/>
      </c>
      <c r="C38" s="11" t="str">
        <f aca="false">IF(I38="Y",IF(COUNTA(K38,Q38,W38,AC38,AE38)=5,"done","in progress"),IF(I38="N","excluded",""))</f>
        <v>excluded</v>
      </c>
      <c r="D38" s="11" t="s">
        <v>361</v>
      </c>
      <c r="E38" s="12" t="s">
        <v>90</v>
      </c>
      <c r="F38" s="13" t="s">
        <v>362</v>
      </c>
      <c r="G38" s="11" t="s">
        <v>168</v>
      </c>
      <c r="H38" s="11"/>
      <c r="I38" s="14" t="s">
        <v>132</v>
      </c>
      <c r="J38" s="14" t="s">
        <v>363</v>
      </c>
      <c r="K38" s="14"/>
      <c r="L38" s="15"/>
      <c r="M38" s="14"/>
      <c r="N38" s="15"/>
      <c r="O38" s="14"/>
      <c r="P38" s="15"/>
      <c r="Q38" s="14"/>
      <c r="R38" s="15"/>
      <c r="S38" s="14"/>
      <c r="T38" s="15"/>
      <c r="U38" s="14"/>
      <c r="V38" s="15"/>
      <c r="W38" s="14"/>
      <c r="X38" s="15"/>
      <c r="Y38" s="14"/>
      <c r="Z38" s="15"/>
      <c r="AA38" s="14"/>
      <c r="AB38" s="15"/>
      <c r="AC38" s="14"/>
      <c r="AD38" s="15"/>
      <c r="AE38" s="14"/>
      <c r="AF38" s="15"/>
      <c r="AG38" s="15" t="s">
        <v>276</v>
      </c>
      <c r="AH38" s="15"/>
      <c r="AI38" s="14" t="n">
        <v>5</v>
      </c>
      <c r="AJ38" s="14" t="s">
        <v>87</v>
      </c>
      <c r="AK38" s="17" t="s">
        <v>105</v>
      </c>
    </row>
    <row r="39" customFormat="false" ht="42.75" hidden="false" customHeight="true" outlineLevel="0" collapsed="false">
      <c r="A39" s="11" t="n">
        <v>37</v>
      </c>
      <c r="B39" s="11" t="str">
        <f aca="false">IF(I39="Y",IF(COUNTIF(I$3:I39,"Y")&lt;=20,"pilot",IF(COUNTIF(I$3:I39,"Y")&lt;=40,"dev",IF(COUNTIF(I$3:I39,"Y")&lt;=120,"test","extra"))),"")</f>
        <v/>
      </c>
      <c r="C39" s="11" t="str">
        <f aca="false">IF(I39="Y",IF(COUNTA(K39,Q39,W39,AC39,AE39)=5,"done","in progress"),IF(I39="N","excluded",""))</f>
        <v>excluded</v>
      </c>
      <c r="D39" s="11" t="s">
        <v>364</v>
      </c>
      <c r="E39" s="12" t="s">
        <v>90</v>
      </c>
      <c r="F39" s="13" t="s">
        <v>365</v>
      </c>
      <c r="G39" s="11" t="s">
        <v>193</v>
      </c>
      <c r="H39" s="11" t="s">
        <v>366</v>
      </c>
      <c r="I39" s="14" t="s">
        <v>132</v>
      </c>
      <c r="J39" s="14" t="s">
        <v>367</v>
      </c>
      <c r="K39" s="14"/>
      <c r="L39" s="15"/>
      <c r="M39" s="14"/>
      <c r="N39" s="15"/>
      <c r="O39" s="14"/>
      <c r="P39" s="15"/>
      <c r="Q39" s="14"/>
      <c r="R39" s="15"/>
      <c r="S39" s="14"/>
      <c r="T39" s="15"/>
      <c r="U39" s="14"/>
      <c r="V39" s="15"/>
      <c r="W39" s="14"/>
      <c r="X39" s="15"/>
      <c r="Y39" s="14"/>
      <c r="Z39" s="15"/>
      <c r="AA39" s="14"/>
      <c r="AB39" s="15"/>
      <c r="AC39" s="14"/>
      <c r="AD39" s="15"/>
      <c r="AE39" s="14"/>
      <c r="AF39" s="15"/>
      <c r="AG39" s="15" t="s">
        <v>276</v>
      </c>
      <c r="AH39" s="15"/>
      <c r="AI39" s="14" t="n">
        <v>5</v>
      </c>
      <c r="AJ39" s="14" t="s">
        <v>87</v>
      </c>
      <c r="AK39" s="17" t="s">
        <v>105</v>
      </c>
    </row>
    <row r="40" customFormat="false" ht="42.75" hidden="false" customHeight="true" outlineLevel="0" collapsed="false">
      <c r="A40" s="11" t="n">
        <v>38</v>
      </c>
      <c r="B40" s="11" t="str">
        <f aca="false">IF(I40="Y",IF(COUNTIF(I$3:I40,"Y")&lt;=20,"pilot",IF(COUNTIF(I$3:I40,"Y")&lt;=40,"dev",IF(COUNTIF(I$3:I40,"Y")&lt;=120,"test","extra"))),"")</f>
        <v/>
      </c>
      <c r="C40" s="11" t="str">
        <f aca="false">IF(I40="Y",IF(COUNTA(K40,Q40,W40,AC40,AE40)=5,"done","in progress"),IF(I40="N","excluded",""))</f>
        <v>excluded</v>
      </c>
      <c r="D40" s="11" t="s">
        <v>368</v>
      </c>
      <c r="E40" s="12" t="s">
        <v>90</v>
      </c>
      <c r="F40" s="13" t="s">
        <v>369</v>
      </c>
      <c r="G40" s="11" t="s">
        <v>370</v>
      </c>
      <c r="H40" s="11" t="s">
        <v>366</v>
      </c>
      <c r="I40" s="14" t="s">
        <v>132</v>
      </c>
      <c r="J40" s="14" t="s">
        <v>371</v>
      </c>
      <c r="K40" s="14"/>
      <c r="L40" s="15"/>
      <c r="M40" s="14"/>
      <c r="N40" s="15"/>
      <c r="O40" s="14"/>
      <c r="P40" s="15"/>
      <c r="Q40" s="14"/>
      <c r="R40" s="15"/>
      <c r="S40" s="14"/>
      <c r="T40" s="15"/>
      <c r="U40" s="14"/>
      <c r="V40" s="15"/>
      <c r="W40" s="14"/>
      <c r="X40" s="15"/>
      <c r="Y40" s="14"/>
      <c r="Z40" s="15"/>
      <c r="AA40" s="14"/>
      <c r="AB40" s="15"/>
      <c r="AC40" s="14"/>
      <c r="AD40" s="15"/>
      <c r="AE40" s="14"/>
      <c r="AF40" s="15"/>
      <c r="AG40" s="15" t="s">
        <v>276</v>
      </c>
      <c r="AH40" s="15"/>
      <c r="AI40" s="14" t="n">
        <v>5</v>
      </c>
      <c r="AJ40" s="14" t="s">
        <v>87</v>
      </c>
      <c r="AK40" s="17" t="s">
        <v>105</v>
      </c>
    </row>
    <row r="41" customFormat="false" ht="42.75" hidden="false" customHeight="true" outlineLevel="0" collapsed="false">
      <c r="A41" s="11" t="n">
        <v>39</v>
      </c>
      <c r="B41" s="11" t="str">
        <f aca="false">IF(I41="Y",IF(COUNTIF(I$3:I41,"Y")&lt;=20,"pilot",IF(COUNTIF(I$3:I41,"Y")&lt;=40,"dev",IF(COUNTIF(I$3:I41,"Y")&lt;=120,"test","extra"))),"")</f>
        <v>dev</v>
      </c>
      <c r="C41" s="11" t="str">
        <f aca="false">IF(I41="Y",IF(COUNTA(K41,Q41,W41,AC41,AE41)=5,"done","in progress"),IF(I41="N","excluded",""))</f>
        <v>done</v>
      </c>
      <c r="D41" s="11" t="s">
        <v>372</v>
      </c>
      <c r="E41" s="12" t="s">
        <v>90</v>
      </c>
      <c r="F41" s="13" t="s">
        <v>373</v>
      </c>
      <c r="G41" s="11" t="s">
        <v>125</v>
      </c>
      <c r="H41" s="11"/>
      <c r="I41" s="14" t="s">
        <v>71</v>
      </c>
      <c r="J41" s="14"/>
      <c r="K41" s="14" t="s">
        <v>77</v>
      </c>
      <c r="L41" s="15" t="s">
        <v>78</v>
      </c>
      <c r="M41" s="14" t="s">
        <v>77</v>
      </c>
      <c r="N41" s="15" t="s">
        <v>374</v>
      </c>
      <c r="O41" s="14" t="s">
        <v>77</v>
      </c>
      <c r="P41" s="15" t="s">
        <v>375</v>
      </c>
      <c r="Q41" s="14" t="s">
        <v>77</v>
      </c>
      <c r="R41" s="15" t="s">
        <v>376</v>
      </c>
      <c r="S41" s="14" t="s">
        <v>79</v>
      </c>
      <c r="T41" s="15" t="s">
        <v>78</v>
      </c>
      <c r="U41" s="14" t="s">
        <v>79</v>
      </c>
      <c r="V41" s="15" t="s">
        <v>78</v>
      </c>
      <c r="W41" s="14" t="s">
        <v>79</v>
      </c>
      <c r="X41" s="15" t="s">
        <v>78</v>
      </c>
      <c r="Y41" s="14" t="s">
        <v>82</v>
      </c>
      <c r="Z41" s="15" t="s">
        <v>377</v>
      </c>
      <c r="AA41" s="14" t="s">
        <v>74</v>
      </c>
      <c r="AB41" s="15" t="s">
        <v>378</v>
      </c>
      <c r="AC41" s="14" t="s">
        <v>79</v>
      </c>
      <c r="AD41" s="15" t="s">
        <v>78</v>
      </c>
      <c r="AE41" s="14" t="s">
        <v>84</v>
      </c>
      <c r="AF41" s="15" t="s">
        <v>378</v>
      </c>
      <c r="AG41" s="15" t="s">
        <v>379</v>
      </c>
      <c r="AH41" s="15"/>
      <c r="AI41" s="14" t="n">
        <v>15</v>
      </c>
      <c r="AJ41" s="14" t="s">
        <v>87</v>
      </c>
      <c r="AK41" s="17" t="s">
        <v>105</v>
      </c>
    </row>
    <row r="42" customFormat="false" ht="42.75" hidden="false" customHeight="true" outlineLevel="0" collapsed="false">
      <c r="A42" s="11" t="n">
        <v>40</v>
      </c>
      <c r="B42" s="11" t="str">
        <f aca="false">IF(I42="Y",IF(COUNTIF(I$3:I42,"Y")&lt;=20,"pilot",IF(COUNTIF(I$3:I42,"Y")&lt;=40,"dev",IF(COUNTIF(I$3:I42,"Y")&lt;=120,"test","extra"))),"")</f>
        <v>dev</v>
      </c>
      <c r="C42" s="11" t="str">
        <f aca="false">IF(I42="Y",IF(COUNTA(K42,Q42,W42,AC42,AE42)=5,"done","in progress"),IF(I42="N","excluded",""))</f>
        <v>done</v>
      </c>
      <c r="D42" s="11" t="s">
        <v>380</v>
      </c>
      <c r="E42" s="12" t="s">
        <v>90</v>
      </c>
      <c r="F42" s="13" t="s">
        <v>381</v>
      </c>
      <c r="G42" s="11" t="s">
        <v>382</v>
      </c>
      <c r="H42" s="11"/>
      <c r="I42" s="14" t="s">
        <v>71</v>
      </c>
      <c r="J42" s="14"/>
      <c r="K42" s="14" t="s">
        <v>77</v>
      </c>
      <c r="L42" s="15" t="s">
        <v>78</v>
      </c>
      <c r="M42" s="14" t="s">
        <v>94</v>
      </c>
      <c r="N42" s="15" t="s">
        <v>78</v>
      </c>
      <c r="O42" s="14" t="s">
        <v>77</v>
      </c>
      <c r="P42" s="15" t="s">
        <v>383</v>
      </c>
      <c r="Q42" s="14" t="s">
        <v>77</v>
      </c>
      <c r="R42" s="15" t="s">
        <v>78</v>
      </c>
      <c r="S42" s="14" t="s">
        <v>79</v>
      </c>
      <c r="T42" s="15" t="s">
        <v>78</v>
      </c>
      <c r="U42" s="14" t="s">
        <v>82</v>
      </c>
      <c r="V42" s="15" t="s">
        <v>383</v>
      </c>
      <c r="W42" s="14" t="s">
        <v>79</v>
      </c>
      <c r="X42" s="15" t="s">
        <v>78</v>
      </c>
      <c r="Y42" s="14" t="s">
        <v>94</v>
      </c>
      <c r="Z42" s="15" t="s">
        <v>78</v>
      </c>
      <c r="AA42" s="14" t="s">
        <v>94</v>
      </c>
      <c r="AB42" s="15" t="s">
        <v>78</v>
      </c>
      <c r="AC42" s="14" t="s">
        <v>79</v>
      </c>
      <c r="AD42" s="15" t="s">
        <v>78</v>
      </c>
      <c r="AE42" s="14" t="s">
        <v>79</v>
      </c>
      <c r="AF42" s="15" t="s">
        <v>78</v>
      </c>
      <c r="AG42" s="15" t="s">
        <v>384</v>
      </c>
      <c r="AH42" s="15"/>
      <c r="AI42" s="14" t="n">
        <v>15</v>
      </c>
      <c r="AJ42" s="14" t="s">
        <v>87</v>
      </c>
      <c r="AK42" s="17" t="s">
        <v>105</v>
      </c>
    </row>
    <row r="43" customFormat="false" ht="42.75" hidden="false" customHeight="true" outlineLevel="0" collapsed="false">
      <c r="A43" s="11" t="n">
        <v>41</v>
      </c>
      <c r="B43" s="11" t="str">
        <f aca="false">IF(I43="Y",IF(COUNTIF(I$3:I43,"Y")&lt;=20,"pilot",IF(COUNTIF(I$3:I43,"Y")&lt;=40,"dev",IF(COUNTIF(I$3:I43,"Y")&lt;=120,"test","extra"))),"")</f>
        <v>dev</v>
      </c>
      <c r="C43" s="11" t="str">
        <f aca="false">IF(I43="Y",IF(COUNTA(K43,Q43,W43,AC43,AE43)=5,"done","in progress"),IF(I43="N","excluded",""))</f>
        <v>done</v>
      </c>
      <c r="D43" s="11" t="s">
        <v>385</v>
      </c>
      <c r="E43" s="12" t="s">
        <v>90</v>
      </c>
      <c r="F43" s="13" t="s">
        <v>386</v>
      </c>
      <c r="G43" s="11" t="s">
        <v>92</v>
      </c>
      <c r="H43" s="11"/>
      <c r="I43" s="14" t="s">
        <v>71</v>
      </c>
      <c r="J43" s="14"/>
      <c r="K43" s="14" t="s">
        <v>77</v>
      </c>
      <c r="L43" s="15" t="s">
        <v>78</v>
      </c>
      <c r="M43" s="14" t="s">
        <v>94</v>
      </c>
      <c r="N43" s="15" t="s">
        <v>78</v>
      </c>
      <c r="O43" s="14" t="s">
        <v>74</v>
      </c>
      <c r="P43" s="15" t="s">
        <v>387</v>
      </c>
      <c r="Q43" s="14" t="s">
        <v>77</v>
      </c>
      <c r="R43" s="15" t="s">
        <v>78</v>
      </c>
      <c r="S43" s="14" t="s">
        <v>82</v>
      </c>
      <c r="T43" s="15" t="s">
        <v>388</v>
      </c>
      <c r="U43" s="14" t="s">
        <v>79</v>
      </c>
      <c r="V43" s="15" t="s">
        <v>78</v>
      </c>
      <c r="W43" s="14" t="s">
        <v>79</v>
      </c>
      <c r="X43" s="15" t="s">
        <v>78</v>
      </c>
      <c r="Y43" s="14" t="s">
        <v>79</v>
      </c>
      <c r="Z43" s="15" t="s">
        <v>78</v>
      </c>
      <c r="AA43" s="14" t="s">
        <v>94</v>
      </c>
      <c r="AB43" s="15" t="s">
        <v>78</v>
      </c>
      <c r="AC43" s="14" t="s">
        <v>79</v>
      </c>
      <c r="AD43" s="15" t="s">
        <v>78</v>
      </c>
      <c r="AE43" s="14" t="s">
        <v>101</v>
      </c>
      <c r="AF43" s="15" t="s">
        <v>389</v>
      </c>
      <c r="AG43" s="15" t="s">
        <v>390</v>
      </c>
      <c r="AH43" s="15"/>
      <c r="AI43" s="14" t="n">
        <v>15</v>
      </c>
      <c r="AJ43" s="14" t="s">
        <v>87</v>
      </c>
      <c r="AK43" s="17" t="s">
        <v>154</v>
      </c>
    </row>
    <row r="44" customFormat="false" ht="28.5" hidden="false" customHeight="true" outlineLevel="0" collapsed="false">
      <c r="A44" s="11" t="n">
        <v>42</v>
      </c>
      <c r="B44" s="11" t="str">
        <f aca="false">IF(I44="Y",IF(COUNTIF(I$3:I44,"Y")&lt;=20,"pilot",IF(COUNTIF(I$3:I44,"Y")&lt;=40,"dev",IF(COUNTIF(I$3:I44,"Y")&lt;=120,"test","extra"))),"")</f>
        <v>dev</v>
      </c>
      <c r="C44" s="11" t="str">
        <f aca="false">IF(I44="Y",IF(COUNTA(K44,Q44,W44,AC44,AE44)=5,"done","in progress"),IF(I44="N","excluded",""))</f>
        <v>done</v>
      </c>
      <c r="D44" s="11" t="s">
        <v>391</v>
      </c>
      <c r="E44" s="12" t="s">
        <v>90</v>
      </c>
      <c r="F44" s="13" t="s">
        <v>392</v>
      </c>
      <c r="G44" s="11" t="s">
        <v>393</v>
      </c>
      <c r="H44" s="11"/>
      <c r="I44" s="14" t="s">
        <v>71</v>
      </c>
      <c r="J44" s="14"/>
      <c r="K44" s="14" t="s">
        <v>77</v>
      </c>
      <c r="L44" s="15" t="s">
        <v>78</v>
      </c>
      <c r="M44" s="14" t="s">
        <v>94</v>
      </c>
      <c r="N44" s="15" t="s">
        <v>78</v>
      </c>
      <c r="O44" s="14" t="s">
        <v>77</v>
      </c>
      <c r="P44" s="15" t="s">
        <v>394</v>
      </c>
      <c r="Q44" s="14" t="s">
        <v>77</v>
      </c>
      <c r="R44" s="15" t="s">
        <v>395</v>
      </c>
      <c r="S44" s="14" t="s">
        <v>79</v>
      </c>
      <c r="T44" s="15" t="s">
        <v>78</v>
      </c>
      <c r="U44" s="14" t="s">
        <v>79</v>
      </c>
      <c r="V44" s="15" t="s">
        <v>78</v>
      </c>
      <c r="W44" s="14" t="s">
        <v>79</v>
      </c>
      <c r="X44" s="15" t="s">
        <v>78</v>
      </c>
      <c r="Y44" s="14" t="s">
        <v>79</v>
      </c>
      <c r="Z44" s="15" t="s">
        <v>78</v>
      </c>
      <c r="AA44" s="14" t="s">
        <v>74</v>
      </c>
      <c r="AB44" s="15" t="s">
        <v>396</v>
      </c>
      <c r="AC44" s="14" t="s">
        <v>82</v>
      </c>
      <c r="AD44" s="15" t="s">
        <v>397</v>
      </c>
      <c r="AE44" s="14" t="s">
        <v>101</v>
      </c>
      <c r="AF44" s="15" t="s">
        <v>398</v>
      </c>
      <c r="AG44" s="15" t="s">
        <v>399</v>
      </c>
      <c r="AH44" s="15"/>
      <c r="AI44" s="14" t="n">
        <v>15</v>
      </c>
      <c r="AJ44" s="14" t="s">
        <v>87</v>
      </c>
      <c r="AK44" s="17" t="s">
        <v>105</v>
      </c>
    </row>
    <row r="45" customFormat="false" ht="42.75" hidden="false" customHeight="true" outlineLevel="0" collapsed="false">
      <c r="A45" s="11" t="n">
        <v>43</v>
      </c>
      <c r="B45" s="11" t="str">
        <f aca="false">IF(I45="Y",IF(COUNTIF(I$3:I45,"Y")&lt;=20,"pilot",IF(COUNTIF(I$3:I45,"Y")&lt;=40,"dev",IF(COUNTIF(I$3:I45,"Y")&lt;=120,"test","extra"))),"")</f>
        <v>dev</v>
      </c>
      <c r="C45" s="11" t="str">
        <f aca="false">IF(I45="Y",IF(COUNTA(K45,Q45,W45,AC45,AE45)=5,"done","in progress"),IF(I45="N","excluded",""))</f>
        <v>done</v>
      </c>
      <c r="D45" s="11" t="s">
        <v>400</v>
      </c>
      <c r="E45" s="12" t="s">
        <v>90</v>
      </c>
      <c r="F45" s="13" t="s">
        <v>401</v>
      </c>
      <c r="G45" s="11" t="s">
        <v>402</v>
      </c>
      <c r="H45" s="11"/>
      <c r="I45" s="14" t="s">
        <v>71</v>
      </c>
      <c r="J45" s="14"/>
      <c r="K45" s="14" t="s">
        <v>74</v>
      </c>
      <c r="L45" s="15" t="s">
        <v>403</v>
      </c>
      <c r="M45" s="14" t="s">
        <v>77</v>
      </c>
      <c r="N45" s="15" t="s">
        <v>78</v>
      </c>
      <c r="O45" s="14" t="s">
        <v>77</v>
      </c>
      <c r="P45" s="15" t="s">
        <v>404</v>
      </c>
      <c r="Q45" s="14" t="s">
        <v>74</v>
      </c>
      <c r="R45" s="15" t="s">
        <v>403</v>
      </c>
      <c r="S45" s="14" t="s">
        <v>79</v>
      </c>
      <c r="T45" s="15" t="s">
        <v>78</v>
      </c>
      <c r="U45" s="14" t="s">
        <v>79</v>
      </c>
      <c r="V45" s="15" t="s">
        <v>78</v>
      </c>
      <c r="W45" s="14" t="s">
        <v>82</v>
      </c>
      <c r="X45" s="15" t="s">
        <v>405</v>
      </c>
      <c r="Y45" s="14" t="s">
        <v>79</v>
      </c>
      <c r="Z45" s="15" t="s">
        <v>78</v>
      </c>
      <c r="AA45" s="14" t="s">
        <v>94</v>
      </c>
      <c r="AB45" s="15" t="s">
        <v>78</v>
      </c>
      <c r="AC45" s="14" t="s">
        <v>79</v>
      </c>
      <c r="AD45" s="15" t="s">
        <v>78</v>
      </c>
      <c r="AE45" s="14" t="s">
        <v>101</v>
      </c>
      <c r="AF45" s="15" t="s">
        <v>406</v>
      </c>
      <c r="AG45" s="15" t="s">
        <v>407</v>
      </c>
      <c r="AH45" s="15"/>
      <c r="AI45" s="14" t="n">
        <v>15</v>
      </c>
      <c r="AJ45" s="14" t="s">
        <v>87</v>
      </c>
      <c r="AK45" s="17" t="s">
        <v>154</v>
      </c>
    </row>
    <row r="46" customFormat="false" ht="28.5" hidden="false" customHeight="true" outlineLevel="0" collapsed="false">
      <c r="A46" s="11" t="n">
        <v>44</v>
      </c>
      <c r="B46" s="11" t="str">
        <f aca="false">IF(I46="Y",IF(COUNTIF(I$3:I46,"Y")&lt;=20,"pilot",IF(COUNTIF(I$3:I46,"Y")&lt;=40,"dev",IF(COUNTIF(I$3:I46,"Y")&lt;=120,"test","extra"))),"")</f>
        <v>dev</v>
      </c>
      <c r="C46" s="11" t="str">
        <f aca="false">IF(I46="Y",IF(COUNTA(K46,Q46,W46,AC46,AE46)=5,"done","in progress"),IF(I46="N","excluded",""))</f>
        <v>done</v>
      </c>
      <c r="D46" s="11" t="s">
        <v>408</v>
      </c>
      <c r="E46" s="12" t="s">
        <v>90</v>
      </c>
      <c r="F46" s="13" t="s">
        <v>409</v>
      </c>
      <c r="G46" s="11" t="s">
        <v>410</v>
      </c>
      <c r="H46" s="11"/>
      <c r="I46" s="14" t="s">
        <v>71</v>
      </c>
      <c r="J46" s="14"/>
      <c r="K46" s="14" t="s">
        <v>77</v>
      </c>
      <c r="L46" s="15" t="s">
        <v>78</v>
      </c>
      <c r="M46" s="14" t="s">
        <v>94</v>
      </c>
      <c r="N46" s="15" t="s">
        <v>411</v>
      </c>
      <c r="O46" s="14" t="s">
        <v>77</v>
      </c>
      <c r="P46" s="15" t="s">
        <v>412</v>
      </c>
      <c r="Q46" s="14" t="s">
        <v>74</v>
      </c>
      <c r="R46" s="15" t="s">
        <v>413</v>
      </c>
      <c r="S46" s="14" t="s">
        <v>79</v>
      </c>
      <c r="T46" s="15" t="s">
        <v>78</v>
      </c>
      <c r="U46" s="14" t="s">
        <v>79</v>
      </c>
      <c r="V46" s="15" t="s">
        <v>78</v>
      </c>
      <c r="W46" s="14" t="s">
        <v>79</v>
      </c>
      <c r="X46" s="15" t="s">
        <v>78</v>
      </c>
      <c r="Y46" s="14" t="s">
        <v>94</v>
      </c>
      <c r="Z46" s="15" t="s">
        <v>78</v>
      </c>
      <c r="AA46" s="14" t="s">
        <v>94</v>
      </c>
      <c r="AB46" s="15" t="s">
        <v>78</v>
      </c>
      <c r="AC46" s="14" t="s">
        <v>79</v>
      </c>
      <c r="AD46" s="15" t="s">
        <v>78</v>
      </c>
      <c r="AE46" s="14" t="s">
        <v>84</v>
      </c>
      <c r="AF46" s="15" t="s">
        <v>414</v>
      </c>
      <c r="AG46" s="15" t="s">
        <v>415</v>
      </c>
      <c r="AH46" s="15"/>
      <c r="AI46" s="14" t="n">
        <v>15</v>
      </c>
      <c r="AJ46" s="14" t="s">
        <v>87</v>
      </c>
      <c r="AK46" s="17" t="s">
        <v>105</v>
      </c>
    </row>
    <row r="47" customFormat="false" ht="57" hidden="false" customHeight="true" outlineLevel="0" collapsed="false">
      <c r="A47" s="11" t="n">
        <v>45</v>
      </c>
      <c r="B47" s="11" t="str">
        <f aca="false">IF(I47="Y",IF(COUNTIF(I$3:I47,"Y")&lt;=20,"pilot",IF(COUNTIF(I$3:I47,"Y")&lt;=40,"dev",IF(COUNTIF(I$3:I47,"Y")&lt;=120,"test","extra"))),"")</f>
        <v>dev</v>
      </c>
      <c r="C47" s="11" t="str">
        <f aca="false">IF(I47="Y",IF(COUNTA(K47,Q47,W47,AC47,AE47)=5,"done","in progress"),IF(I47="N","excluded",""))</f>
        <v>done</v>
      </c>
      <c r="D47" s="11" t="s">
        <v>416</v>
      </c>
      <c r="E47" s="12" t="s">
        <v>90</v>
      </c>
      <c r="F47" s="13" t="s">
        <v>417</v>
      </c>
      <c r="G47" s="11" t="s">
        <v>418</v>
      </c>
      <c r="H47" s="11"/>
      <c r="I47" s="14" t="s">
        <v>71</v>
      </c>
      <c r="J47" s="14"/>
      <c r="K47" s="14" t="s">
        <v>77</v>
      </c>
      <c r="L47" s="15" t="s">
        <v>78</v>
      </c>
      <c r="M47" s="14" t="s">
        <v>94</v>
      </c>
      <c r="N47" s="15" t="s">
        <v>78</v>
      </c>
      <c r="O47" s="14" t="s">
        <v>94</v>
      </c>
      <c r="P47" s="15" t="s">
        <v>78</v>
      </c>
      <c r="Q47" s="14" t="s">
        <v>77</v>
      </c>
      <c r="R47" s="15" t="s">
        <v>78</v>
      </c>
      <c r="S47" s="14" t="s">
        <v>79</v>
      </c>
      <c r="T47" s="15" t="s">
        <v>78</v>
      </c>
      <c r="U47" s="14" t="s">
        <v>79</v>
      </c>
      <c r="V47" s="15" t="s">
        <v>78</v>
      </c>
      <c r="W47" s="14" t="s">
        <v>79</v>
      </c>
      <c r="X47" s="15" t="s">
        <v>78</v>
      </c>
      <c r="Y47" s="14" t="s">
        <v>94</v>
      </c>
      <c r="Z47" s="15" t="s">
        <v>78</v>
      </c>
      <c r="AA47" s="14" t="s">
        <v>94</v>
      </c>
      <c r="AB47" s="15" t="s">
        <v>78</v>
      </c>
      <c r="AC47" s="14" t="s">
        <v>79</v>
      </c>
      <c r="AD47" s="15" t="s">
        <v>78</v>
      </c>
      <c r="AE47" s="14" t="s">
        <v>84</v>
      </c>
      <c r="AF47" s="15" t="s">
        <v>419</v>
      </c>
      <c r="AG47" s="15" t="s">
        <v>420</v>
      </c>
      <c r="AH47" s="15"/>
      <c r="AI47" s="14" t="n">
        <v>15</v>
      </c>
      <c r="AJ47" s="14" t="s">
        <v>421</v>
      </c>
      <c r="AK47" s="17" t="s">
        <v>154</v>
      </c>
    </row>
    <row r="48" customFormat="false" ht="42.75" hidden="false" customHeight="true" outlineLevel="0" collapsed="false">
      <c r="A48" s="11" t="n">
        <v>46</v>
      </c>
      <c r="B48" s="11" t="str">
        <f aca="false">IF(I48="Y",IF(COUNTIF(I$3:I48,"Y")&lt;=20,"pilot",IF(COUNTIF(I$3:I48,"Y")&lt;=40,"dev",IF(COUNTIF(I$3:I48,"Y")&lt;=120,"test","extra"))),"")</f>
        <v>dev</v>
      </c>
      <c r="C48" s="11" t="str">
        <f aca="false">IF(I48="Y",IF(COUNTA(K48,Q48,W48,AC48,AE48)=5,"done","in progress"),IF(I48="N","excluded",""))</f>
        <v>done</v>
      </c>
      <c r="D48" s="11" t="s">
        <v>422</v>
      </c>
      <c r="E48" s="12" t="s">
        <v>90</v>
      </c>
      <c r="F48" s="13" t="s">
        <v>423</v>
      </c>
      <c r="G48" s="11" t="s">
        <v>424</v>
      </c>
      <c r="H48" s="11"/>
      <c r="I48" s="14" t="s">
        <v>71</v>
      </c>
      <c r="J48" s="14"/>
      <c r="K48" s="14" t="s">
        <v>77</v>
      </c>
      <c r="L48" s="15" t="s">
        <v>78</v>
      </c>
      <c r="M48" s="14" t="s">
        <v>94</v>
      </c>
      <c r="N48" s="15" t="s">
        <v>78</v>
      </c>
      <c r="O48" s="14" t="s">
        <v>94</v>
      </c>
      <c r="P48" s="15" t="s">
        <v>78</v>
      </c>
      <c r="Q48" s="14" t="s">
        <v>77</v>
      </c>
      <c r="R48" s="15" t="s">
        <v>78</v>
      </c>
      <c r="S48" s="14" t="s">
        <v>79</v>
      </c>
      <c r="T48" s="15" t="s">
        <v>78</v>
      </c>
      <c r="U48" s="14" t="s">
        <v>79</v>
      </c>
      <c r="V48" s="15" t="s">
        <v>78</v>
      </c>
      <c r="W48" s="14" t="s">
        <v>79</v>
      </c>
      <c r="X48" s="15" t="s">
        <v>78</v>
      </c>
      <c r="Y48" s="14" t="s">
        <v>94</v>
      </c>
      <c r="Z48" s="15" t="s">
        <v>78</v>
      </c>
      <c r="AA48" s="14" t="s">
        <v>94</v>
      </c>
      <c r="AB48" s="15" t="s">
        <v>78</v>
      </c>
      <c r="AC48" s="14" t="s">
        <v>82</v>
      </c>
      <c r="AD48" s="15" t="s">
        <v>425</v>
      </c>
      <c r="AE48" s="14" t="s">
        <v>84</v>
      </c>
      <c r="AF48" s="15" t="s">
        <v>426</v>
      </c>
      <c r="AG48" s="15" t="s">
        <v>427</v>
      </c>
      <c r="AH48" s="15"/>
      <c r="AI48" s="14" t="n">
        <v>15</v>
      </c>
      <c r="AJ48" s="14" t="s">
        <v>421</v>
      </c>
      <c r="AK48" s="17" t="s">
        <v>154</v>
      </c>
    </row>
    <row r="49" customFormat="false" ht="42.75" hidden="false" customHeight="true" outlineLevel="0" collapsed="false">
      <c r="A49" s="11" t="n">
        <v>47</v>
      </c>
      <c r="B49" s="11" t="str">
        <f aca="false">IF(I49="Y",IF(COUNTIF(I$3:I49,"Y")&lt;=20,"pilot",IF(COUNTIF(I$3:I49,"Y")&lt;=40,"dev",IF(COUNTIF(I$3:I49,"Y")&lt;=120,"test","extra"))),"")</f>
        <v>dev</v>
      </c>
      <c r="C49" s="11" t="str">
        <f aca="false">IF(I49="Y",IF(COUNTA(K49,Q49,W49,AC49,AE49)=5,"done","in progress"),IF(I49="N","excluded",""))</f>
        <v>done</v>
      </c>
      <c r="D49" s="11" t="s">
        <v>428</v>
      </c>
      <c r="E49" s="12" t="s">
        <v>90</v>
      </c>
      <c r="F49" s="13" t="s">
        <v>429</v>
      </c>
      <c r="G49" s="11" t="s">
        <v>430</v>
      </c>
      <c r="H49" s="11"/>
      <c r="I49" s="14" t="s">
        <v>71</v>
      </c>
      <c r="J49" s="14"/>
      <c r="K49" s="14" t="s">
        <v>77</v>
      </c>
      <c r="L49" s="15" t="s">
        <v>78</v>
      </c>
      <c r="M49" s="14" t="s">
        <v>94</v>
      </c>
      <c r="N49" s="15" t="s">
        <v>78</v>
      </c>
      <c r="O49" s="14" t="s">
        <v>94</v>
      </c>
      <c r="P49" s="15" t="s">
        <v>78</v>
      </c>
      <c r="Q49" s="14" t="s">
        <v>77</v>
      </c>
      <c r="R49" s="15" t="s">
        <v>78</v>
      </c>
      <c r="S49" s="14" t="s">
        <v>79</v>
      </c>
      <c r="T49" s="15" t="s">
        <v>78</v>
      </c>
      <c r="U49" s="14" t="s">
        <v>79</v>
      </c>
      <c r="V49" s="15" t="s">
        <v>78</v>
      </c>
      <c r="W49" s="14" t="s">
        <v>82</v>
      </c>
      <c r="X49" s="15" t="s">
        <v>431</v>
      </c>
      <c r="Y49" s="14" t="s">
        <v>94</v>
      </c>
      <c r="Z49" s="15" t="s">
        <v>78</v>
      </c>
      <c r="AA49" s="14" t="s">
        <v>94</v>
      </c>
      <c r="AB49" s="15" t="s">
        <v>78</v>
      </c>
      <c r="AC49" s="14" t="s">
        <v>79</v>
      </c>
      <c r="AD49" s="15" t="s">
        <v>78</v>
      </c>
      <c r="AE49" s="14" t="s">
        <v>101</v>
      </c>
      <c r="AF49" s="15" t="s">
        <v>432</v>
      </c>
      <c r="AG49" s="15" t="s">
        <v>433</v>
      </c>
      <c r="AH49" s="15"/>
      <c r="AI49" s="14" t="n">
        <v>15</v>
      </c>
      <c r="AJ49" s="14" t="s">
        <v>421</v>
      </c>
      <c r="AK49" s="17" t="s">
        <v>154</v>
      </c>
    </row>
    <row r="50" customFormat="false" ht="28.5" hidden="false" customHeight="true" outlineLevel="0" collapsed="false">
      <c r="A50" s="11" t="n">
        <v>48</v>
      </c>
      <c r="B50" s="11" t="str">
        <f aca="false">IF(I50="Y",IF(COUNTIF(I$3:I50,"Y")&lt;=20,"pilot",IF(COUNTIF(I$3:I50,"Y")&lt;=40,"dev",IF(COUNTIF(I$3:I50,"Y")&lt;=120,"test","extra"))),"")</f>
        <v/>
      </c>
      <c r="C50" s="11" t="str">
        <f aca="false">IF(I50="Y",IF(COUNTA(K50,Q50,W50,AC50,AE50)=5,"done","in progress"),IF(I50="N","excluded",""))</f>
        <v>excluded</v>
      </c>
      <c r="D50" s="11" t="s">
        <v>434</v>
      </c>
      <c r="E50" s="12" t="s">
        <v>90</v>
      </c>
      <c r="F50" s="13" t="s">
        <v>435</v>
      </c>
      <c r="G50" s="11" t="s">
        <v>322</v>
      </c>
      <c r="H50" s="11"/>
      <c r="I50" s="14" t="s">
        <v>132</v>
      </c>
      <c r="J50" s="14" t="s">
        <v>436</v>
      </c>
      <c r="K50" s="14"/>
      <c r="L50" s="15"/>
      <c r="M50" s="14"/>
      <c r="N50" s="15"/>
      <c r="O50" s="14"/>
      <c r="P50" s="15"/>
      <c r="Q50" s="14"/>
      <c r="R50" s="15"/>
      <c r="S50" s="14"/>
      <c r="T50" s="15"/>
      <c r="U50" s="14"/>
      <c r="V50" s="15"/>
      <c r="W50" s="14"/>
      <c r="X50" s="15"/>
      <c r="Y50" s="14"/>
      <c r="Z50" s="15"/>
      <c r="AA50" s="14"/>
      <c r="AB50" s="15"/>
      <c r="AC50" s="14"/>
      <c r="AD50" s="15"/>
      <c r="AE50" s="14"/>
      <c r="AF50" s="15"/>
      <c r="AG50" s="15"/>
      <c r="AH50" s="15"/>
      <c r="AI50" s="14" t="n">
        <v>2</v>
      </c>
      <c r="AJ50" s="18" t="n">
        <v>46293</v>
      </c>
      <c r="AK50" s="17" t="s">
        <v>88</v>
      </c>
    </row>
    <row r="51" customFormat="false" ht="42.75" hidden="false" customHeight="true" outlineLevel="0" collapsed="false">
      <c r="A51" s="11" t="n">
        <v>49</v>
      </c>
      <c r="B51" s="11" t="str">
        <f aca="false">IF(I51="Y",IF(COUNTIF(I$3:I51,"Y")&lt;=20,"pilot",IF(COUNTIF(I$3:I51,"Y")&lt;=40,"dev",IF(COUNTIF(I$3:I51,"Y")&lt;=120,"test","extra"))),"")</f>
        <v>test</v>
      </c>
      <c r="C51" s="11" t="str">
        <f aca="false">IF(I51="Y",IF(COUNTA(K51,Q51,W51,AC51,AE51)=5,"done","in progress"),IF(I51="N","excluded",""))</f>
        <v>done</v>
      </c>
      <c r="D51" s="11" t="s">
        <v>437</v>
      </c>
      <c r="E51" s="12" t="s">
        <v>90</v>
      </c>
      <c r="F51" s="13" t="s">
        <v>438</v>
      </c>
      <c r="G51" s="11" t="s">
        <v>136</v>
      </c>
      <c r="H51" s="11"/>
      <c r="I51" s="14" t="s">
        <v>71</v>
      </c>
      <c r="J51" s="14"/>
      <c r="K51" s="14" t="s">
        <v>72</v>
      </c>
      <c r="L51" s="15" t="s">
        <v>439</v>
      </c>
      <c r="M51" s="14"/>
      <c r="N51" s="15"/>
      <c r="O51" s="14"/>
      <c r="P51" s="15"/>
      <c r="Q51" s="14" t="s">
        <v>72</v>
      </c>
      <c r="R51" s="15" t="s">
        <v>440</v>
      </c>
      <c r="S51" s="14"/>
      <c r="T51" s="15"/>
      <c r="U51" s="14"/>
      <c r="V51" s="15"/>
      <c r="W51" s="14" t="s">
        <v>79</v>
      </c>
      <c r="X51" s="19" t="s">
        <v>441</v>
      </c>
      <c r="Y51" s="14"/>
      <c r="Z51" s="15"/>
      <c r="AA51" s="14"/>
      <c r="AB51" s="15"/>
      <c r="AC51" s="14" t="s">
        <v>79</v>
      </c>
      <c r="AD51" s="15" t="s">
        <v>442</v>
      </c>
      <c r="AE51" s="14" t="s">
        <v>101</v>
      </c>
      <c r="AF51" s="15" t="s">
        <v>442</v>
      </c>
      <c r="AG51" s="19" t="s">
        <v>443</v>
      </c>
      <c r="AH51" s="15"/>
      <c r="AI51" s="14" t="n">
        <v>13</v>
      </c>
      <c r="AJ51" s="18" t="n">
        <v>46293</v>
      </c>
      <c r="AK51" s="17" t="s">
        <v>88</v>
      </c>
    </row>
    <row r="52" customFormat="false" ht="42.75" hidden="false" customHeight="true" outlineLevel="0" collapsed="false">
      <c r="A52" s="11" t="n">
        <v>50</v>
      </c>
      <c r="B52" s="11" t="str">
        <f aca="false">IF(I52="Y",IF(COUNTIF(I$3:I52,"Y")&lt;=20,"pilot",IF(COUNTIF(I$3:I52,"Y")&lt;=40,"dev",IF(COUNTIF(I$3:I52,"Y")&lt;=120,"test","extra"))),"")</f>
        <v>test</v>
      </c>
      <c r="C52" s="11" t="str">
        <f aca="false">IF(I52="Y",IF(COUNTA(K52,Q52,W52,AC52,AE52)=5,"done","in progress"),IF(I52="N","excluded",""))</f>
        <v>done</v>
      </c>
      <c r="D52" s="11" t="s">
        <v>444</v>
      </c>
      <c r="E52" s="12" t="s">
        <v>90</v>
      </c>
      <c r="F52" s="13" t="s">
        <v>445</v>
      </c>
      <c r="G52" s="11" t="s">
        <v>446</v>
      </c>
      <c r="H52" s="11"/>
      <c r="I52" s="14" t="s">
        <v>71</v>
      </c>
      <c r="J52" s="14"/>
      <c r="K52" s="14" t="s">
        <v>74</v>
      </c>
      <c r="L52" s="19" t="s">
        <v>447</v>
      </c>
      <c r="M52" s="14"/>
      <c r="N52" s="15"/>
      <c r="O52" s="14"/>
      <c r="P52" s="15"/>
      <c r="Q52" s="14" t="s">
        <v>74</v>
      </c>
      <c r="R52" s="15" t="s">
        <v>448</v>
      </c>
      <c r="S52" s="14"/>
      <c r="T52" s="15"/>
      <c r="U52" s="14"/>
      <c r="V52" s="15"/>
      <c r="W52" s="14" t="s">
        <v>79</v>
      </c>
      <c r="X52" s="15" t="s">
        <v>449</v>
      </c>
      <c r="Y52" s="14"/>
      <c r="Z52" s="15"/>
      <c r="AA52" s="14"/>
      <c r="AB52" s="15"/>
      <c r="AC52" s="14" t="s">
        <v>79</v>
      </c>
      <c r="AD52" s="15" t="s">
        <v>450</v>
      </c>
      <c r="AE52" s="14" t="s">
        <v>101</v>
      </c>
      <c r="AF52" s="15" t="s">
        <v>450</v>
      </c>
      <c r="AG52" s="15"/>
      <c r="AH52" s="15"/>
      <c r="AI52" s="14" t="n">
        <v>18</v>
      </c>
      <c r="AJ52" s="18" t="n">
        <v>46293</v>
      </c>
      <c r="AK52" s="17" t="s">
        <v>88</v>
      </c>
    </row>
    <row r="53" customFormat="false" ht="28.5" hidden="false" customHeight="true" outlineLevel="0" collapsed="false">
      <c r="A53" s="11" t="n">
        <v>51</v>
      </c>
      <c r="B53" s="11" t="str">
        <f aca="false">IF(I53="Y",IF(COUNTIF(I$3:I53,"Y")&lt;=20,"pilot",IF(COUNTIF(I$3:I53,"Y")&lt;=40,"dev",IF(COUNTIF(I$3:I53,"Y")&lt;=120,"test","extra"))),"")</f>
        <v>test</v>
      </c>
      <c r="C53" s="11" t="str">
        <f aca="false">IF(I53="Y",IF(COUNTA(K53,Q53,W53,AC53,AE53)=5,"done","in progress"),IF(I53="N","excluded",""))</f>
        <v>done</v>
      </c>
      <c r="D53" s="11" t="s">
        <v>451</v>
      </c>
      <c r="E53" s="12" t="s">
        <v>90</v>
      </c>
      <c r="F53" s="13" t="s">
        <v>452</v>
      </c>
      <c r="G53" s="11" t="s">
        <v>453</v>
      </c>
      <c r="H53" s="11"/>
      <c r="I53" s="14" t="s">
        <v>71</v>
      </c>
      <c r="J53" s="14"/>
      <c r="K53" s="14" t="s">
        <v>77</v>
      </c>
      <c r="L53" s="15" t="s">
        <v>454</v>
      </c>
      <c r="M53" s="14"/>
      <c r="N53" s="15"/>
      <c r="O53" s="14"/>
      <c r="P53" s="15"/>
      <c r="Q53" s="14" t="s">
        <v>74</v>
      </c>
      <c r="R53" s="15" t="s">
        <v>455</v>
      </c>
      <c r="S53" s="14"/>
      <c r="T53" s="15"/>
      <c r="U53" s="14"/>
      <c r="V53" s="15"/>
      <c r="W53" s="14" t="s">
        <v>82</v>
      </c>
      <c r="X53" s="15" t="s">
        <v>456</v>
      </c>
      <c r="Y53" s="14"/>
      <c r="Z53" s="15"/>
      <c r="AA53" s="14"/>
      <c r="AB53" s="15"/>
      <c r="AC53" s="14" t="s">
        <v>82</v>
      </c>
      <c r="AD53" s="15" t="s">
        <v>457</v>
      </c>
      <c r="AE53" s="14" t="s">
        <v>101</v>
      </c>
      <c r="AF53" s="15" t="s">
        <v>458</v>
      </c>
      <c r="AG53" s="19" t="s">
        <v>459</v>
      </c>
      <c r="AH53" s="15"/>
      <c r="AI53" s="14" t="n">
        <v>14</v>
      </c>
      <c r="AJ53" s="18" t="n">
        <v>46293</v>
      </c>
      <c r="AK53" s="17" t="s">
        <v>88</v>
      </c>
    </row>
    <row r="54" customFormat="false" ht="57" hidden="false" customHeight="true" outlineLevel="0" collapsed="false">
      <c r="A54" s="11" t="n">
        <v>52</v>
      </c>
      <c r="B54" s="11" t="str">
        <f aca="false">IF(I54="Y",IF(COUNTIF(I$3:I54,"Y")&lt;=20,"pilot",IF(COUNTIF(I$3:I54,"Y")&lt;=40,"dev",IF(COUNTIF(I$3:I54,"Y")&lt;=120,"test","extra"))),"")</f>
        <v>test</v>
      </c>
      <c r="C54" s="11" t="str">
        <f aca="false">IF(I54="Y",IF(COUNTA(K54,Q54,W54,AC54,AE54)=5,"done","in progress"),IF(I54="N","excluded",""))</f>
        <v>done</v>
      </c>
      <c r="D54" s="11" t="s">
        <v>460</v>
      </c>
      <c r="E54" s="12" t="s">
        <v>90</v>
      </c>
      <c r="F54" s="13" t="s">
        <v>461</v>
      </c>
      <c r="G54" s="11" t="s">
        <v>118</v>
      </c>
      <c r="H54" s="11"/>
      <c r="I54" s="14" t="s">
        <v>71</v>
      </c>
      <c r="J54" s="14"/>
      <c r="K54" s="14" t="s">
        <v>74</v>
      </c>
      <c r="L54" s="15" t="s">
        <v>462</v>
      </c>
      <c r="M54" s="14"/>
      <c r="N54" s="15"/>
      <c r="O54" s="14"/>
      <c r="P54" s="15"/>
      <c r="Q54" s="14" t="s">
        <v>74</v>
      </c>
      <c r="R54" s="15" t="s">
        <v>463</v>
      </c>
      <c r="S54" s="14"/>
      <c r="T54" s="15"/>
      <c r="U54" s="14"/>
      <c r="V54" s="15"/>
      <c r="W54" s="14" t="s">
        <v>79</v>
      </c>
      <c r="X54" s="15" t="s">
        <v>464</v>
      </c>
      <c r="Y54" s="14"/>
      <c r="Z54" s="15"/>
      <c r="AA54" s="14"/>
      <c r="AB54" s="15"/>
      <c r="AC54" s="14" t="s">
        <v>79</v>
      </c>
      <c r="AD54" s="15" t="s">
        <v>465</v>
      </c>
      <c r="AE54" s="14" t="s">
        <v>101</v>
      </c>
      <c r="AF54" s="15" t="s">
        <v>465</v>
      </c>
      <c r="AG54" s="15"/>
      <c r="AH54" s="15"/>
      <c r="AI54" s="14" t="n">
        <v>15</v>
      </c>
      <c r="AJ54" s="18" t="n">
        <v>46294</v>
      </c>
      <c r="AK54" s="17" t="s">
        <v>88</v>
      </c>
    </row>
    <row r="55" customFormat="false" ht="42.75" hidden="false" customHeight="true" outlineLevel="0" collapsed="false">
      <c r="A55" s="11" t="n">
        <v>53</v>
      </c>
      <c r="B55" s="11" t="str">
        <f aca="false">IF(I55="Y",IF(COUNTIF(I$3:I55,"Y")&lt;=20,"pilot",IF(COUNTIF(I$3:I55,"Y")&lt;=40,"dev",IF(COUNTIF(I$3:I55,"Y")&lt;=120,"test","extra"))),"")</f>
        <v>test</v>
      </c>
      <c r="C55" s="11" t="str">
        <f aca="false">IF(I55="Y",IF(COUNTA(K55,Q55,W55,AC55,AE55)=5,"done","in progress"),IF(I55="N","excluded",""))</f>
        <v>done</v>
      </c>
      <c r="D55" s="11" t="s">
        <v>466</v>
      </c>
      <c r="E55" s="12" t="s">
        <v>90</v>
      </c>
      <c r="F55" s="13" t="s">
        <v>467</v>
      </c>
      <c r="G55" s="11" t="s">
        <v>168</v>
      </c>
      <c r="H55" s="11"/>
      <c r="I55" s="14" t="s">
        <v>71</v>
      </c>
      <c r="J55" s="14"/>
      <c r="K55" s="14" t="s">
        <v>72</v>
      </c>
      <c r="L55" s="15" t="s">
        <v>468</v>
      </c>
      <c r="M55" s="14"/>
      <c r="N55" s="15"/>
      <c r="O55" s="14"/>
      <c r="P55" s="15"/>
      <c r="Q55" s="14" t="s">
        <v>77</v>
      </c>
      <c r="R55" s="15" t="s">
        <v>469</v>
      </c>
      <c r="S55" s="14"/>
      <c r="T55" s="15"/>
      <c r="U55" s="14"/>
      <c r="V55" s="15"/>
      <c r="W55" s="14" t="s">
        <v>82</v>
      </c>
      <c r="X55" s="15" t="s">
        <v>470</v>
      </c>
      <c r="Y55" s="14"/>
      <c r="Z55" s="15"/>
      <c r="AA55" s="14"/>
      <c r="AB55" s="15"/>
      <c r="AC55" s="14" t="s">
        <v>79</v>
      </c>
      <c r="AD55" s="15" t="s">
        <v>471</v>
      </c>
      <c r="AE55" s="14" t="s">
        <v>101</v>
      </c>
      <c r="AF55" s="15" t="s">
        <v>472</v>
      </c>
      <c r="AG55" s="19" t="s">
        <v>473</v>
      </c>
      <c r="AH55" s="15"/>
      <c r="AI55" s="20" t="n">
        <v>10</v>
      </c>
      <c r="AJ55" s="18" t="n">
        <v>46294</v>
      </c>
      <c r="AK55" s="17" t="s">
        <v>88</v>
      </c>
    </row>
    <row r="56" customFormat="false" ht="28.5" hidden="false" customHeight="true" outlineLevel="0" collapsed="false">
      <c r="A56" s="11" t="n">
        <v>54</v>
      </c>
      <c r="B56" s="11" t="str">
        <f aca="false">IF(I56="Y",IF(COUNTIF(I$3:I56,"Y")&lt;=20,"pilot",IF(COUNTIF(I$3:I56,"Y")&lt;=40,"dev",IF(COUNTIF(I$3:I56,"Y")&lt;=120,"test","extra"))),"")</f>
        <v>test</v>
      </c>
      <c r="C56" s="11" t="str">
        <f aca="false">IF(I56="Y",IF(COUNTA(K56,Q56,W56,AC56,AE56)=5,"done","in progress"),IF(I56="N","excluded",""))</f>
        <v>done</v>
      </c>
      <c r="D56" s="11" t="s">
        <v>474</v>
      </c>
      <c r="E56" s="12" t="s">
        <v>90</v>
      </c>
      <c r="F56" s="13" t="s">
        <v>475</v>
      </c>
      <c r="G56" s="11" t="s">
        <v>476</v>
      </c>
      <c r="H56" s="11"/>
      <c r="I56" s="14" t="s">
        <v>71</v>
      </c>
      <c r="J56" s="14"/>
      <c r="K56" s="14" t="s">
        <v>72</v>
      </c>
      <c r="L56" s="15" t="s">
        <v>477</v>
      </c>
      <c r="M56" s="14"/>
      <c r="N56" s="15"/>
      <c r="O56" s="14"/>
      <c r="P56" s="15"/>
      <c r="Q56" s="14" t="s">
        <v>74</v>
      </c>
      <c r="R56" s="15" t="s">
        <v>477</v>
      </c>
      <c r="S56" s="14"/>
      <c r="T56" s="15"/>
      <c r="U56" s="14"/>
      <c r="V56" s="15"/>
      <c r="W56" s="14" t="s">
        <v>79</v>
      </c>
      <c r="X56" s="15" t="s">
        <v>478</v>
      </c>
      <c r="Y56" s="14"/>
      <c r="Z56" s="15"/>
      <c r="AA56" s="14"/>
      <c r="AB56" s="15"/>
      <c r="AC56" s="14" t="s">
        <v>79</v>
      </c>
      <c r="AD56" s="19" t="s">
        <v>78</v>
      </c>
      <c r="AE56" s="14" t="s">
        <v>84</v>
      </c>
      <c r="AF56" s="15" t="s">
        <v>479</v>
      </c>
      <c r="AG56" s="15"/>
      <c r="AH56" s="15"/>
      <c r="AI56" s="20" t="n">
        <v>8</v>
      </c>
      <c r="AJ56" s="18" t="n">
        <v>46294</v>
      </c>
      <c r="AK56" s="17" t="s">
        <v>88</v>
      </c>
    </row>
    <row r="57" customFormat="false" ht="57" hidden="false" customHeight="true" outlineLevel="0" collapsed="false">
      <c r="A57" s="11" t="n">
        <v>55</v>
      </c>
      <c r="B57" s="11" t="str">
        <f aca="false">IF(I57="Y",IF(COUNTIF(I$3:I57,"Y")&lt;=20,"pilot",IF(COUNTIF(I$3:I57,"Y")&lt;=40,"dev",IF(COUNTIF(I$3:I57,"Y")&lt;=120,"test","extra"))),"")</f>
        <v>test</v>
      </c>
      <c r="C57" s="11" t="str">
        <f aca="false">IF(I57="Y",IF(COUNTA(K57,Q57,W57,AC57,AE57)=5,"done","in progress"),IF(I57="N","excluded",""))</f>
        <v>done</v>
      </c>
      <c r="D57" s="11" t="s">
        <v>480</v>
      </c>
      <c r="E57" s="12" t="s">
        <v>90</v>
      </c>
      <c r="F57" s="13" t="s">
        <v>481</v>
      </c>
      <c r="G57" s="11" t="s">
        <v>482</v>
      </c>
      <c r="H57" s="11"/>
      <c r="I57" s="14" t="s">
        <v>71</v>
      </c>
      <c r="J57" s="14"/>
      <c r="K57" s="14" t="s">
        <v>74</v>
      </c>
      <c r="L57" s="15" t="s">
        <v>483</v>
      </c>
      <c r="M57" s="14"/>
      <c r="N57" s="15"/>
      <c r="O57" s="14"/>
      <c r="P57" s="15"/>
      <c r="Q57" s="14" t="s">
        <v>72</v>
      </c>
      <c r="R57" s="15" t="s">
        <v>484</v>
      </c>
      <c r="S57" s="14"/>
      <c r="T57" s="15"/>
      <c r="U57" s="14"/>
      <c r="V57" s="15"/>
      <c r="W57" s="14" t="s">
        <v>79</v>
      </c>
      <c r="X57" s="15" t="s">
        <v>485</v>
      </c>
      <c r="Y57" s="14"/>
      <c r="Z57" s="15"/>
      <c r="AA57" s="14"/>
      <c r="AB57" s="15"/>
      <c r="AC57" s="14" t="s">
        <v>79</v>
      </c>
      <c r="AD57" s="15" t="s">
        <v>486</v>
      </c>
      <c r="AE57" s="14" t="s">
        <v>101</v>
      </c>
      <c r="AF57" s="15" t="s">
        <v>486</v>
      </c>
      <c r="AG57" s="15"/>
      <c r="AH57" s="15"/>
      <c r="AI57" s="20" t="n">
        <v>7</v>
      </c>
      <c r="AJ57" s="18" t="n">
        <v>46294</v>
      </c>
      <c r="AK57" s="17" t="s">
        <v>88</v>
      </c>
    </row>
    <row r="58" customFormat="false" ht="57" hidden="false" customHeight="true" outlineLevel="0" collapsed="false">
      <c r="A58" s="11" t="n">
        <v>56</v>
      </c>
      <c r="B58" s="11" t="str">
        <f aca="false">IF(I58="Y",IF(COUNTIF(I$3:I58,"Y")&lt;=20,"pilot",IF(COUNTIF(I$3:I58,"Y")&lt;=40,"dev",IF(COUNTIF(I$3:I58,"Y")&lt;=120,"test","extra"))),"")</f>
        <v>test</v>
      </c>
      <c r="C58" s="11" t="str">
        <f aca="false">IF(I58="Y",IF(COUNTA(K58,Q58,W58,AC58,AE58)=5,"done","in progress"),IF(I58="N","excluded",""))</f>
        <v>done</v>
      </c>
      <c r="D58" s="11" t="s">
        <v>487</v>
      </c>
      <c r="E58" s="12" t="s">
        <v>90</v>
      </c>
      <c r="F58" s="13" t="s">
        <v>488</v>
      </c>
      <c r="G58" s="11" t="s">
        <v>145</v>
      </c>
      <c r="H58" s="11"/>
      <c r="I58" s="14" t="s">
        <v>71</v>
      </c>
      <c r="J58" s="14"/>
      <c r="K58" s="14" t="s">
        <v>77</v>
      </c>
      <c r="L58" s="15" t="s">
        <v>489</v>
      </c>
      <c r="M58" s="14"/>
      <c r="N58" s="15"/>
      <c r="O58" s="14"/>
      <c r="P58" s="15"/>
      <c r="Q58" s="14" t="s">
        <v>74</v>
      </c>
      <c r="R58" s="15" t="s">
        <v>489</v>
      </c>
      <c r="S58" s="14"/>
      <c r="T58" s="15"/>
      <c r="U58" s="14"/>
      <c r="V58" s="15"/>
      <c r="W58" s="14" t="s">
        <v>79</v>
      </c>
      <c r="X58" s="15" t="s">
        <v>490</v>
      </c>
      <c r="Y58" s="14"/>
      <c r="Z58" s="15"/>
      <c r="AA58" s="14"/>
      <c r="AB58" s="15"/>
      <c r="AC58" s="14" t="s">
        <v>82</v>
      </c>
      <c r="AD58" s="15" t="s">
        <v>491</v>
      </c>
      <c r="AE58" s="14" t="s">
        <v>84</v>
      </c>
      <c r="AF58" s="15" t="s">
        <v>491</v>
      </c>
      <c r="AG58" s="15"/>
      <c r="AH58" s="15"/>
      <c r="AI58" s="20" t="n">
        <v>11</v>
      </c>
      <c r="AJ58" s="18" t="n">
        <v>46294</v>
      </c>
      <c r="AK58" s="17" t="s">
        <v>88</v>
      </c>
    </row>
    <row r="59" customFormat="false" ht="42.75" hidden="false" customHeight="true" outlineLevel="0" collapsed="false">
      <c r="A59" s="11" t="n">
        <v>57</v>
      </c>
      <c r="B59" s="11" t="str">
        <f aca="false">IF(I59="Y",IF(COUNTIF(I$3:I59,"Y")&lt;=20,"pilot",IF(COUNTIF(I$3:I59,"Y")&lt;=40,"dev",IF(COUNTIF(I$3:I59,"Y")&lt;=120,"test","extra"))),"")</f>
        <v>test</v>
      </c>
      <c r="C59" s="11" t="str">
        <f aca="false">IF(I59="Y",IF(COUNTA(K59,Q59,W59,AC59,AE59)=5,"done","in progress"),IF(I59="N","excluded",""))</f>
        <v>done</v>
      </c>
      <c r="D59" s="11" t="s">
        <v>492</v>
      </c>
      <c r="E59" s="12" t="s">
        <v>90</v>
      </c>
      <c r="F59" s="13" t="s">
        <v>493</v>
      </c>
      <c r="G59" s="11" t="s">
        <v>494</v>
      </c>
      <c r="H59" s="11"/>
      <c r="I59" s="14" t="s">
        <v>71</v>
      </c>
      <c r="J59" s="14"/>
      <c r="K59" s="14" t="s">
        <v>74</v>
      </c>
      <c r="L59" s="15" t="s">
        <v>495</v>
      </c>
      <c r="M59" s="14"/>
      <c r="N59" s="15"/>
      <c r="O59" s="14"/>
      <c r="P59" s="15"/>
      <c r="Q59" s="14" t="s">
        <v>77</v>
      </c>
      <c r="R59" s="15" t="s">
        <v>496</v>
      </c>
      <c r="S59" s="14"/>
      <c r="T59" s="15"/>
      <c r="U59" s="14"/>
      <c r="V59" s="15"/>
      <c r="W59" s="14" t="s">
        <v>82</v>
      </c>
      <c r="X59" s="15" t="s">
        <v>497</v>
      </c>
      <c r="Y59" s="14"/>
      <c r="Z59" s="15"/>
      <c r="AA59" s="14"/>
      <c r="AB59" s="15"/>
      <c r="AC59" s="14" t="s">
        <v>79</v>
      </c>
      <c r="AD59" s="15" t="s">
        <v>498</v>
      </c>
      <c r="AE59" s="14" t="s">
        <v>101</v>
      </c>
      <c r="AF59" s="15" t="s">
        <v>498</v>
      </c>
      <c r="AG59" s="15"/>
      <c r="AH59" s="15"/>
      <c r="AI59" s="20" t="n">
        <v>17</v>
      </c>
      <c r="AJ59" s="18" t="n">
        <v>46294</v>
      </c>
      <c r="AK59" s="17" t="s">
        <v>88</v>
      </c>
    </row>
    <row r="60" customFormat="false" ht="42.75" hidden="false" customHeight="true" outlineLevel="0" collapsed="false">
      <c r="A60" s="11" t="n">
        <v>58</v>
      </c>
      <c r="B60" s="11" t="str">
        <f aca="false">IF(I60="Y",IF(COUNTIF(I$3:I60,"Y")&lt;=20,"pilot",IF(COUNTIF(I$3:I60,"Y")&lt;=40,"dev",IF(COUNTIF(I$3:I60,"Y")&lt;=120,"test","extra"))),"")</f>
        <v>test</v>
      </c>
      <c r="C60" s="11" t="str">
        <f aca="false">IF(I60="Y",IF(COUNTA(K60,Q60,W60,AC60,AE60)=5,"done","in progress"),IF(I60="N","excluded",""))</f>
        <v>done</v>
      </c>
      <c r="D60" s="11" t="s">
        <v>499</v>
      </c>
      <c r="E60" s="12" t="s">
        <v>90</v>
      </c>
      <c r="F60" s="13" t="s">
        <v>500</v>
      </c>
      <c r="G60" s="11" t="s">
        <v>476</v>
      </c>
      <c r="H60" s="11"/>
      <c r="I60" s="14" t="s">
        <v>71</v>
      </c>
      <c r="J60" s="14"/>
      <c r="K60" s="14" t="s">
        <v>77</v>
      </c>
      <c r="L60" s="15" t="s">
        <v>501</v>
      </c>
      <c r="M60" s="14"/>
      <c r="N60" s="15"/>
      <c r="O60" s="14"/>
      <c r="P60" s="15"/>
      <c r="Q60" s="14" t="s">
        <v>72</v>
      </c>
      <c r="R60" s="15" t="s">
        <v>502</v>
      </c>
      <c r="S60" s="14"/>
      <c r="T60" s="15"/>
      <c r="U60" s="14"/>
      <c r="V60" s="15"/>
      <c r="W60" s="14" t="s">
        <v>79</v>
      </c>
      <c r="X60" s="15" t="s">
        <v>503</v>
      </c>
      <c r="Y60" s="14"/>
      <c r="Z60" s="15"/>
      <c r="AA60" s="14"/>
      <c r="AB60" s="15"/>
      <c r="AC60" s="14" t="s">
        <v>79</v>
      </c>
      <c r="AD60" s="15" t="s">
        <v>504</v>
      </c>
      <c r="AE60" s="14" t="s">
        <v>84</v>
      </c>
      <c r="AF60" s="15" t="s">
        <v>501</v>
      </c>
      <c r="AG60" s="19" t="s">
        <v>505</v>
      </c>
      <c r="AH60" s="15"/>
      <c r="AI60" s="20" t="n">
        <v>5</v>
      </c>
      <c r="AJ60" s="18" t="n">
        <v>46294</v>
      </c>
      <c r="AK60" s="17" t="s">
        <v>88</v>
      </c>
    </row>
    <row r="61" customFormat="false" ht="42.75" hidden="false" customHeight="true" outlineLevel="0" collapsed="false">
      <c r="A61" s="11" t="n">
        <v>59</v>
      </c>
      <c r="B61" s="11" t="str">
        <f aca="false">IF(I61="Y",IF(COUNTIF(I$3:I61,"Y")&lt;=20,"pilot",IF(COUNTIF(I$3:I61,"Y")&lt;=40,"dev",IF(COUNTIF(I$3:I61,"Y")&lt;=120,"test","extra"))),"")</f>
        <v>test</v>
      </c>
      <c r="C61" s="11" t="str">
        <f aca="false">IF(I61="Y",IF(COUNTA(K61,Q61,W61,AC61,AE61)=5,"done","in progress"),IF(I61="N","excluded",""))</f>
        <v>done</v>
      </c>
      <c r="D61" s="11" t="s">
        <v>506</v>
      </c>
      <c r="E61" s="12" t="s">
        <v>90</v>
      </c>
      <c r="F61" s="13" t="s">
        <v>507</v>
      </c>
      <c r="G61" s="11" t="s">
        <v>508</v>
      </c>
      <c r="H61" s="11"/>
      <c r="I61" s="14" t="s">
        <v>71</v>
      </c>
      <c r="J61" s="14"/>
      <c r="K61" s="14" t="s">
        <v>74</v>
      </c>
      <c r="L61" s="15" t="s">
        <v>509</v>
      </c>
      <c r="M61" s="14"/>
      <c r="N61" s="15"/>
      <c r="O61" s="14"/>
      <c r="P61" s="15"/>
      <c r="Q61" s="14" t="s">
        <v>74</v>
      </c>
      <c r="R61" s="15" t="s">
        <v>510</v>
      </c>
      <c r="S61" s="14"/>
      <c r="T61" s="15"/>
      <c r="U61" s="14"/>
      <c r="V61" s="15"/>
      <c r="W61" s="14" t="s">
        <v>82</v>
      </c>
      <c r="X61" s="15" t="s">
        <v>511</v>
      </c>
      <c r="Y61" s="14"/>
      <c r="Z61" s="15"/>
      <c r="AA61" s="14"/>
      <c r="AB61" s="15"/>
      <c r="AC61" s="14" t="s">
        <v>79</v>
      </c>
      <c r="AD61" s="15" t="s">
        <v>512</v>
      </c>
      <c r="AE61" s="14" t="s">
        <v>101</v>
      </c>
      <c r="AF61" s="15" t="s">
        <v>512</v>
      </c>
      <c r="AG61" s="15"/>
      <c r="AH61" s="15"/>
      <c r="AI61" s="20" t="n">
        <v>5</v>
      </c>
      <c r="AJ61" s="18" t="n">
        <v>46294</v>
      </c>
      <c r="AK61" s="17" t="s">
        <v>88</v>
      </c>
    </row>
    <row r="62" customFormat="false" ht="28.5" hidden="false" customHeight="true" outlineLevel="0" collapsed="false">
      <c r="A62" s="11" t="n">
        <v>60</v>
      </c>
      <c r="B62" s="11" t="str">
        <f aca="false">IF(I62="Y",IF(COUNTIF(I$3:I62,"Y")&lt;=20,"pilot",IF(COUNTIF(I$3:I62,"Y")&lt;=40,"dev",IF(COUNTIF(I$3:I62,"Y")&lt;=120,"test","extra"))),"")</f>
        <v>test</v>
      </c>
      <c r="C62" s="11" t="str">
        <f aca="false">IF(I62="Y",IF(COUNTA(K62,Q62,W62,AC62,AE62)=5,"done","in progress"),IF(I62="N","excluded",""))</f>
        <v>done</v>
      </c>
      <c r="D62" s="11" t="s">
        <v>513</v>
      </c>
      <c r="E62" s="12" t="s">
        <v>90</v>
      </c>
      <c r="F62" s="13" t="s">
        <v>514</v>
      </c>
      <c r="G62" s="11" t="s">
        <v>205</v>
      </c>
      <c r="H62" s="11"/>
      <c r="I62" s="14" t="s">
        <v>71</v>
      </c>
      <c r="J62" s="14"/>
      <c r="K62" s="14" t="s">
        <v>74</v>
      </c>
      <c r="L62" s="15" t="s">
        <v>515</v>
      </c>
      <c r="M62" s="14"/>
      <c r="N62" s="15"/>
      <c r="O62" s="14"/>
      <c r="P62" s="15"/>
      <c r="Q62" s="14" t="s">
        <v>72</v>
      </c>
      <c r="R62" s="15" t="s">
        <v>516</v>
      </c>
      <c r="S62" s="14"/>
      <c r="T62" s="15"/>
      <c r="U62" s="14"/>
      <c r="V62" s="15"/>
      <c r="W62" s="14" t="s">
        <v>82</v>
      </c>
      <c r="X62" s="15" t="s">
        <v>517</v>
      </c>
      <c r="Y62" s="14"/>
      <c r="Z62" s="15"/>
      <c r="AA62" s="14"/>
      <c r="AB62" s="15"/>
      <c r="AC62" s="14" t="s">
        <v>79</v>
      </c>
      <c r="AD62" s="15" t="s">
        <v>121</v>
      </c>
      <c r="AE62" s="14" t="s">
        <v>101</v>
      </c>
      <c r="AF62" s="15" t="s">
        <v>121</v>
      </c>
      <c r="AG62" s="15"/>
      <c r="AH62" s="15"/>
      <c r="AI62" s="20" t="n">
        <v>7</v>
      </c>
      <c r="AJ62" s="18" t="n">
        <v>46294</v>
      </c>
      <c r="AK62" s="17" t="s">
        <v>88</v>
      </c>
    </row>
    <row r="63" customFormat="false" ht="57" hidden="false" customHeight="true" outlineLevel="0" collapsed="false">
      <c r="A63" s="11" t="n">
        <v>61</v>
      </c>
      <c r="B63" s="11" t="str">
        <f aca="false">IF(I63="Y",IF(COUNTIF(I$3:I63,"Y")&lt;=20,"pilot",IF(COUNTIF(I$3:I63,"Y")&lt;=40,"dev",IF(COUNTIF(I$3:I63,"Y")&lt;=120,"test","extra"))),"")</f>
        <v>test</v>
      </c>
      <c r="C63" s="11" t="str">
        <f aca="false">IF(I63="Y",IF(COUNTA(K63,Q63,W63,AC63,AE63)=5,"done","in progress"),IF(I63="N","excluded",""))</f>
        <v>done</v>
      </c>
      <c r="D63" s="11" t="s">
        <v>518</v>
      </c>
      <c r="E63" s="12" t="s">
        <v>90</v>
      </c>
      <c r="F63" s="13" t="s">
        <v>519</v>
      </c>
      <c r="G63" s="11" t="s">
        <v>520</v>
      </c>
      <c r="H63" s="11"/>
      <c r="I63" s="14" t="s">
        <v>71</v>
      </c>
      <c r="J63" s="14"/>
      <c r="K63" s="14" t="s">
        <v>72</v>
      </c>
      <c r="L63" s="15" t="s">
        <v>521</v>
      </c>
      <c r="M63" s="14"/>
      <c r="N63" s="15"/>
      <c r="O63" s="14"/>
      <c r="P63" s="15"/>
      <c r="Q63" s="14" t="s">
        <v>77</v>
      </c>
      <c r="R63" s="19" t="s">
        <v>78</v>
      </c>
      <c r="S63" s="14"/>
      <c r="T63" s="15"/>
      <c r="U63" s="14"/>
      <c r="V63" s="15"/>
      <c r="W63" s="14" t="s">
        <v>82</v>
      </c>
      <c r="X63" s="15" t="s">
        <v>522</v>
      </c>
      <c r="Y63" s="14"/>
      <c r="Z63" s="15"/>
      <c r="AA63" s="14"/>
      <c r="AB63" s="15"/>
      <c r="AC63" s="14" t="s">
        <v>79</v>
      </c>
      <c r="AD63" s="19" t="s">
        <v>78</v>
      </c>
      <c r="AE63" s="14" t="s">
        <v>79</v>
      </c>
      <c r="AF63" s="19" t="s">
        <v>78</v>
      </c>
      <c r="AG63" s="19" t="s">
        <v>523</v>
      </c>
      <c r="AH63" s="15"/>
      <c r="AI63" s="20" t="n">
        <v>9</v>
      </c>
      <c r="AJ63" s="18" t="n">
        <v>46294</v>
      </c>
      <c r="AK63" s="17" t="s">
        <v>88</v>
      </c>
    </row>
    <row r="64" customFormat="false" ht="28.5" hidden="false" customHeight="true" outlineLevel="0" collapsed="false">
      <c r="A64" s="11" t="n">
        <v>62</v>
      </c>
      <c r="B64" s="11" t="str">
        <f aca="false">IF(I64="Y",IF(COUNTIF(I$3:I64,"Y")&lt;=20,"pilot",IF(COUNTIF(I$3:I64,"Y")&lt;=40,"dev",IF(COUNTIF(I$3:I64,"Y")&lt;=120,"test","extra"))),"")</f>
        <v>test</v>
      </c>
      <c r="C64" s="11" t="str">
        <f aca="false">IF(I64="Y",IF(COUNTA(K64,Q64,W64,AC64,AE64)=5,"done","in progress"),IF(I64="N","excluded",""))</f>
        <v>done</v>
      </c>
      <c r="D64" s="11" t="s">
        <v>524</v>
      </c>
      <c r="E64" s="12" t="s">
        <v>90</v>
      </c>
      <c r="F64" s="13" t="s">
        <v>525</v>
      </c>
      <c r="G64" s="11" t="s">
        <v>145</v>
      </c>
      <c r="H64" s="11"/>
      <c r="I64" s="14" t="s">
        <v>71</v>
      </c>
      <c r="J64" s="14"/>
      <c r="K64" s="14" t="s">
        <v>77</v>
      </c>
      <c r="L64" s="15" t="s">
        <v>526</v>
      </c>
      <c r="M64" s="14"/>
      <c r="N64" s="15"/>
      <c r="O64" s="14"/>
      <c r="P64" s="15"/>
      <c r="Q64" s="14" t="s">
        <v>74</v>
      </c>
      <c r="R64" s="15" t="s">
        <v>527</v>
      </c>
      <c r="S64" s="14"/>
      <c r="T64" s="15"/>
      <c r="U64" s="14"/>
      <c r="V64" s="15"/>
      <c r="W64" s="14" t="s">
        <v>79</v>
      </c>
      <c r="X64" s="19" t="s">
        <v>528</v>
      </c>
      <c r="Y64" s="14"/>
      <c r="Z64" s="15"/>
      <c r="AA64" s="14"/>
      <c r="AB64" s="15"/>
      <c r="AC64" s="14" t="s">
        <v>79</v>
      </c>
      <c r="AD64" s="19" t="s">
        <v>78</v>
      </c>
      <c r="AE64" s="14" t="s">
        <v>84</v>
      </c>
      <c r="AF64" s="15" t="s">
        <v>529</v>
      </c>
      <c r="AG64" s="15"/>
      <c r="AH64" s="15"/>
      <c r="AI64" s="20" t="n">
        <v>6</v>
      </c>
      <c r="AJ64" s="18" t="n">
        <v>46294</v>
      </c>
      <c r="AK64" s="17" t="s">
        <v>88</v>
      </c>
    </row>
    <row r="65" customFormat="false" ht="42.75" hidden="false" customHeight="true" outlineLevel="0" collapsed="false">
      <c r="A65" s="11" t="n">
        <v>63</v>
      </c>
      <c r="B65" s="11" t="str">
        <f aca="false">IF(I65="Y",IF(COUNTIF(I$3:I65,"Y")&lt;=20,"pilot",IF(COUNTIF(I$3:I65,"Y")&lt;=40,"dev",IF(COUNTIF(I$3:I65,"Y")&lt;=120,"test","extra"))),"")</f>
        <v>test</v>
      </c>
      <c r="C65" s="11" t="str">
        <f aca="false">IF(I65="Y",IF(COUNTA(K65,Q65,W65,AC65,AE65)=5,"done","in progress"),IF(I65="N","excluded",""))</f>
        <v>done</v>
      </c>
      <c r="D65" s="11" t="s">
        <v>530</v>
      </c>
      <c r="E65" s="12" t="s">
        <v>90</v>
      </c>
      <c r="F65" s="13" t="s">
        <v>531</v>
      </c>
      <c r="G65" s="11" t="s">
        <v>251</v>
      </c>
      <c r="H65" s="11"/>
      <c r="I65" s="14" t="s">
        <v>71</v>
      </c>
      <c r="J65" s="14"/>
      <c r="K65" s="14" t="s">
        <v>74</v>
      </c>
      <c r="L65" s="15" t="s">
        <v>532</v>
      </c>
      <c r="M65" s="14"/>
      <c r="N65" s="15"/>
      <c r="O65" s="14"/>
      <c r="P65" s="15"/>
      <c r="Q65" s="14" t="s">
        <v>74</v>
      </c>
      <c r="R65" s="15" t="s">
        <v>533</v>
      </c>
      <c r="S65" s="14"/>
      <c r="T65" s="15"/>
      <c r="U65" s="14"/>
      <c r="V65" s="15"/>
      <c r="W65" s="14" t="s">
        <v>79</v>
      </c>
      <c r="X65" s="15" t="s">
        <v>534</v>
      </c>
      <c r="Y65" s="14"/>
      <c r="Z65" s="15"/>
      <c r="AA65" s="14"/>
      <c r="AB65" s="15"/>
      <c r="AC65" s="14" t="s">
        <v>79</v>
      </c>
      <c r="AD65" s="19" t="s">
        <v>78</v>
      </c>
      <c r="AE65" s="14" t="s">
        <v>79</v>
      </c>
      <c r="AF65" s="19" t="s">
        <v>78</v>
      </c>
      <c r="AG65" s="19" t="s">
        <v>523</v>
      </c>
      <c r="AH65" s="15"/>
      <c r="AI65" s="20" t="n">
        <v>6</v>
      </c>
      <c r="AJ65" s="18" t="n">
        <v>46294</v>
      </c>
      <c r="AK65" s="17" t="s">
        <v>88</v>
      </c>
    </row>
    <row r="66" customFormat="false" ht="42.75" hidden="false" customHeight="true" outlineLevel="0" collapsed="false">
      <c r="A66" s="11" t="n">
        <v>64</v>
      </c>
      <c r="B66" s="11" t="str">
        <f aca="false">IF(I66="Y",IF(COUNTIF(I$3:I66,"Y")&lt;=20,"pilot",IF(COUNTIF(I$3:I66,"Y")&lt;=40,"dev",IF(COUNTIF(I$3:I66,"Y")&lt;=120,"test","extra"))),"")</f>
        <v>test</v>
      </c>
      <c r="C66" s="11" t="str">
        <f aca="false">IF(I66="Y",IF(COUNTA(K66,Q66,W66,AC66,AE66)=5,"done","in progress"),IF(I66="N","excluded",""))</f>
        <v>done</v>
      </c>
      <c r="D66" s="11" t="s">
        <v>535</v>
      </c>
      <c r="E66" s="12" t="s">
        <v>90</v>
      </c>
      <c r="F66" s="13" t="s">
        <v>536</v>
      </c>
      <c r="G66" s="11" t="s">
        <v>125</v>
      </c>
      <c r="H66" s="11"/>
      <c r="I66" s="14" t="s">
        <v>71</v>
      </c>
      <c r="J66" s="14"/>
      <c r="K66" s="14" t="s">
        <v>77</v>
      </c>
      <c r="L66" s="15" t="s">
        <v>537</v>
      </c>
      <c r="M66" s="14"/>
      <c r="N66" s="15"/>
      <c r="O66" s="14"/>
      <c r="P66" s="15"/>
      <c r="Q66" s="14" t="s">
        <v>72</v>
      </c>
      <c r="R66" s="15" t="s">
        <v>538</v>
      </c>
      <c r="S66" s="14"/>
      <c r="T66" s="15"/>
      <c r="U66" s="14"/>
      <c r="V66" s="15"/>
      <c r="W66" s="14" t="s">
        <v>79</v>
      </c>
      <c r="X66" s="15" t="s">
        <v>539</v>
      </c>
      <c r="Y66" s="14"/>
      <c r="Z66" s="15"/>
      <c r="AA66" s="14"/>
      <c r="AB66" s="15"/>
      <c r="AC66" s="14" t="s">
        <v>79</v>
      </c>
      <c r="AD66" s="15" t="s">
        <v>540</v>
      </c>
      <c r="AE66" s="14" t="s">
        <v>84</v>
      </c>
      <c r="AF66" s="15" t="s">
        <v>540</v>
      </c>
      <c r="AG66" s="19" t="s">
        <v>541</v>
      </c>
      <c r="AH66" s="15"/>
      <c r="AI66" s="20" t="n">
        <v>8</v>
      </c>
      <c r="AJ66" s="18" t="n">
        <v>46294</v>
      </c>
      <c r="AK66" s="17" t="s">
        <v>88</v>
      </c>
    </row>
    <row r="67" customFormat="false" ht="42.75" hidden="false" customHeight="true" outlineLevel="0" collapsed="false">
      <c r="A67" s="11" t="n">
        <v>65</v>
      </c>
      <c r="B67" s="11" t="str">
        <f aca="false">IF(I67="Y",IF(COUNTIF(I$3:I67,"Y")&lt;=20,"pilot",IF(COUNTIF(I$3:I67,"Y")&lt;=40,"dev",IF(COUNTIF(I$3:I67,"Y")&lt;=120,"test","extra"))),"")</f>
        <v>test</v>
      </c>
      <c r="C67" s="11" t="str">
        <f aca="false">IF(I67="Y",IF(COUNTA(K67,Q67,W67,AC67,AE67)=5,"done","in progress"),IF(I67="N","excluded",""))</f>
        <v>done</v>
      </c>
      <c r="D67" s="11" t="s">
        <v>542</v>
      </c>
      <c r="E67" s="12" t="s">
        <v>90</v>
      </c>
      <c r="F67" s="13" t="s">
        <v>543</v>
      </c>
      <c r="G67" s="11" t="s">
        <v>544</v>
      </c>
      <c r="H67" s="11"/>
      <c r="I67" s="14" t="s">
        <v>71</v>
      </c>
      <c r="J67" s="14"/>
      <c r="K67" s="14" t="s">
        <v>77</v>
      </c>
      <c r="L67" s="15" t="s">
        <v>545</v>
      </c>
      <c r="M67" s="14"/>
      <c r="N67" s="15"/>
      <c r="O67" s="14"/>
      <c r="P67" s="15"/>
      <c r="Q67" s="14" t="s">
        <v>74</v>
      </c>
      <c r="R67" s="19" t="s">
        <v>546</v>
      </c>
      <c r="S67" s="14"/>
      <c r="T67" s="15"/>
      <c r="U67" s="14"/>
      <c r="V67" s="15"/>
      <c r="W67" s="14" t="s">
        <v>79</v>
      </c>
      <c r="X67" s="19" t="s">
        <v>547</v>
      </c>
      <c r="Y67" s="14"/>
      <c r="Z67" s="15"/>
      <c r="AA67" s="14"/>
      <c r="AB67" s="15"/>
      <c r="AC67" s="14" t="s">
        <v>79</v>
      </c>
      <c r="AD67" s="19" t="s">
        <v>78</v>
      </c>
      <c r="AE67" s="14" t="s">
        <v>84</v>
      </c>
      <c r="AF67" s="15" t="s">
        <v>548</v>
      </c>
      <c r="AG67" s="19" t="s">
        <v>549</v>
      </c>
      <c r="AH67" s="15"/>
      <c r="AI67" s="20" t="n">
        <v>8</v>
      </c>
      <c r="AJ67" s="18" t="n">
        <v>46294</v>
      </c>
      <c r="AK67" s="17" t="s">
        <v>88</v>
      </c>
    </row>
    <row r="68" customFormat="false" ht="42.75" hidden="false" customHeight="true" outlineLevel="0" collapsed="false">
      <c r="A68" s="11" t="n">
        <v>66</v>
      </c>
      <c r="B68" s="11" t="str">
        <f aca="false">IF(I68="Y",IF(COUNTIF(I$3:I68,"Y")&lt;=20,"pilot",IF(COUNTIF(I$3:I68,"Y")&lt;=40,"dev",IF(COUNTIF(I$3:I68,"Y")&lt;=120,"test","extra"))),"")</f>
        <v>test</v>
      </c>
      <c r="C68" s="11" t="str">
        <f aca="false">IF(I68="Y",IF(COUNTA(K68,Q68,W68,AC68,AE68)=5,"done","in progress"),IF(I68="N","excluded",""))</f>
        <v>done</v>
      </c>
      <c r="D68" s="11" t="s">
        <v>550</v>
      </c>
      <c r="E68" s="12" t="s">
        <v>90</v>
      </c>
      <c r="F68" s="13" t="s">
        <v>551</v>
      </c>
      <c r="G68" s="11" t="s">
        <v>552</v>
      </c>
      <c r="H68" s="11"/>
      <c r="I68" s="14" t="s">
        <v>71</v>
      </c>
      <c r="J68" s="14"/>
      <c r="K68" s="14" t="s">
        <v>72</v>
      </c>
      <c r="L68" s="19" t="s">
        <v>553</v>
      </c>
      <c r="M68" s="14"/>
      <c r="N68" s="15"/>
      <c r="O68" s="14"/>
      <c r="P68" s="15"/>
      <c r="Q68" s="14" t="s">
        <v>72</v>
      </c>
      <c r="R68" s="15" t="s">
        <v>554</v>
      </c>
      <c r="S68" s="14"/>
      <c r="T68" s="15"/>
      <c r="U68" s="14"/>
      <c r="V68" s="15"/>
      <c r="W68" s="14" t="s">
        <v>79</v>
      </c>
      <c r="X68" s="15" t="s">
        <v>555</v>
      </c>
      <c r="Y68" s="14"/>
      <c r="Z68" s="15"/>
      <c r="AA68" s="14"/>
      <c r="AB68" s="15"/>
      <c r="AC68" s="14" t="s">
        <v>79</v>
      </c>
      <c r="AD68" s="15" t="s">
        <v>556</v>
      </c>
      <c r="AE68" s="14" t="s">
        <v>101</v>
      </c>
      <c r="AF68" s="15" t="s">
        <v>556</v>
      </c>
      <c r="AG68" s="15"/>
      <c r="AH68" s="15"/>
      <c r="AI68" s="20" t="n">
        <v>6</v>
      </c>
      <c r="AJ68" s="18" t="n">
        <v>46294</v>
      </c>
      <c r="AK68" s="17" t="s">
        <v>88</v>
      </c>
    </row>
    <row r="69" customFormat="false" ht="42.75" hidden="false" customHeight="true" outlineLevel="0" collapsed="false">
      <c r="A69" s="11" t="n">
        <v>67</v>
      </c>
      <c r="B69" s="11" t="str">
        <f aca="false">IF(I69="Y",IF(COUNTIF(I$3:I69,"Y")&lt;=20,"pilot",IF(COUNTIF(I$3:I69,"Y")&lt;=40,"dev",IF(COUNTIF(I$3:I69,"Y")&lt;=120,"test","extra"))),"")</f>
        <v>test</v>
      </c>
      <c r="C69" s="11" t="str">
        <f aca="false">IF(I69="Y",IF(COUNTA(K69,Q69,W69,AC69,AE69)=5,"done","in progress"),IF(I69="N","excluded",""))</f>
        <v>done</v>
      </c>
      <c r="D69" s="11" t="s">
        <v>557</v>
      </c>
      <c r="E69" s="12" t="s">
        <v>90</v>
      </c>
      <c r="F69" s="13" t="s">
        <v>558</v>
      </c>
      <c r="G69" s="11" t="s">
        <v>559</v>
      </c>
      <c r="H69" s="11"/>
      <c r="I69" s="14" t="s">
        <v>71</v>
      </c>
      <c r="J69" s="14"/>
      <c r="K69" s="14" t="s">
        <v>74</v>
      </c>
      <c r="L69" s="15" t="s">
        <v>560</v>
      </c>
      <c r="M69" s="14"/>
      <c r="N69" s="15"/>
      <c r="O69" s="14"/>
      <c r="P69" s="15"/>
      <c r="Q69" s="14" t="s">
        <v>74</v>
      </c>
      <c r="R69" s="15" t="s">
        <v>561</v>
      </c>
      <c r="S69" s="14"/>
      <c r="T69" s="15"/>
      <c r="U69" s="14"/>
      <c r="V69" s="15"/>
      <c r="W69" s="14" t="s">
        <v>82</v>
      </c>
      <c r="X69" s="15" t="s">
        <v>562</v>
      </c>
      <c r="Y69" s="14"/>
      <c r="Z69" s="15"/>
      <c r="AA69" s="14"/>
      <c r="AB69" s="15"/>
      <c r="AC69" s="14" t="s">
        <v>79</v>
      </c>
      <c r="AD69" s="19" t="s">
        <v>78</v>
      </c>
      <c r="AE69" s="14" t="s">
        <v>101</v>
      </c>
      <c r="AF69" s="15" t="s">
        <v>563</v>
      </c>
      <c r="AG69" s="19" t="s">
        <v>564</v>
      </c>
      <c r="AH69" s="15"/>
      <c r="AI69" s="20" t="n">
        <v>5</v>
      </c>
      <c r="AJ69" s="18" t="n">
        <v>46294</v>
      </c>
      <c r="AK69" s="17" t="s">
        <v>88</v>
      </c>
    </row>
    <row r="70" customFormat="false" ht="57" hidden="false" customHeight="true" outlineLevel="0" collapsed="false">
      <c r="A70" s="11" t="n">
        <v>68</v>
      </c>
      <c r="B70" s="11" t="str">
        <f aca="false">IF(I70="Y",IF(COUNTIF(I$3:I70,"Y")&lt;=20,"pilot",IF(COUNTIF(I$3:I70,"Y")&lt;=40,"dev",IF(COUNTIF(I$3:I70,"Y")&lt;=120,"test","extra"))),"")</f>
        <v>test</v>
      </c>
      <c r="C70" s="11" t="str">
        <f aca="false">IF(I70="Y",IF(COUNTA(K70,Q70,W70,AC70,AE70)=5,"done","in progress"),IF(I70="N","excluded",""))</f>
        <v>done</v>
      </c>
      <c r="D70" s="11" t="s">
        <v>565</v>
      </c>
      <c r="E70" s="12" t="s">
        <v>90</v>
      </c>
      <c r="F70" s="13" t="s">
        <v>566</v>
      </c>
      <c r="G70" s="11" t="s">
        <v>410</v>
      </c>
      <c r="H70" s="11"/>
      <c r="I70" s="14" t="s">
        <v>71</v>
      </c>
      <c r="J70" s="14"/>
      <c r="K70" s="14" t="s">
        <v>77</v>
      </c>
      <c r="L70" s="15" t="s">
        <v>567</v>
      </c>
      <c r="M70" s="14"/>
      <c r="N70" s="15"/>
      <c r="O70" s="14"/>
      <c r="P70" s="15"/>
      <c r="Q70" s="14" t="s">
        <v>74</v>
      </c>
      <c r="R70" s="15" t="s">
        <v>568</v>
      </c>
      <c r="S70" s="14"/>
      <c r="T70" s="15"/>
      <c r="U70" s="14"/>
      <c r="V70" s="15"/>
      <c r="W70" s="14" t="s">
        <v>79</v>
      </c>
      <c r="X70" s="15" t="s">
        <v>569</v>
      </c>
      <c r="Y70" s="14"/>
      <c r="Z70" s="15"/>
      <c r="AA70" s="14"/>
      <c r="AB70" s="15"/>
      <c r="AC70" s="14" t="s">
        <v>79</v>
      </c>
      <c r="AD70" s="19" t="s">
        <v>78</v>
      </c>
      <c r="AE70" s="14" t="s">
        <v>84</v>
      </c>
      <c r="AF70" s="15" t="s">
        <v>570</v>
      </c>
      <c r="AG70" s="15"/>
      <c r="AH70" s="15"/>
      <c r="AI70" s="14" t="n">
        <v>6</v>
      </c>
      <c r="AJ70" s="18" t="n">
        <v>46297</v>
      </c>
      <c r="AK70" s="17" t="s">
        <v>88</v>
      </c>
    </row>
    <row r="71" customFormat="false" ht="42.75" hidden="false" customHeight="true" outlineLevel="0" collapsed="false">
      <c r="A71" s="11" t="n">
        <v>69</v>
      </c>
      <c r="B71" s="11" t="str">
        <f aca="false">IF(I71="Y",IF(COUNTIF(I$3:I71,"Y")&lt;=20,"pilot",IF(COUNTIF(I$3:I71,"Y")&lt;=40,"dev",IF(COUNTIF(I$3:I71,"Y")&lt;=120,"test","extra"))),"")</f>
        <v>test</v>
      </c>
      <c r="C71" s="11" t="str">
        <f aca="false">IF(I71="Y",IF(COUNTA(K71,Q71,W71,AC71,AE71)=5,"done","in progress"),IF(I71="N","excluded",""))</f>
        <v>done</v>
      </c>
      <c r="D71" s="11" t="s">
        <v>571</v>
      </c>
      <c r="E71" s="12" t="s">
        <v>90</v>
      </c>
      <c r="F71" s="13" t="s">
        <v>572</v>
      </c>
      <c r="G71" s="11" t="s">
        <v>145</v>
      </c>
      <c r="H71" s="11"/>
      <c r="I71" s="14" t="s">
        <v>71</v>
      </c>
      <c r="J71" s="14"/>
      <c r="K71" s="14" t="s">
        <v>74</v>
      </c>
      <c r="L71" s="15" t="s">
        <v>573</v>
      </c>
      <c r="M71" s="14"/>
      <c r="N71" s="15"/>
      <c r="O71" s="14"/>
      <c r="P71" s="15"/>
      <c r="Q71" s="14" t="s">
        <v>74</v>
      </c>
      <c r="R71" s="15" t="s">
        <v>574</v>
      </c>
      <c r="S71" s="14"/>
      <c r="T71" s="15"/>
      <c r="U71" s="14"/>
      <c r="V71" s="15"/>
      <c r="W71" s="14" t="s">
        <v>79</v>
      </c>
      <c r="X71" s="15" t="s">
        <v>575</v>
      </c>
      <c r="Y71" s="14"/>
      <c r="Z71" s="15"/>
      <c r="AA71" s="14"/>
      <c r="AB71" s="15"/>
      <c r="AC71" s="14" t="s">
        <v>79</v>
      </c>
      <c r="AD71" s="19" t="s">
        <v>78</v>
      </c>
      <c r="AE71" s="14" t="s">
        <v>101</v>
      </c>
      <c r="AF71" s="15" t="s">
        <v>576</v>
      </c>
      <c r="AG71" s="15" t="s">
        <v>577</v>
      </c>
      <c r="AH71" s="15"/>
      <c r="AI71" s="14" t="n">
        <v>5</v>
      </c>
      <c r="AJ71" s="18" t="n">
        <v>46297</v>
      </c>
      <c r="AK71" s="17" t="s">
        <v>88</v>
      </c>
    </row>
    <row r="72" customFormat="false" ht="57" hidden="false" customHeight="true" outlineLevel="0" collapsed="false">
      <c r="A72" s="11" t="n">
        <v>70</v>
      </c>
      <c r="B72" s="11" t="str">
        <f aca="false">IF(I72="Y",IF(COUNTIF(I$3:I72,"Y")&lt;=20,"pilot",IF(COUNTIF(I$3:I72,"Y")&lt;=40,"dev",IF(COUNTIF(I$3:I72,"Y")&lt;=120,"test","extra"))),"")</f>
        <v>test</v>
      </c>
      <c r="C72" s="11" t="str">
        <f aca="false">IF(I72="Y",IF(COUNTA(K72,Q72,W72,AC72,AE72)=5,"done","in progress"),IF(I72="N","excluded",""))</f>
        <v>done</v>
      </c>
      <c r="D72" s="11" t="s">
        <v>578</v>
      </c>
      <c r="E72" s="12" t="s">
        <v>90</v>
      </c>
      <c r="F72" s="13" t="s">
        <v>579</v>
      </c>
      <c r="G72" s="11" t="s">
        <v>580</v>
      </c>
      <c r="H72" s="11"/>
      <c r="I72" s="14" t="s">
        <v>71</v>
      </c>
      <c r="J72" s="14"/>
      <c r="K72" s="14" t="s">
        <v>74</v>
      </c>
      <c r="L72" s="15" t="s">
        <v>581</v>
      </c>
      <c r="M72" s="14"/>
      <c r="N72" s="15"/>
      <c r="O72" s="14"/>
      <c r="P72" s="15"/>
      <c r="Q72" s="14" t="s">
        <v>74</v>
      </c>
      <c r="R72" s="15" t="s">
        <v>582</v>
      </c>
      <c r="S72" s="14"/>
      <c r="T72" s="15"/>
      <c r="U72" s="14"/>
      <c r="V72" s="15"/>
      <c r="W72" s="14" t="s">
        <v>82</v>
      </c>
      <c r="X72" s="15" t="s">
        <v>583</v>
      </c>
      <c r="Y72" s="14"/>
      <c r="Z72" s="15"/>
      <c r="AA72" s="14"/>
      <c r="AB72" s="15"/>
      <c r="AC72" s="14" t="s">
        <v>79</v>
      </c>
      <c r="AD72" s="19" t="s">
        <v>78</v>
      </c>
      <c r="AE72" s="14" t="s">
        <v>101</v>
      </c>
      <c r="AF72" s="15" t="s">
        <v>584</v>
      </c>
      <c r="AG72" s="15"/>
      <c r="AH72" s="15"/>
      <c r="AI72" s="14" t="n">
        <v>5</v>
      </c>
      <c r="AJ72" s="18" t="n">
        <v>46297</v>
      </c>
      <c r="AK72" s="17" t="s">
        <v>88</v>
      </c>
    </row>
    <row r="73" customFormat="false" ht="42.75" hidden="false" customHeight="true" outlineLevel="0" collapsed="false">
      <c r="A73" s="11" t="n">
        <v>71</v>
      </c>
      <c r="B73" s="11" t="str">
        <f aca="false">IF(I73="Y",IF(COUNTIF(I$3:I73,"Y")&lt;=20,"pilot",IF(COUNTIF(I$3:I73,"Y")&lt;=40,"dev",IF(COUNTIF(I$3:I73,"Y")&lt;=120,"test","extra"))),"")</f>
        <v>test</v>
      </c>
      <c r="C73" s="11" t="str">
        <f aca="false">IF(I73="Y",IF(COUNTA(K73,Q73,W73,AC73,AE73)=5,"done","in progress"),IF(I73="N","excluded",""))</f>
        <v>done</v>
      </c>
      <c r="D73" s="11" t="s">
        <v>585</v>
      </c>
      <c r="E73" s="12" t="s">
        <v>90</v>
      </c>
      <c r="F73" s="13" t="s">
        <v>586</v>
      </c>
      <c r="G73" s="11" t="s">
        <v>393</v>
      </c>
      <c r="H73" s="11"/>
      <c r="I73" s="14" t="s">
        <v>71</v>
      </c>
      <c r="J73" s="14"/>
      <c r="K73" s="14" t="s">
        <v>72</v>
      </c>
      <c r="L73" s="15" t="s">
        <v>587</v>
      </c>
      <c r="M73" s="14"/>
      <c r="N73" s="15"/>
      <c r="O73" s="14"/>
      <c r="P73" s="15"/>
      <c r="Q73" s="14" t="s">
        <v>74</v>
      </c>
      <c r="R73" s="15" t="s">
        <v>588</v>
      </c>
      <c r="S73" s="14"/>
      <c r="T73" s="15"/>
      <c r="U73" s="14"/>
      <c r="V73" s="15"/>
      <c r="W73" s="14" t="s">
        <v>82</v>
      </c>
      <c r="X73" s="15" t="s">
        <v>589</v>
      </c>
      <c r="Y73" s="14"/>
      <c r="Z73" s="15"/>
      <c r="AA73" s="14"/>
      <c r="AB73" s="15"/>
      <c r="AC73" s="14" t="s">
        <v>79</v>
      </c>
      <c r="AD73" s="19" t="s">
        <v>78</v>
      </c>
      <c r="AE73" s="14" t="s">
        <v>101</v>
      </c>
      <c r="AF73" s="15" t="s">
        <v>563</v>
      </c>
      <c r="AG73" s="15"/>
      <c r="AH73" s="15"/>
      <c r="AI73" s="20" t="n">
        <v>5</v>
      </c>
      <c r="AJ73" s="18" t="n">
        <v>46297</v>
      </c>
      <c r="AK73" s="17" t="s">
        <v>88</v>
      </c>
    </row>
    <row r="74" customFormat="false" ht="57" hidden="false" customHeight="true" outlineLevel="0" collapsed="false">
      <c r="A74" s="11" t="n">
        <v>72</v>
      </c>
      <c r="B74" s="11" t="str">
        <f aca="false">IF(I74="Y",IF(COUNTIF(I$3:I74,"Y")&lt;=20,"pilot",IF(COUNTIF(I$3:I74,"Y")&lt;=40,"dev",IF(COUNTIF(I$3:I74,"Y")&lt;=120,"test","extra"))),"")</f>
        <v>test</v>
      </c>
      <c r="C74" s="11" t="str">
        <f aca="false">IF(I74="Y",IF(COUNTA(K74,Q74,W74,AC74,AE74)=5,"done","in progress"),IF(I74="N","excluded",""))</f>
        <v>done</v>
      </c>
      <c r="D74" s="11" t="s">
        <v>590</v>
      </c>
      <c r="E74" s="12" t="s">
        <v>90</v>
      </c>
      <c r="F74" s="13" t="s">
        <v>591</v>
      </c>
      <c r="G74" s="11" t="s">
        <v>168</v>
      </c>
      <c r="H74" s="11"/>
      <c r="I74" s="14" t="s">
        <v>71</v>
      </c>
      <c r="J74" s="14"/>
      <c r="K74" s="14" t="s">
        <v>77</v>
      </c>
      <c r="L74" s="15" t="s">
        <v>592</v>
      </c>
      <c r="M74" s="14"/>
      <c r="N74" s="15"/>
      <c r="O74" s="14"/>
      <c r="P74" s="15"/>
      <c r="Q74" s="14" t="s">
        <v>74</v>
      </c>
      <c r="R74" s="15" t="s">
        <v>593</v>
      </c>
      <c r="S74" s="14"/>
      <c r="T74" s="15"/>
      <c r="U74" s="14"/>
      <c r="V74" s="15"/>
      <c r="W74" s="14" t="s">
        <v>79</v>
      </c>
      <c r="X74" s="15" t="s">
        <v>594</v>
      </c>
      <c r="Y74" s="14"/>
      <c r="Z74" s="15"/>
      <c r="AA74" s="14"/>
      <c r="AB74" s="15"/>
      <c r="AC74" s="14" t="s">
        <v>82</v>
      </c>
      <c r="AD74" s="15" t="s">
        <v>595</v>
      </c>
      <c r="AE74" s="14" t="s">
        <v>84</v>
      </c>
      <c r="AF74" s="15" t="s">
        <v>595</v>
      </c>
      <c r="AG74" s="15"/>
      <c r="AH74" s="15"/>
      <c r="AI74" s="20" t="n">
        <v>4</v>
      </c>
      <c r="AJ74" s="18" t="n">
        <v>46297</v>
      </c>
      <c r="AK74" s="17" t="s">
        <v>88</v>
      </c>
    </row>
    <row r="75" customFormat="false" ht="42.75" hidden="false" customHeight="true" outlineLevel="0" collapsed="false">
      <c r="A75" s="11" t="n">
        <v>73</v>
      </c>
      <c r="B75" s="11" t="str">
        <f aca="false">IF(I75="Y",IF(COUNTIF(I$3:I75,"Y")&lt;=20,"pilot",IF(COUNTIF(I$3:I75,"Y")&lt;=40,"dev",IF(COUNTIF(I$3:I75,"Y")&lt;=120,"test","extra"))),"")</f>
        <v>test</v>
      </c>
      <c r="C75" s="11" t="str">
        <f aca="false">IF(I75="Y",IF(COUNTA(K75,Q75,W75,AC75,AE75)=5,"done","in progress"),IF(I75="N","excluded",""))</f>
        <v>done</v>
      </c>
      <c r="D75" s="11" t="s">
        <v>596</v>
      </c>
      <c r="E75" s="12" t="s">
        <v>90</v>
      </c>
      <c r="F75" s="13" t="s">
        <v>597</v>
      </c>
      <c r="G75" s="11" t="s">
        <v>193</v>
      </c>
      <c r="H75" s="11"/>
      <c r="I75" s="14" t="s">
        <v>71</v>
      </c>
      <c r="J75" s="14"/>
      <c r="K75" s="14" t="s">
        <v>72</v>
      </c>
      <c r="L75" s="15" t="s">
        <v>598</v>
      </c>
      <c r="M75" s="14"/>
      <c r="N75" s="15"/>
      <c r="O75" s="14"/>
      <c r="P75" s="15"/>
      <c r="Q75" s="14" t="s">
        <v>77</v>
      </c>
      <c r="R75" s="15" t="s">
        <v>599</v>
      </c>
      <c r="S75" s="14"/>
      <c r="T75" s="15"/>
      <c r="U75" s="14"/>
      <c r="V75" s="15"/>
      <c r="W75" s="14" t="s">
        <v>79</v>
      </c>
      <c r="X75" s="15" t="s">
        <v>600</v>
      </c>
      <c r="Y75" s="14"/>
      <c r="Z75" s="15"/>
      <c r="AA75" s="14"/>
      <c r="AB75" s="15"/>
      <c r="AC75" s="14" t="s">
        <v>79</v>
      </c>
      <c r="AD75" s="19" t="s">
        <v>78</v>
      </c>
      <c r="AE75" s="14" t="s">
        <v>84</v>
      </c>
      <c r="AF75" s="15" t="s">
        <v>601</v>
      </c>
      <c r="AG75" s="15"/>
      <c r="AH75" s="15"/>
      <c r="AI75" s="20" t="n">
        <v>5</v>
      </c>
      <c r="AJ75" s="18" t="n">
        <v>46297</v>
      </c>
      <c r="AK75" s="17" t="s">
        <v>88</v>
      </c>
    </row>
    <row r="76" customFormat="false" ht="42.75" hidden="false" customHeight="true" outlineLevel="0" collapsed="false">
      <c r="A76" s="11" t="n">
        <v>74</v>
      </c>
      <c r="B76" s="11" t="str">
        <f aca="false">IF(I76="Y",IF(COUNTIF(I$3:I76,"Y")&lt;=20,"pilot",IF(COUNTIF(I$3:I76,"Y")&lt;=40,"dev",IF(COUNTIF(I$3:I76,"Y")&lt;=120,"test","extra"))),"")</f>
        <v>test</v>
      </c>
      <c r="C76" s="11" t="str">
        <f aca="false">IF(I76="Y",IF(COUNTA(K76,Q76,W76,AC76,AE76)=5,"done","in progress"),IF(I76="N","excluded",""))</f>
        <v>done</v>
      </c>
      <c r="D76" s="11" t="s">
        <v>602</v>
      </c>
      <c r="E76" s="12" t="s">
        <v>90</v>
      </c>
      <c r="F76" s="13" t="s">
        <v>603</v>
      </c>
      <c r="G76" s="11" t="s">
        <v>604</v>
      </c>
      <c r="H76" s="11"/>
      <c r="I76" s="14" t="s">
        <v>71</v>
      </c>
      <c r="J76" s="14"/>
      <c r="K76" s="14" t="s">
        <v>77</v>
      </c>
      <c r="L76" s="15" t="s">
        <v>605</v>
      </c>
      <c r="M76" s="14"/>
      <c r="N76" s="15"/>
      <c r="O76" s="14"/>
      <c r="P76" s="15"/>
      <c r="Q76" s="14" t="s">
        <v>74</v>
      </c>
      <c r="R76" s="15" t="s">
        <v>606</v>
      </c>
      <c r="S76" s="14"/>
      <c r="T76" s="15"/>
      <c r="U76" s="14"/>
      <c r="V76" s="15"/>
      <c r="W76" s="14" t="s">
        <v>82</v>
      </c>
      <c r="X76" s="15" t="s">
        <v>607</v>
      </c>
      <c r="Y76" s="14"/>
      <c r="Z76" s="15"/>
      <c r="AA76" s="14"/>
      <c r="AB76" s="15"/>
      <c r="AC76" s="14" t="s">
        <v>79</v>
      </c>
      <c r="AD76" s="19" t="s">
        <v>78</v>
      </c>
      <c r="AE76" s="14" t="s">
        <v>101</v>
      </c>
      <c r="AF76" s="15" t="s">
        <v>608</v>
      </c>
      <c r="AG76" s="15"/>
      <c r="AH76" s="15"/>
      <c r="AI76" s="20" t="n">
        <v>7</v>
      </c>
      <c r="AJ76" s="18" t="n">
        <v>46297</v>
      </c>
      <c r="AK76" s="17" t="s">
        <v>88</v>
      </c>
    </row>
    <row r="77" customFormat="false" ht="57" hidden="false" customHeight="true" outlineLevel="0" collapsed="false">
      <c r="A77" s="11" t="n">
        <v>75</v>
      </c>
      <c r="B77" s="11" t="str">
        <f aca="false">IF(I77="Y",IF(COUNTIF(I$3:I77,"Y")&lt;=20,"pilot",IF(COUNTIF(I$3:I77,"Y")&lt;=40,"dev",IF(COUNTIF(I$3:I77,"Y")&lt;=120,"test","extra"))),"")</f>
        <v>test</v>
      </c>
      <c r="C77" s="11" t="str">
        <f aca="false">IF(I77="Y",IF(COUNTA(K77,Q77,W77,AC77,AE77)=5,"done","in progress"),IF(I77="N","excluded",""))</f>
        <v>done</v>
      </c>
      <c r="D77" s="11" t="s">
        <v>609</v>
      </c>
      <c r="E77" s="12" t="s">
        <v>90</v>
      </c>
      <c r="F77" s="13" t="s">
        <v>610</v>
      </c>
      <c r="G77" s="11" t="s">
        <v>306</v>
      </c>
      <c r="H77" s="11"/>
      <c r="I77" s="14" t="s">
        <v>71</v>
      </c>
      <c r="J77" s="14"/>
      <c r="K77" s="14" t="s">
        <v>77</v>
      </c>
      <c r="L77" s="15" t="s">
        <v>611</v>
      </c>
      <c r="M77" s="14"/>
      <c r="N77" s="15"/>
      <c r="O77" s="14"/>
      <c r="P77" s="15"/>
      <c r="Q77" s="14" t="s">
        <v>74</v>
      </c>
      <c r="R77" s="19" t="s">
        <v>612</v>
      </c>
      <c r="S77" s="14"/>
      <c r="T77" s="15"/>
      <c r="U77" s="14"/>
      <c r="V77" s="15"/>
      <c r="W77" s="14" t="s">
        <v>82</v>
      </c>
      <c r="X77" s="15" t="s">
        <v>613</v>
      </c>
      <c r="Y77" s="14"/>
      <c r="Z77" s="15"/>
      <c r="AA77" s="14"/>
      <c r="AB77" s="15"/>
      <c r="AC77" s="14" t="s">
        <v>79</v>
      </c>
      <c r="AD77" s="19" t="s">
        <v>78</v>
      </c>
      <c r="AE77" s="14" t="s">
        <v>79</v>
      </c>
      <c r="AF77" s="15" t="s">
        <v>614</v>
      </c>
      <c r="AG77" s="15" t="s">
        <v>615</v>
      </c>
      <c r="AH77" s="15"/>
      <c r="AI77" s="20" t="n">
        <v>5</v>
      </c>
      <c r="AJ77" s="18" t="n">
        <v>46297</v>
      </c>
      <c r="AK77" s="17" t="s">
        <v>88</v>
      </c>
    </row>
    <row r="78" customFormat="false" ht="42.75" hidden="false" customHeight="true" outlineLevel="0" collapsed="false">
      <c r="A78" s="11" t="n">
        <v>76</v>
      </c>
      <c r="B78" s="11" t="str">
        <f aca="false">IF(I78="Y",IF(COUNTIF(I$3:I78,"Y")&lt;=20,"pilot",IF(COUNTIF(I$3:I78,"Y")&lt;=40,"dev",IF(COUNTIF(I$3:I78,"Y")&lt;=120,"test","extra"))),"")</f>
        <v>test</v>
      </c>
      <c r="C78" s="11" t="str">
        <f aca="false">IF(I78="Y",IF(COUNTA(K78,Q78,W78,AC78,AE78)=5,"done","in progress"),IF(I78="N","excluded",""))</f>
        <v>done</v>
      </c>
      <c r="D78" s="11" t="s">
        <v>616</v>
      </c>
      <c r="E78" s="12" t="s">
        <v>90</v>
      </c>
      <c r="F78" s="13" t="s">
        <v>617</v>
      </c>
      <c r="G78" s="11" t="s">
        <v>322</v>
      </c>
      <c r="H78" s="11"/>
      <c r="I78" s="14" t="s">
        <v>71</v>
      </c>
      <c r="J78" s="14"/>
      <c r="K78" s="14" t="s">
        <v>77</v>
      </c>
      <c r="L78" s="15" t="s">
        <v>618</v>
      </c>
      <c r="M78" s="14"/>
      <c r="N78" s="15"/>
      <c r="O78" s="14"/>
      <c r="P78" s="15"/>
      <c r="Q78" s="14" t="s">
        <v>74</v>
      </c>
      <c r="R78" s="15" t="s">
        <v>619</v>
      </c>
      <c r="S78" s="14"/>
      <c r="T78" s="15"/>
      <c r="U78" s="14"/>
      <c r="V78" s="15"/>
      <c r="W78" s="14" t="s">
        <v>82</v>
      </c>
      <c r="X78" s="15" t="s">
        <v>620</v>
      </c>
      <c r="Y78" s="14"/>
      <c r="Z78" s="15"/>
      <c r="AA78" s="14"/>
      <c r="AB78" s="15"/>
      <c r="AC78" s="14" t="s">
        <v>79</v>
      </c>
      <c r="AD78" s="19" t="s">
        <v>78</v>
      </c>
      <c r="AE78" s="14" t="s">
        <v>84</v>
      </c>
      <c r="AF78" s="15" t="s">
        <v>621</v>
      </c>
      <c r="AG78" s="15"/>
      <c r="AH78" s="15"/>
      <c r="AI78" s="20" t="n">
        <v>4</v>
      </c>
      <c r="AJ78" s="18" t="n">
        <v>46297</v>
      </c>
      <c r="AK78" s="17" t="s">
        <v>88</v>
      </c>
    </row>
    <row r="79" customFormat="false" ht="42.75" hidden="false" customHeight="true" outlineLevel="0" collapsed="false">
      <c r="A79" s="11" t="n">
        <v>77</v>
      </c>
      <c r="B79" s="11" t="str">
        <f aca="false">IF(I79="Y",IF(COUNTIF(I$3:I79,"Y")&lt;=20,"pilot",IF(COUNTIF(I$3:I79,"Y")&lt;=40,"dev",IF(COUNTIF(I$3:I79,"Y")&lt;=120,"test","extra"))),"")</f>
        <v>test</v>
      </c>
      <c r="C79" s="11" t="str">
        <f aca="false">IF(I79="Y",IF(COUNTA(K79,Q79,W79,AC79,AE79)=5,"done","in progress"),IF(I79="N","excluded",""))</f>
        <v>done</v>
      </c>
      <c r="D79" s="11" t="s">
        <v>622</v>
      </c>
      <c r="E79" s="12" t="s">
        <v>90</v>
      </c>
      <c r="F79" s="13" t="s">
        <v>623</v>
      </c>
      <c r="G79" s="11" t="s">
        <v>125</v>
      </c>
      <c r="H79" s="11"/>
      <c r="I79" s="14" t="s">
        <v>71</v>
      </c>
      <c r="J79" s="14"/>
      <c r="K79" s="14" t="s">
        <v>77</v>
      </c>
      <c r="L79" s="15" t="s">
        <v>624</v>
      </c>
      <c r="M79" s="14"/>
      <c r="N79" s="15"/>
      <c r="O79" s="14"/>
      <c r="P79" s="15"/>
      <c r="Q79" s="14" t="s">
        <v>72</v>
      </c>
      <c r="R79" s="15" t="s">
        <v>625</v>
      </c>
      <c r="S79" s="14"/>
      <c r="T79" s="15"/>
      <c r="U79" s="14"/>
      <c r="V79" s="15"/>
      <c r="W79" s="14" t="s">
        <v>79</v>
      </c>
      <c r="X79" s="15" t="s">
        <v>626</v>
      </c>
      <c r="Y79" s="14"/>
      <c r="Z79" s="15"/>
      <c r="AA79" s="14"/>
      <c r="AB79" s="15"/>
      <c r="AC79" s="14" t="s">
        <v>79</v>
      </c>
      <c r="AD79" s="19" t="s">
        <v>78</v>
      </c>
      <c r="AE79" s="14" t="s">
        <v>84</v>
      </c>
      <c r="AF79" s="15" t="s">
        <v>627</v>
      </c>
      <c r="AG79" s="15"/>
      <c r="AH79" s="15"/>
      <c r="AI79" s="20" t="n">
        <v>4</v>
      </c>
      <c r="AJ79" s="18" t="n">
        <v>46297</v>
      </c>
      <c r="AK79" s="17" t="s">
        <v>88</v>
      </c>
    </row>
    <row r="80" customFormat="false" ht="28.5" hidden="false" customHeight="true" outlineLevel="0" collapsed="false">
      <c r="A80" s="11" t="n">
        <v>78</v>
      </c>
      <c r="B80" s="11" t="str">
        <f aca="false">IF(I80="Y",IF(COUNTIF(I$3:I80,"Y")&lt;=20,"pilot",IF(COUNTIF(I$3:I80,"Y")&lt;=40,"dev",IF(COUNTIF(I$3:I80,"Y")&lt;=120,"test","extra"))),"")</f>
        <v>test</v>
      </c>
      <c r="C80" s="11" t="str">
        <f aca="false">IF(I80="Y",IF(COUNTA(K80,Q80,W80,AC80,AE80)=5,"done","in progress"),IF(I80="N","excluded",""))</f>
        <v>done</v>
      </c>
      <c r="D80" s="11" t="s">
        <v>628</v>
      </c>
      <c r="E80" s="12" t="s">
        <v>90</v>
      </c>
      <c r="F80" s="13" t="s">
        <v>629</v>
      </c>
      <c r="G80" s="11" t="s">
        <v>630</v>
      </c>
      <c r="H80" s="11"/>
      <c r="I80" s="14" t="s">
        <v>71</v>
      </c>
      <c r="J80" s="14"/>
      <c r="K80" s="14" t="s">
        <v>72</v>
      </c>
      <c r="L80" s="15" t="s">
        <v>631</v>
      </c>
      <c r="M80" s="14"/>
      <c r="N80" s="15"/>
      <c r="O80" s="14"/>
      <c r="P80" s="15"/>
      <c r="Q80" s="14" t="s">
        <v>72</v>
      </c>
      <c r="R80" s="15" t="s">
        <v>632</v>
      </c>
      <c r="S80" s="14"/>
      <c r="T80" s="15"/>
      <c r="U80" s="14"/>
      <c r="V80" s="15"/>
      <c r="W80" s="14" t="s">
        <v>79</v>
      </c>
      <c r="X80" s="15" t="s">
        <v>633</v>
      </c>
      <c r="Y80" s="14"/>
      <c r="Z80" s="15"/>
      <c r="AA80" s="14"/>
      <c r="AB80" s="15"/>
      <c r="AC80" s="14" t="s">
        <v>79</v>
      </c>
      <c r="AD80" s="19" t="s">
        <v>78</v>
      </c>
      <c r="AE80" s="14" t="s">
        <v>101</v>
      </c>
      <c r="AF80" s="15" t="s">
        <v>634</v>
      </c>
      <c r="AG80" s="15"/>
      <c r="AH80" s="15"/>
      <c r="AI80" s="20" t="n">
        <v>5</v>
      </c>
      <c r="AJ80" s="18" t="n">
        <v>46297</v>
      </c>
      <c r="AK80" s="17" t="s">
        <v>88</v>
      </c>
    </row>
    <row r="81" customFormat="false" ht="42.75" hidden="false" customHeight="true" outlineLevel="0" collapsed="false">
      <c r="A81" s="11" t="n">
        <v>79</v>
      </c>
      <c r="B81" s="11" t="str">
        <f aca="false">IF(I81="Y",IF(COUNTIF(I$3:I81,"Y")&lt;=20,"pilot",IF(COUNTIF(I$3:I81,"Y")&lt;=40,"dev",IF(COUNTIF(I$3:I81,"Y")&lt;=120,"test","extra"))),"")</f>
        <v>test</v>
      </c>
      <c r="C81" s="11" t="str">
        <f aca="false">IF(I81="Y",IF(COUNTA(K81,Q81,W81,AC81,AE81)=5,"done","in progress"),IF(I81="N","excluded",""))</f>
        <v>done</v>
      </c>
      <c r="D81" s="11" t="s">
        <v>635</v>
      </c>
      <c r="E81" s="12" t="s">
        <v>90</v>
      </c>
      <c r="F81" s="13" t="s">
        <v>636</v>
      </c>
      <c r="G81" s="11" t="s">
        <v>637</v>
      </c>
      <c r="H81" s="11"/>
      <c r="I81" s="14" t="s">
        <v>71</v>
      </c>
      <c r="J81" s="14"/>
      <c r="K81" s="14" t="s">
        <v>74</v>
      </c>
      <c r="L81" s="15" t="s">
        <v>638</v>
      </c>
      <c r="M81" s="14"/>
      <c r="N81" s="15"/>
      <c r="O81" s="14"/>
      <c r="P81" s="15"/>
      <c r="Q81" s="14" t="s">
        <v>74</v>
      </c>
      <c r="R81" s="15" t="s">
        <v>639</v>
      </c>
      <c r="S81" s="14"/>
      <c r="T81" s="15"/>
      <c r="U81" s="14"/>
      <c r="V81" s="15"/>
      <c r="W81" s="14" t="s">
        <v>82</v>
      </c>
      <c r="X81" s="15" t="s">
        <v>640</v>
      </c>
      <c r="Y81" s="14"/>
      <c r="Z81" s="15"/>
      <c r="AA81" s="14"/>
      <c r="AB81" s="15"/>
      <c r="AC81" s="14" t="s">
        <v>79</v>
      </c>
      <c r="AD81" s="19" t="s">
        <v>641</v>
      </c>
      <c r="AE81" s="14" t="s">
        <v>101</v>
      </c>
      <c r="AF81" s="15" t="s">
        <v>641</v>
      </c>
      <c r="AG81" s="15"/>
      <c r="AH81" s="15"/>
      <c r="AI81" s="20" t="n">
        <v>6</v>
      </c>
      <c r="AJ81" s="18" t="n">
        <v>46297</v>
      </c>
      <c r="AK81" s="17" t="s">
        <v>88</v>
      </c>
    </row>
    <row r="82" customFormat="false" ht="42.75" hidden="false" customHeight="true" outlineLevel="0" collapsed="false">
      <c r="A82" s="11" t="n">
        <v>80</v>
      </c>
      <c r="B82" s="11" t="str">
        <f aca="false">IF(I82="Y",IF(COUNTIF(I$3:I82,"Y")&lt;=20,"pilot",IF(COUNTIF(I$3:I82,"Y")&lt;=40,"dev",IF(COUNTIF(I$3:I82,"Y")&lt;=120,"test","extra"))),"")</f>
        <v>test</v>
      </c>
      <c r="C82" s="11" t="str">
        <f aca="false">IF(I82="Y",IF(COUNTA(K82,Q82,W82,AC82,AE82)=5,"done","in progress"),IF(I82="N","excluded",""))</f>
        <v>done</v>
      </c>
      <c r="D82" s="11" t="s">
        <v>642</v>
      </c>
      <c r="E82" s="12" t="s">
        <v>90</v>
      </c>
      <c r="F82" s="13" t="s">
        <v>643</v>
      </c>
      <c r="G82" s="11" t="s">
        <v>644</v>
      </c>
      <c r="H82" s="11"/>
      <c r="I82" s="14" t="s">
        <v>71</v>
      </c>
      <c r="J82" s="14"/>
      <c r="K82" s="14" t="s">
        <v>74</v>
      </c>
      <c r="L82" s="15" t="s">
        <v>645</v>
      </c>
      <c r="M82" s="14"/>
      <c r="N82" s="15"/>
      <c r="O82" s="14"/>
      <c r="P82" s="15"/>
      <c r="Q82" s="14" t="s">
        <v>74</v>
      </c>
      <c r="R82" s="15" t="s">
        <v>646</v>
      </c>
      <c r="S82" s="14"/>
      <c r="T82" s="15"/>
      <c r="U82" s="14"/>
      <c r="V82" s="15"/>
      <c r="W82" s="14" t="s">
        <v>82</v>
      </c>
      <c r="X82" s="15" t="s">
        <v>647</v>
      </c>
      <c r="Y82" s="14"/>
      <c r="Z82" s="15"/>
      <c r="AA82" s="14"/>
      <c r="AB82" s="15"/>
      <c r="AC82" s="14" t="s">
        <v>79</v>
      </c>
      <c r="AD82" s="19" t="s">
        <v>78</v>
      </c>
      <c r="AE82" s="14" t="s">
        <v>101</v>
      </c>
      <c r="AF82" s="15" t="s">
        <v>648</v>
      </c>
      <c r="AG82" s="15" t="s">
        <v>577</v>
      </c>
      <c r="AH82" s="15"/>
      <c r="AI82" s="20" t="n">
        <v>6</v>
      </c>
      <c r="AJ82" s="18" t="n">
        <v>46297</v>
      </c>
      <c r="AK82" s="17" t="s">
        <v>88</v>
      </c>
    </row>
    <row r="83" customFormat="false" ht="42.75" hidden="false" customHeight="true" outlineLevel="0" collapsed="false">
      <c r="A83" s="11" t="n">
        <v>81</v>
      </c>
      <c r="B83" s="11" t="str">
        <f aca="false">IF(I83="Y",IF(COUNTIF(I$3:I83,"Y")&lt;=20,"pilot",IF(COUNTIF(I$3:I83,"Y")&lt;=40,"dev",IF(COUNTIF(I$3:I83,"Y")&lt;=120,"test","extra"))),"")</f>
        <v>test</v>
      </c>
      <c r="C83" s="11" t="str">
        <f aca="false">IF(I83="Y",IF(COUNTA(K83,Q83,W83,AC83,AE83)=5,"done","in progress"),IF(I83="N","excluded",""))</f>
        <v>done</v>
      </c>
      <c r="D83" s="11" t="s">
        <v>649</v>
      </c>
      <c r="E83" s="12" t="s">
        <v>90</v>
      </c>
      <c r="F83" s="13" t="s">
        <v>650</v>
      </c>
      <c r="G83" s="11" t="s">
        <v>651</v>
      </c>
      <c r="H83" s="11" t="s">
        <v>366</v>
      </c>
      <c r="I83" s="14" t="s">
        <v>71</v>
      </c>
      <c r="J83" s="14"/>
      <c r="K83" s="14" t="s">
        <v>74</v>
      </c>
      <c r="L83" s="15" t="s">
        <v>652</v>
      </c>
      <c r="M83" s="14"/>
      <c r="N83" s="15"/>
      <c r="O83" s="14"/>
      <c r="P83" s="15"/>
      <c r="Q83" s="14" t="s">
        <v>72</v>
      </c>
      <c r="R83" s="15" t="s">
        <v>653</v>
      </c>
      <c r="S83" s="14"/>
      <c r="T83" s="15"/>
      <c r="U83" s="14"/>
      <c r="V83" s="15"/>
      <c r="W83" s="14" t="s">
        <v>79</v>
      </c>
      <c r="X83" s="19" t="s">
        <v>654</v>
      </c>
      <c r="Y83" s="14"/>
      <c r="Z83" s="15"/>
      <c r="AA83" s="14"/>
      <c r="AB83" s="15"/>
      <c r="AC83" s="14" t="s">
        <v>79</v>
      </c>
      <c r="AD83" s="19" t="s">
        <v>78</v>
      </c>
      <c r="AE83" s="14" t="s">
        <v>101</v>
      </c>
      <c r="AF83" s="15" t="s">
        <v>450</v>
      </c>
      <c r="AG83" s="15"/>
      <c r="AH83" s="15"/>
      <c r="AI83" s="20" t="n">
        <v>4</v>
      </c>
      <c r="AJ83" s="18" t="n">
        <v>46297</v>
      </c>
      <c r="AK83" s="17" t="s">
        <v>88</v>
      </c>
    </row>
    <row r="84" customFormat="false" ht="42.75" hidden="false" customHeight="true" outlineLevel="0" collapsed="false">
      <c r="A84" s="11" t="n">
        <v>82</v>
      </c>
      <c r="B84" s="11" t="str">
        <f aca="false">IF(I84="Y",IF(COUNTIF(I$3:I84,"Y")&lt;=20,"pilot",IF(COUNTIF(I$3:I84,"Y")&lt;=40,"dev",IF(COUNTIF(I$3:I84,"Y")&lt;=120,"test","extra"))),"")</f>
        <v>test</v>
      </c>
      <c r="C84" s="11" t="str">
        <f aca="false">IF(I84="Y",IF(COUNTA(K84,Q84,W84,AC84,AE84)=5,"done","in progress"),IF(I84="N","excluded",""))</f>
        <v>done</v>
      </c>
      <c r="D84" s="11" t="s">
        <v>655</v>
      </c>
      <c r="E84" s="12" t="s">
        <v>90</v>
      </c>
      <c r="F84" s="13" t="s">
        <v>656</v>
      </c>
      <c r="G84" s="11" t="s">
        <v>168</v>
      </c>
      <c r="H84" s="11"/>
      <c r="I84" s="14" t="s">
        <v>71</v>
      </c>
      <c r="J84" s="14"/>
      <c r="K84" s="14" t="s">
        <v>74</v>
      </c>
      <c r="L84" s="15" t="s">
        <v>657</v>
      </c>
      <c r="M84" s="14"/>
      <c r="N84" s="15"/>
      <c r="O84" s="14"/>
      <c r="P84" s="15"/>
      <c r="Q84" s="14" t="s">
        <v>74</v>
      </c>
      <c r="R84" s="15" t="s">
        <v>658</v>
      </c>
      <c r="S84" s="14"/>
      <c r="T84" s="15"/>
      <c r="U84" s="14"/>
      <c r="V84" s="15"/>
      <c r="W84" s="14" t="s">
        <v>79</v>
      </c>
      <c r="X84" s="15" t="s">
        <v>659</v>
      </c>
      <c r="Y84" s="14"/>
      <c r="Z84" s="15"/>
      <c r="AA84" s="14"/>
      <c r="AB84" s="15"/>
      <c r="AC84" s="14" t="s">
        <v>79</v>
      </c>
      <c r="AD84" s="19" t="s">
        <v>78</v>
      </c>
      <c r="AE84" s="14" t="s">
        <v>84</v>
      </c>
      <c r="AF84" s="15" t="s">
        <v>660</v>
      </c>
      <c r="AG84" s="15"/>
      <c r="AH84" s="15"/>
      <c r="AI84" s="20" t="n">
        <v>5</v>
      </c>
      <c r="AJ84" s="18" t="n">
        <v>46297</v>
      </c>
      <c r="AK84" s="17" t="s">
        <v>88</v>
      </c>
    </row>
    <row r="85" customFormat="false" ht="57" hidden="false" customHeight="true" outlineLevel="0" collapsed="false">
      <c r="A85" s="11" t="n">
        <v>83</v>
      </c>
      <c r="B85" s="11" t="str">
        <f aca="false">IF(I85="Y",IF(COUNTIF(I$3:I85,"Y")&lt;=20,"pilot",IF(COUNTIF(I$3:I85,"Y")&lt;=40,"dev",IF(COUNTIF(I$3:I85,"Y")&lt;=120,"test","extra"))),"")</f>
        <v>test</v>
      </c>
      <c r="C85" s="11" t="str">
        <f aca="false">IF(I85="Y",IF(COUNTA(K85,Q85,W85,AC85,AE85)=5,"done","in progress"),IF(I85="N","excluded",""))</f>
        <v>done</v>
      </c>
      <c r="D85" s="11" t="s">
        <v>661</v>
      </c>
      <c r="E85" s="12" t="s">
        <v>90</v>
      </c>
      <c r="F85" s="13" t="s">
        <v>662</v>
      </c>
      <c r="G85" s="11" t="s">
        <v>92</v>
      </c>
      <c r="H85" s="11"/>
      <c r="I85" s="14" t="s">
        <v>71</v>
      </c>
      <c r="J85" s="14"/>
      <c r="K85" s="14" t="s">
        <v>77</v>
      </c>
      <c r="L85" s="15" t="s">
        <v>663</v>
      </c>
      <c r="M85" s="14"/>
      <c r="N85" s="15"/>
      <c r="O85" s="14"/>
      <c r="P85" s="15"/>
      <c r="Q85" s="14" t="s">
        <v>74</v>
      </c>
      <c r="R85" s="15" t="s">
        <v>664</v>
      </c>
      <c r="S85" s="14"/>
      <c r="T85" s="15"/>
      <c r="U85" s="14"/>
      <c r="V85" s="15"/>
      <c r="W85" s="14" t="s">
        <v>79</v>
      </c>
      <c r="X85" s="15" t="s">
        <v>665</v>
      </c>
      <c r="Y85" s="14"/>
      <c r="Z85" s="15"/>
      <c r="AA85" s="14"/>
      <c r="AB85" s="15"/>
      <c r="AC85" s="14" t="s">
        <v>79</v>
      </c>
      <c r="AD85" s="19" t="s">
        <v>78</v>
      </c>
      <c r="AE85" s="14" t="s">
        <v>101</v>
      </c>
      <c r="AF85" s="15" t="s">
        <v>504</v>
      </c>
      <c r="AG85" s="15"/>
      <c r="AH85" s="15"/>
      <c r="AI85" s="20" t="n">
        <v>5</v>
      </c>
      <c r="AJ85" s="18" t="n">
        <v>46297</v>
      </c>
      <c r="AK85" s="17" t="s">
        <v>88</v>
      </c>
    </row>
    <row r="86" customFormat="false" ht="28.5" hidden="false" customHeight="true" outlineLevel="0" collapsed="false">
      <c r="A86" s="11" t="n">
        <v>84</v>
      </c>
      <c r="B86" s="11" t="str">
        <f aca="false">IF(I86="Y",IF(COUNTIF(I$3:I86,"Y")&lt;=20,"pilot",IF(COUNTIF(I$3:I86,"Y")&lt;=40,"dev",IF(COUNTIF(I$3:I86,"Y")&lt;=120,"test","extra"))),"")</f>
        <v>test</v>
      </c>
      <c r="C86" s="11" t="str">
        <f aca="false">IF(I86="Y",IF(COUNTA(K86,Q86,W86,AC86,AE86)=5,"done","in progress"),IF(I86="N","excluded",""))</f>
        <v>done</v>
      </c>
      <c r="D86" s="11" t="s">
        <v>666</v>
      </c>
      <c r="E86" s="12" t="s">
        <v>90</v>
      </c>
      <c r="F86" s="13" t="s">
        <v>667</v>
      </c>
      <c r="G86" s="11" t="s">
        <v>193</v>
      </c>
      <c r="H86" s="11"/>
      <c r="I86" s="14" t="s">
        <v>71</v>
      </c>
      <c r="J86" s="14"/>
      <c r="K86" s="14" t="s">
        <v>74</v>
      </c>
      <c r="L86" s="15" t="s">
        <v>668</v>
      </c>
      <c r="M86" s="14"/>
      <c r="N86" s="15"/>
      <c r="O86" s="14"/>
      <c r="P86" s="15"/>
      <c r="Q86" s="14" t="s">
        <v>72</v>
      </c>
      <c r="R86" s="15" t="s">
        <v>669</v>
      </c>
      <c r="S86" s="14"/>
      <c r="T86" s="15"/>
      <c r="U86" s="14"/>
      <c r="V86" s="15"/>
      <c r="W86" s="14" t="s">
        <v>79</v>
      </c>
      <c r="X86" s="15" t="s">
        <v>670</v>
      </c>
      <c r="Y86" s="14"/>
      <c r="Z86" s="15"/>
      <c r="AA86" s="14"/>
      <c r="AB86" s="15"/>
      <c r="AC86" s="14" t="s">
        <v>79</v>
      </c>
      <c r="AD86" s="19" t="s">
        <v>78</v>
      </c>
      <c r="AE86" s="14" t="s">
        <v>101</v>
      </c>
      <c r="AF86" s="15" t="s">
        <v>671</v>
      </c>
      <c r="AG86" s="15"/>
      <c r="AH86" s="15"/>
      <c r="AI86" s="20" t="n">
        <v>4</v>
      </c>
      <c r="AJ86" s="18" t="n">
        <v>46297</v>
      </c>
      <c r="AK86" s="17" t="s">
        <v>88</v>
      </c>
    </row>
    <row r="87" customFormat="false" ht="57" hidden="false" customHeight="true" outlineLevel="0" collapsed="false">
      <c r="A87" s="11" t="n">
        <v>85</v>
      </c>
      <c r="B87" s="11" t="str">
        <f aca="false">IF(I87="Y",IF(COUNTIF(I$3:I87,"Y")&lt;=20,"pilot",IF(COUNTIF(I$3:I87,"Y")&lt;=40,"dev",IF(COUNTIF(I$3:I87,"Y")&lt;=120,"test","extra"))),"")</f>
        <v>test</v>
      </c>
      <c r="C87" s="11" t="str">
        <f aca="false">IF(I87="Y",IF(COUNTA(K87,Q87,W87,AC87,AE87)=5,"done","in progress"),IF(I87="N","excluded",""))</f>
        <v>done</v>
      </c>
      <c r="D87" s="11" t="s">
        <v>672</v>
      </c>
      <c r="E87" s="12" t="s">
        <v>90</v>
      </c>
      <c r="F87" s="13" t="s">
        <v>673</v>
      </c>
      <c r="G87" s="11" t="s">
        <v>674</v>
      </c>
      <c r="H87" s="11"/>
      <c r="I87" s="14" t="s">
        <v>71</v>
      </c>
      <c r="J87" s="14"/>
      <c r="K87" s="14" t="s">
        <v>72</v>
      </c>
      <c r="L87" s="19" t="s">
        <v>675</v>
      </c>
      <c r="M87" s="14"/>
      <c r="N87" s="15"/>
      <c r="O87" s="14"/>
      <c r="P87" s="15"/>
      <c r="Q87" s="14" t="s">
        <v>74</v>
      </c>
      <c r="R87" s="15" t="s">
        <v>676</v>
      </c>
      <c r="S87" s="14"/>
      <c r="T87" s="15"/>
      <c r="U87" s="14"/>
      <c r="V87" s="15"/>
      <c r="W87" s="14" t="s">
        <v>79</v>
      </c>
      <c r="X87" s="15" t="s">
        <v>677</v>
      </c>
      <c r="Y87" s="14"/>
      <c r="Z87" s="15"/>
      <c r="AA87" s="14"/>
      <c r="AB87" s="15"/>
      <c r="AC87" s="14" t="s">
        <v>79</v>
      </c>
      <c r="AD87" s="19" t="s">
        <v>78</v>
      </c>
      <c r="AE87" s="14" t="s">
        <v>101</v>
      </c>
      <c r="AF87" s="15" t="s">
        <v>678</v>
      </c>
      <c r="AG87" s="15"/>
      <c r="AH87" s="15"/>
      <c r="AI87" s="20" t="n">
        <v>4</v>
      </c>
      <c r="AJ87" s="18" t="n">
        <v>46297</v>
      </c>
      <c r="AK87" s="17" t="s">
        <v>88</v>
      </c>
    </row>
    <row r="88" customFormat="false" ht="42.75" hidden="false" customHeight="true" outlineLevel="0" collapsed="false">
      <c r="A88" s="11" t="n">
        <v>86</v>
      </c>
      <c r="B88" s="11" t="str">
        <f aca="false">IF(I88="Y",IF(COUNTIF(I$3:I88,"Y")&lt;=20,"pilot",IF(COUNTIF(I$3:I88,"Y")&lt;=40,"dev",IF(COUNTIF(I$3:I88,"Y")&lt;=120,"test","extra"))),"")</f>
        <v>test</v>
      </c>
      <c r="C88" s="11" t="str">
        <f aca="false">IF(I88="Y",IF(COUNTA(K88,Q88,W88,AC88,AE88)=5,"done","in progress"),IF(I88="N","excluded",""))</f>
        <v>done</v>
      </c>
      <c r="D88" s="11" t="s">
        <v>679</v>
      </c>
      <c r="E88" s="12" t="s">
        <v>90</v>
      </c>
      <c r="F88" s="13" t="s">
        <v>680</v>
      </c>
      <c r="G88" s="11" t="s">
        <v>681</v>
      </c>
      <c r="H88" s="11"/>
      <c r="I88" s="14" t="s">
        <v>71</v>
      </c>
      <c r="J88" s="14"/>
      <c r="K88" s="14" t="s">
        <v>74</v>
      </c>
      <c r="L88" s="15" t="s">
        <v>682</v>
      </c>
      <c r="M88" s="14"/>
      <c r="N88" s="15"/>
      <c r="O88" s="14"/>
      <c r="P88" s="15"/>
      <c r="Q88" s="14" t="s">
        <v>77</v>
      </c>
      <c r="R88" s="15" t="s">
        <v>682</v>
      </c>
      <c r="S88" s="14"/>
      <c r="T88" s="15"/>
      <c r="U88" s="14"/>
      <c r="V88" s="15"/>
      <c r="W88" s="14" t="s">
        <v>82</v>
      </c>
      <c r="X88" s="15" t="s">
        <v>683</v>
      </c>
      <c r="Y88" s="14"/>
      <c r="Z88" s="15"/>
      <c r="AA88" s="14"/>
      <c r="AB88" s="15"/>
      <c r="AC88" s="14" t="s">
        <v>79</v>
      </c>
      <c r="AD88" s="15" t="s">
        <v>78</v>
      </c>
      <c r="AE88" s="14" t="s">
        <v>84</v>
      </c>
      <c r="AF88" s="15" t="s">
        <v>684</v>
      </c>
      <c r="AG88" s="15" t="s">
        <v>577</v>
      </c>
      <c r="AH88" s="15"/>
      <c r="AI88" s="20" t="n">
        <v>4</v>
      </c>
      <c r="AJ88" s="18" t="n">
        <v>46297</v>
      </c>
      <c r="AK88" s="17" t="s">
        <v>88</v>
      </c>
    </row>
    <row r="89" customFormat="false" ht="57" hidden="false" customHeight="true" outlineLevel="0" collapsed="false">
      <c r="A89" s="11" t="n">
        <v>87</v>
      </c>
      <c r="B89" s="11" t="str">
        <f aca="false">IF(I89="Y",IF(COUNTIF(I$3:I89,"Y")&lt;=20,"pilot",IF(COUNTIF(I$3:I89,"Y")&lt;=40,"dev",IF(COUNTIF(I$3:I89,"Y")&lt;=120,"test","extra"))),"")</f>
        <v>test</v>
      </c>
      <c r="C89" s="11" t="str">
        <f aca="false">IF(I89="Y",IF(COUNTA(K89,Q89,W89,AC89,AE89)=5,"done","in progress"),IF(I89="N","excluded",""))</f>
        <v>done</v>
      </c>
      <c r="D89" s="11" t="s">
        <v>685</v>
      </c>
      <c r="E89" s="12" t="s">
        <v>90</v>
      </c>
      <c r="F89" s="13" t="s">
        <v>686</v>
      </c>
      <c r="G89" s="11" t="s">
        <v>118</v>
      </c>
      <c r="H89" s="11"/>
      <c r="I89" s="14" t="s">
        <v>71</v>
      </c>
      <c r="J89" s="14"/>
      <c r="K89" s="14" t="s">
        <v>74</v>
      </c>
      <c r="L89" s="15" t="s">
        <v>687</v>
      </c>
      <c r="M89" s="14"/>
      <c r="N89" s="15"/>
      <c r="O89" s="14"/>
      <c r="P89" s="15"/>
      <c r="Q89" s="14" t="s">
        <v>72</v>
      </c>
      <c r="R89" s="15" t="s">
        <v>688</v>
      </c>
      <c r="S89" s="14"/>
      <c r="T89" s="15"/>
      <c r="U89" s="14"/>
      <c r="V89" s="15"/>
      <c r="W89" s="14" t="s">
        <v>82</v>
      </c>
      <c r="X89" s="15" t="s">
        <v>689</v>
      </c>
      <c r="Y89" s="14"/>
      <c r="Z89" s="15"/>
      <c r="AA89" s="14"/>
      <c r="AB89" s="15"/>
      <c r="AC89" s="14" t="s">
        <v>79</v>
      </c>
      <c r="AD89" s="19" t="s">
        <v>78</v>
      </c>
      <c r="AE89" s="14" t="s">
        <v>101</v>
      </c>
      <c r="AF89" s="15" t="s">
        <v>121</v>
      </c>
      <c r="AG89" s="15"/>
      <c r="AH89" s="15"/>
      <c r="AI89" s="14" t="n">
        <v>4</v>
      </c>
      <c r="AJ89" s="18" t="n">
        <v>46297</v>
      </c>
      <c r="AK89" s="17" t="s">
        <v>88</v>
      </c>
    </row>
    <row r="90" customFormat="false" ht="42.75" hidden="false" customHeight="true" outlineLevel="0" collapsed="false">
      <c r="A90" s="11" t="n">
        <v>88</v>
      </c>
      <c r="B90" s="11" t="str">
        <f aca="false">IF(I90="Y",IF(COUNTIF(I$3:I90,"Y")&lt;=20,"pilot",IF(COUNTIF(I$3:I90,"Y")&lt;=40,"dev",IF(COUNTIF(I$3:I90,"Y")&lt;=120,"test","extra"))),"")</f>
        <v>test</v>
      </c>
      <c r="C90" s="11" t="str">
        <f aca="false">IF(I90="Y",IF(COUNTA(K90,Q90,W90,AC90,AE90)=5,"done","in progress"),IF(I90="N","excluded",""))</f>
        <v>done</v>
      </c>
      <c r="D90" s="11" t="s">
        <v>690</v>
      </c>
      <c r="E90" s="12" t="s">
        <v>90</v>
      </c>
      <c r="F90" s="13" t="s">
        <v>691</v>
      </c>
      <c r="G90" s="11" t="s">
        <v>251</v>
      </c>
      <c r="H90" s="11"/>
      <c r="I90" s="14" t="s">
        <v>71</v>
      </c>
      <c r="J90" s="14"/>
      <c r="K90" s="14" t="s">
        <v>74</v>
      </c>
      <c r="L90" s="15" t="s">
        <v>692</v>
      </c>
      <c r="M90" s="14"/>
      <c r="N90" s="15"/>
      <c r="O90" s="14"/>
      <c r="P90" s="15"/>
      <c r="Q90" s="14" t="s">
        <v>74</v>
      </c>
      <c r="R90" s="15" t="s">
        <v>693</v>
      </c>
      <c r="S90" s="14"/>
      <c r="T90" s="15"/>
      <c r="U90" s="14"/>
      <c r="V90" s="15"/>
      <c r="W90" s="14" t="s">
        <v>82</v>
      </c>
      <c r="X90" s="15" t="s">
        <v>694</v>
      </c>
      <c r="Y90" s="14"/>
      <c r="Z90" s="15"/>
      <c r="AA90" s="14"/>
      <c r="AB90" s="15"/>
      <c r="AC90" s="14" t="s">
        <v>79</v>
      </c>
      <c r="AD90" s="19" t="s">
        <v>78</v>
      </c>
      <c r="AE90" s="14" t="s">
        <v>79</v>
      </c>
      <c r="AF90" s="15" t="s">
        <v>695</v>
      </c>
      <c r="AG90" s="15" t="s">
        <v>696</v>
      </c>
      <c r="AH90" s="15"/>
      <c r="AI90" s="14" t="n">
        <v>4</v>
      </c>
      <c r="AJ90" s="18" t="n">
        <v>46299</v>
      </c>
      <c r="AK90" s="17" t="s">
        <v>88</v>
      </c>
    </row>
    <row r="91" customFormat="false" ht="57" hidden="false" customHeight="true" outlineLevel="0" collapsed="false">
      <c r="A91" s="11" t="n">
        <v>89</v>
      </c>
      <c r="B91" s="11" t="str">
        <f aca="false">IF(I91="Y",IF(COUNTIF(I$3:I91,"Y")&lt;=20,"pilot",IF(COUNTIF(I$3:I91,"Y")&lt;=40,"dev",IF(COUNTIF(I$3:I91,"Y")&lt;=120,"test","extra"))),"")</f>
        <v>test</v>
      </c>
      <c r="C91" s="11" t="str">
        <f aca="false">IF(I91="Y",IF(COUNTA(K91,Q91,W91,AC91,AE91)=5,"done","in progress"),IF(I91="N","excluded",""))</f>
        <v>done</v>
      </c>
      <c r="D91" s="11" t="s">
        <v>697</v>
      </c>
      <c r="E91" s="12" t="s">
        <v>90</v>
      </c>
      <c r="F91" s="13" t="s">
        <v>698</v>
      </c>
      <c r="G91" s="11" t="s">
        <v>145</v>
      </c>
      <c r="H91" s="11" t="s">
        <v>366</v>
      </c>
      <c r="I91" s="14" t="s">
        <v>71</v>
      </c>
      <c r="J91" s="14"/>
      <c r="K91" s="14" t="s">
        <v>72</v>
      </c>
      <c r="L91" s="15" t="s">
        <v>699</v>
      </c>
      <c r="M91" s="14"/>
      <c r="N91" s="15"/>
      <c r="O91" s="14"/>
      <c r="P91" s="15"/>
      <c r="Q91" s="14" t="s">
        <v>72</v>
      </c>
      <c r="R91" s="15" t="s">
        <v>700</v>
      </c>
      <c r="S91" s="14"/>
      <c r="T91" s="15"/>
      <c r="U91" s="14"/>
      <c r="V91" s="15"/>
      <c r="W91" s="14" t="s">
        <v>79</v>
      </c>
      <c r="X91" s="15" t="s">
        <v>701</v>
      </c>
      <c r="Y91" s="14"/>
      <c r="Z91" s="15"/>
      <c r="AA91" s="14"/>
      <c r="AB91" s="15"/>
      <c r="AC91" s="14" t="s">
        <v>79</v>
      </c>
      <c r="AD91" s="19" t="s">
        <v>78</v>
      </c>
      <c r="AE91" s="14" t="s">
        <v>84</v>
      </c>
      <c r="AF91" s="15" t="s">
        <v>702</v>
      </c>
      <c r="AG91" s="15"/>
      <c r="AH91" s="15"/>
      <c r="AI91" s="20" t="n">
        <v>6</v>
      </c>
      <c r="AJ91" s="18" t="n">
        <v>46299</v>
      </c>
      <c r="AK91" s="17" t="s">
        <v>88</v>
      </c>
    </row>
    <row r="92" customFormat="false" ht="42.75" hidden="false" customHeight="true" outlineLevel="0" collapsed="false">
      <c r="A92" s="11" t="n">
        <v>90</v>
      </c>
      <c r="B92" s="11" t="str">
        <f aca="false">IF(I92="Y",IF(COUNTIF(I$3:I92,"Y")&lt;=20,"pilot",IF(COUNTIF(I$3:I92,"Y")&lt;=40,"dev",IF(COUNTIF(I$3:I92,"Y")&lt;=120,"test","extra"))),"")</f>
        <v>test</v>
      </c>
      <c r="C92" s="11" t="str">
        <f aca="false">IF(I92="Y",IF(COUNTA(K92,Q92,W92,AC92,AE92)=5,"done","in progress"),IF(I92="N","excluded",""))</f>
        <v>done</v>
      </c>
      <c r="D92" s="11" t="s">
        <v>703</v>
      </c>
      <c r="E92" s="12" t="s">
        <v>90</v>
      </c>
      <c r="F92" s="13" t="s">
        <v>704</v>
      </c>
      <c r="G92" s="11" t="s">
        <v>705</v>
      </c>
      <c r="H92" s="11"/>
      <c r="I92" s="14" t="s">
        <v>71</v>
      </c>
      <c r="J92" s="14"/>
      <c r="K92" s="14" t="s">
        <v>74</v>
      </c>
      <c r="L92" s="15" t="s">
        <v>706</v>
      </c>
      <c r="M92" s="14"/>
      <c r="N92" s="15"/>
      <c r="O92" s="14"/>
      <c r="P92" s="15"/>
      <c r="Q92" s="14" t="s">
        <v>77</v>
      </c>
      <c r="R92" s="15" t="s">
        <v>707</v>
      </c>
      <c r="S92" s="14"/>
      <c r="T92" s="15"/>
      <c r="U92" s="14"/>
      <c r="V92" s="15"/>
      <c r="W92" s="14" t="s">
        <v>82</v>
      </c>
      <c r="X92" s="15" t="s">
        <v>708</v>
      </c>
      <c r="Y92" s="14"/>
      <c r="Z92" s="15"/>
      <c r="AA92" s="14"/>
      <c r="AB92" s="15"/>
      <c r="AC92" s="14" t="s">
        <v>79</v>
      </c>
      <c r="AD92" s="19" t="s">
        <v>78</v>
      </c>
      <c r="AE92" s="14" t="s">
        <v>79</v>
      </c>
      <c r="AF92" s="15" t="s">
        <v>709</v>
      </c>
      <c r="AG92" s="15" t="s">
        <v>696</v>
      </c>
      <c r="AH92" s="15"/>
      <c r="AI92" s="20" t="n">
        <v>3</v>
      </c>
      <c r="AJ92" s="18" t="n">
        <v>46299</v>
      </c>
      <c r="AK92" s="17" t="s">
        <v>88</v>
      </c>
    </row>
    <row r="93" customFormat="false" ht="42.75" hidden="false" customHeight="true" outlineLevel="0" collapsed="false">
      <c r="A93" s="11" t="n">
        <v>91</v>
      </c>
      <c r="B93" s="11" t="str">
        <f aca="false">IF(I93="Y",IF(COUNTIF(I$3:I93,"Y")&lt;=20,"pilot",IF(COUNTIF(I$3:I93,"Y")&lt;=40,"dev",IF(COUNTIF(I$3:I93,"Y")&lt;=120,"test","extra"))),"")</f>
        <v>test</v>
      </c>
      <c r="C93" s="11" t="str">
        <f aca="false">IF(I93="Y",IF(COUNTA(K93,Q93,W93,AC93,AE93)=5,"done","in progress"),IF(I93="N","excluded",""))</f>
        <v>done</v>
      </c>
      <c r="D93" s="11" t="s">
        <v>710</v>
      </c>
      <c r="E93" s="12" t="s">
        <v>90</v>
      </c>
      <c r="F93" s="13" t="s">
        <v>711</v>
      </c>
      <c r="G93" s="11" t="s">
        <v>168</v>
      </c>
      <c r="H93" s="11"/>
      <c r="I93" s="14" t="s">
        <v>71</v>
      </c>
      <c r="J93" s="14"/>
      <c r="K93" s="14" t="s">
        <v>72</v>
      </c>
      <c r="L93" s="15" t="s">
        <v>712</v>
      </c>
      <c r="M93" s="14"/>
      <c r="N93" s="15"/>
      <c r="O93" s="14"/>
      <c r="P93" s="15"/>
      <c r="Q93" s="14" t="s">
        <v>72</v>
      </c>
      <c r="R93" s="15" t="s">
        <v>713</v>
      </c>
      <c r="S93" s="14"/>
      <c r="T93" s="15"/>
      <c r="U93" s="14"/>
      <c r="V93" s="15"/>
      <c r="W93" s="14" t="s">
        <v>82</v>
      </c>
      <c r="X93" s="15" t="s">
        <v>714</v>
      </c>
      <c r="Y93" s="14"/>
      <c r="Z93" s="15"/>
      <c r="AA93" s="14"/>
      <c r="AB93" s="15"/>
      <c r="AC93" s="14" t="s">
        <v>79</v>
      </c>
      <c r="AD93" s="19" t="s">
        <v>78</v>
      </c>
      <c r="AE93" s="14" t="s">
        <v>84</v>
      </c>
      <c r="AF93" s="15" t="s">
        <v>715</v>
      </c>
      <c r="AG93" s="15"/>
      <c r="AH93" s="15"/>
      <c r="AI93" s="20" t="n">
        <v>4</v>
      </c>
      <c r="AJ93" s="18" t="n">
        <v>46299</v>
      </c>
      <c r="AK93" s="17" t="s">
        <v>88</v>
      </c>
    </row>
    <row r="94" customFormat="false" ht="57" hidden="false" customHeight="true" outlineLevel="0" collapsed="false">
      <c r="A94" s="11" t="n">
        <v>92</v>
      </c>
      <c r="B94" s="11" t="str">
        <f aca="false">IF(I94="Y",IF(COUNTIF(I$3:I94,"Y")&lt;=20,"pilot",IF(COUNTIF(I$3:I94,"Y")&lt;=40,"dev",IF(COUNTIF(I$3:I94,"Y")&lt;=120,"test","extra"))),"")</f>
        <v>test</v>
      </c>
      <c r="C94" s="11" t="str">
        <f aca="false">IF(I94="Y",IF(COUNTA(K94,Q94,W94,AC94,AE94)=5,"done","in progress"),IF(I94="N","excluded",""))</f>
        <v>done</v>
      </c>
      <c r="D94" s="11" t="s">
        <v>716</v>
      </c>
      <c r="E94" s="12" t="s">
        <v>90</v>
      </c>
      <c r="F94" s="13" t="s">
        <v>717</v>
      </c>
      <c r="G94" s="11" t="s">
        <v>494</v>
      </c>
      <c r="H94" s="11"/>
      <c r="I94" s="14" t="s">
        <v>71</v>
      </c>
      <c r="J94" s="20"/>
      <c r="K94" s="14" t="s">
        <v>74</v>
      </c>
      <c r="L94" s="15" t="s">
        <v>718</v>
      </c>
      <c r="M94" s="14"/>
      <c r="N94" s="15"/>
      <c r="O94" s="14"/>
      <c r="P94" s="15"/>
      <c r="Q94" s="14" t="s">
        <v>74</v>
      </c>
      <c r="R94" s="15" t="s">
        <v>718</v>
      </c>
      <c r="S94" s="14"/>
      <c r="T94" s="15"/>
      <c r="U94" s="14"/>
      <c r="V94" s="15"/>
      <c r="W94" s="14" t="s">
        <v>79</v>
      </c>
      <c r="X94" s="15" t="s">
        <v>719</v>
      </c>
      <c r="Y94" s="14"/>
      <c r="Z94" s="15"/>
      <c r="AA94" s="14"/>
      <c r="AB94" s="15"/>
      <c r="AC94" s="14" t="s">
        <v>82</v>
      </c>
      <c r="AD94" s="15" t="s">
        <v>720</v>
      </c>
      <c r="AE94" s="14" t="s">
        <v>101</v>
      </c>
      <c r="AF94" s="15" t="s">
        <v>721</v>
      </c>
      <c r="AG94" s="15"/>
      <c r="AH94" s="15"/>
      <c r="AI94" s="20" t="n">
        <v>4</v>
      </c>
      <c r="AJ94" s="18" t="n">
        <v>46299</v>
      </c>
      <c r="AK94" s="17" t="s">
        <v>88</v>
      </c>
    </row>
    <row r="95" customFormat="false" ht="57" hidden="false" customHeight="true" outlineLevel="0" collapsed="false">
      <c r="A95" s="11" t="n">
        <v>93</v>
      </c>
      <c r="B95" s="11" t="str">
        <f aca="false">IF(I95="Y",IF(COUNTIF(I$3:I95,"Y")&lt;=20,"pilot",IF(COUNTIF(I$3:I95,"Y")&lt;=40,"dev",IF(COUNTIF(I$3:I95,"Y")&lt;=120,"test","extra"))),"")</f>
        <v>test</v>
      </c>
      <c r="C95" s="11" t="str">
        <f aca="false">IF(I95="Y",IF(COUNTA(K95,Q95,W95,AC95,AE95)=5,"done","in progress"),IF(I95="N","excluded",""))</f>
        <v>done</v>
      </c>
      <c r="D95" s="11" t="s">
        <v>722</v>
      </c>
      <c r="E95" s="12" t="s">
        <v>90</v>
      </c>
      <c r="F95" s="13" t="s">
        <v>723</v>
      </c>
      <c r="G95" s="11" t="s">
        <v>724</v>
      </c>
      <c r="H95" s="11"/>
      <c r="I95" s="14" t="s">
        <v>71</v>
      </c>
      <c r="J95" s="14"/>
      <c r="K95" s="14" t="s">
        <v>72</v>
      </c>
      <c r="L95" s="15" t="s">
        <v>725</v>
      </c>
      <c r="M95" s="14"/>
      <c r="N95" s="15"/>
      <c r="O95" s="14"/>
      <c r="P95" s="15"/>
      <c r="Q95" s="14" t="s">
        <v>74</v>
      </c>
      <c r="R95" s="15" t="s">
        <v>726</v>
      </c>
      <c r="S95" s="14"/>
      <c r="T95" s="15"/>
      <c r="U95" s="14"/>
      <c r="V95" s="15"/>
      <c r="W95" s="14" t="s">
        <v>79</v>
      </c>
      <c r="X95" s="15" t="s">
        <v>727</v>
      </c>
      <c r="Y95" s="14"/>
      <c r="Z95" s="15"/>
      <c r="AA95" s="14"/>
      <c r="AB95" s="15"/>
      <c r="AC95" s="14" t="s">
        <v>82</v>
      </c>
      <c r="AD95" s="15" t="s">
        <v>728</v>
      </c>
      <c r="AE95" s="14" t="s">
        <v>79</v>
      </c>
      <c r="AF95" s="15" t="s">
        <v>729</v>
      </c>
      <c r="AG95" s="15"/>
      <c r="AH95" s="15"/>
      <c r="AI95" s="20" t="n">
        <v>6</v>
      </c>
      <c r="AJ95" s="18" t="n">
        <v>46299</v>
      </c>
      <c r="AK95" s="17" t="s">
        <v>88</v>
      </c>
    </row>
    <row r="96" customFormat="false" ht="42.75" hidden="false" customHeight="true" outlineLevel="0" collapsed="false">
      <c r="A96" s="11" t="n">
        <v>94</v>
      </c>
      <c r="B96" s="11" t="str">
        <f aca="false">IF(I96="Y",IF(COUNTIF(I$3:I96,"Y")&lt;=20,"pilot",IF(COUNTIF(I$3:I96,"Y")&lt;=40,"dev",IF(COUNTIF(I$3:I96,"Y")&lt;=120,"test","extra"))),"")</f>
        <v>test</v>
      </c>
      <c r="C96" s="11" t="str">
        <f aca="false">IF(I96="Y",IF(COUNTA(K96,Q96,W96,AC96,AE96)=5,"done","in progress"),IF(I96="N","excluded",""))</f>
        <v>done</v>
      </c>
      <c r="D96" s="11" t="s">
        <v>730</v>
      </c>
      <c r="E96" s="12" t="s">
        <v>90</v>
      </c>
      <c r="F96" s="13" t="s">
        <v>731</v>
      </c>
      <c r="G96" s="11" t="s">
        <v>168</v>
      </c>
      <c r="H96" s="11"/>
      <c r="I96" s="14" t="s">
        <v>71</v>
      </c>
      <c r="J96" s="14"/>
      <c r="K96" s="14" t="s">
        <v>77</v>
      </c>
      <c r="L96" s="15" t="s">
        <v>732</v>
      </c>
      <c r="M96" s="14"/>
      <c r="N96" s="15"/>
      <c r="O96" s="14"/>
      <c r="P96" s="15"/>
      <c r="Q96" s="14" t="s">
        <v>72</v>
      </c>
      <c r="R96" s="15" t="s">
        <v>733</v>
      </c>
      <c r="S96" s="14"/>
      <c r="T96" s="15"/>
      <c r="U96" s="14"/>
      <c r="V96" s="15"/>
      <c r="W96" s="14" t="s">
        <v>82</v>
      </c>
      <c r="X96" s="15" t="s">
        <v>734</v>
      </c>
      <c r="Y96" s="14"/>
      <c r="Z96" s="15"/>
      <c r="AA96" s="14"/>
      <c r="AB96" s="15"/>
      <c r="AC96" s="14" t="s">
        <v>79</v>
      </c>
      <c r="AD96" s="19" t="s">
        <v>78</v>
      </c>
      <c r="AE96" s="14" t="s">
        <v>101</v>
      </c>
      <c r="AF96" s="15" t="s">
        <v>735</v>
      </c>
      <c r="AG96" s="15"/>
      <c r="AH96" s="15"/>
      <c r="AI96" s="20" t="n">
        <v>3</v>
      </c>
      <c r="AJ96" s="18" t="n">
        <v>46299</v>
      </c>
      <c r="AK96" s="17" t="s">
        <v>88</v>
      </c>
    </row>
    <row r="97" customFormat="false" ht="42.75" hidden="false" customHeight="true" outlineLevel="0" collapsed="false">
      <c r="A97" s="11" t="n">
        <v>95</v>
      </c>
      <c r="B97" s="11" t="str">
        <f aca="false">IF(I97="Y",IF(COUNTIF(I$3:I97,"Y")&lt;=20,"pilot",IF(COUNTIF(I$3:I97,"Y")&lt;=40,"dev",IF(COUNTIF(I$3:I97,"Y")&lt;=120,"test","extra"))),"")</f>
        <v>test</v>
      </c>
      <c r="C97" s="11" t="str">
        <f aca="false">IF(I97="Y",IF(COUNTA(K97,Q97,W97,AC97,AE97)=5,"done","in progress"),IF(I97="N","excluded",""))</f>
        <v>done</v>
      </c>
      <c r="D97" s="11" t="s">
        <v>736</v>
      </c>
      <c r="E97" s="12" t="s">
        <v>90</v>
      </c>
      <c r="F97" s="13" t="s">
        <v>737</v>
      </c>
      <c r="G97" s="11" t="s">
        <v>168</v>
      </c>
      <c r="H97" s="11"/>
      <c r="I97" s="14" t="s">
        <v>71</v>
      </c>
      <c r="J97" s="14"/>
      <c r="K97" s="14" t="s">
        <v>77</v>
      </c>
      <c r="L97" s="15" t="s">
        <v>738</v>
      </c>
      <c r="M97" s="14"/>
      <c r="N97" s="15"/>
      <c r="O97" s="14"/>
      <c r="P97" s="15"/>
      <c r="Q97" s="14" t="s">
        <v>74</v>
      </c>
      <c r="R97" s="15" t="s">
        <v>739</v>
      </c>
      <c r="S97" s="14"/>
      <c r="T97" s="15"/>
      <c r="U97" s="14"/>
      <c r="V97" s="15"/>
      <c r="W97" s="14" t="s">
        <v>79</v>
      </c>
      <c r="X97" s="15" t="s">
        <v>740</v>
      </c>
      <c r="Y97" s="14"/>
      <c r="Z97" s="15"/>
      <c r="AA97" s="14"/>
      <c r="AB97" s="15"/>
      <c r="AC97" s="14" t="s">
        <v>79</v>
      </c>
      <c r="AD97" s="19" t="s">
        <v>78</v>
      </c>
      <c r="AE97" s="14" t="s">
        <v>84</v>
      </c>
      <c r="AF97" s="15" t="s">
        <v>741</v>
      </c>
      <c r="AG97" s="15"/>
      <c r="AH97" s="15"/>
      <c r="AI97" s="20" t="n">
        <v>3</v>
      </c>
      <c r="AJ97" s="18" t="n">
        <v>46299</v>
      </c>
      <c r="AK97" s="17" t="s">
        <v>88</v>
      </c>
    </row>
    <row r="98" customFormat="false" ht="42.75" hidden="false" customHeight="true" outlineLevel="0" collapsed="false">
      <c r="A98" s="11" t="n">
        <v>96</v>
      </c>
      <c r="B98" s="11" t="str">
        <f aca="false">IF(I98="Y",IF(COUNTIF(I$3:I98,"Y")&lt;=20,"pilot",IF(COUNTIF(I$3:I98,"Y")&lt;=40,"dev",IF(COUNTIF(I$3:I98,"Y")&lt;=120,"test","extra"))),"")</f>
        <v>test</v>
      </c>
      <c r="C98" s="11" t="str">
        <f aca="false">IF(I98="Y",IF(COUNTA(K98,Q98,W98,AC98,AE98)=5,"done","in progress"),IF(I98="N","excluded",""))</f>
        <v>done</v>
      </c>
      <c r="D98" s="11" t="s">
        <v>742</v>
      </c>
      <c r="E98" s="12" t="s">
        <v>90</v>
      </c>
      <c r="F98" s="13" t="s">
        <v>743</v>
      </c>
      <c r="G98" s="11" t="s">
        <v>393</v>
      </c>
      <c r="H98" s="11"/>
      <c r="I98" s="14" t="s">
        <v>71</v>
      </c>
      <c r="J98" s="14"/>
      <c r="K98" s="14" t="s">
        <v>72</v>
      </c>
      <c r="L98" s="15" t="s">
        <v>744</v>
      </c>
      <c r="M98" s="14"/>
      <c r="N98" s="15"/>
      <c r="O98" s="14"/>
      <c r="P98" s="15"/>
      <c r="Q98" s="14" t="s">
        <v>74</v>
      </c>
      <c r="R98" s="15" t="s">
        <v>745</v>
      </c>
      <c r="S98" s="14"/>
      <c r="T98" s="15"/>
      <c r="U98" s="14"/>
      <c r="V98" s="15"/>
      <c r="W98" s="14" t="s">
        <v>79</v>
      </c>
      <c r="X98" s="15" t="s">
        <v>746</v>
      </c>
      <c r="Y98" s="14"/>
      <c r="Z98" s="15"/>
      <c r="AA98" s="14"/>
      <c r="AB98" s="15"/>
      <c r="AC98" s="14" t="s">
        <v>79</v>
      </c>
      <c r="AD98" s="19" t="s">
        <v>78</v>
      </c>
      <c r="AE98" s="14" t="s">
        <v>84</v>
      </c>
      <c r="AF98" s="15" t="s">
        <v>747</v>
      </c>
      <c r="AG98" s="15"/>
      <c r="AH98" s="15"/>
      <c r="AI98" s="20" t="n">
        <v>3</v>
      </c>
      <c r="AJ98" s="18" t="n">
        <v>46299</v>
      </c>
      <c r="AK98" s="17" t="s">
        <v>88</v>
      </c>
    </row>
    <row r="99" customFormat="false" ht="42.75" hidden="false" customHeight="true" outlineLevel="0" collapsed="false">
      <c r="A99" s="11" t="n">
        <v>97</v>
      </c>
      <c r="B99" s="11" t="str">
        <f aca="false">IF(I99="Y",IF(COUNTIF(I$3:I99,"Y")&lt;=20,"pilot",IF(COUNTIF(I$3:I99,"Y")&lt;=40,"dev",IF(COUNTIF(I$3:I99,"Y")&lt;=120,"test","extra"))),"")</f>
        <v>test</v>
      </c>
      <c r="C99" s="11" t="str">
        <f aca="false">IF(I99="Y",IF(COUNTA(K99,Q99,W99,AC99,AE99)=5,"done","in progress"),IF(I99="N","excluded",""))</f>
        <v>done</v>
      </c>
      <c r="D99" s="11" t="s">
        <v>748</v>
      </c>
      <c r="E99" s="12" t="s">
        <v>90</v>
      </c>
      <c r="F99" s="13" t="s">
        <v>749</v>
      </c>
      <c r="G99" s="11" t="s">
        <v>125</v>
      </c>
      <c r="H99" s="11"/>
      <c r="I99" s="14" t="s">
        <v>71</v>
      </c>
      <c r="J99" s="14"/>
      <c r="K99" s="14" t="s">
        <v>77</v>
      </c>
      <c r="L99" s="15" t="s">
        <v>750</v>
      </c>
      <c r="M99" s="14"/>
      <c r="N99" s="15"/>
      <c r="O99" s="14"/>
      <c r="P99" s="15"/>
      <c r="Q99" s="14" t="s">
        <v>74</v>
      </c>
      <c r="R99" s="15" t="s">
        <v>751</v>
      </c>
      <c r="S99" s="14"/>
      <c r="T99" s="15"/>
      <c r="U99" s="14"/>
      <c r="V99" s="15"/>
      <c r="W99" s="14" t="s">
        <v>82</v>
      </c>
      <c r="X99" s="15" t="s">
        <v>752</v>
      </c>
      <c r="Y99" s="14"/>
      <c r="Z99" s="15"/>
      <c r="AA99" s="14"/>
      <c r="AB99" s="15"/>
      <c r="AC99" s="14" t="s">
        <v>79</v>
      </c>
      <c r="AD99" s="15" t="s">
        <v>78</v>
      </c>
      <c r="AE99" s="14" t="s">
        <v>101</v>
      </c>
      <c r="AF99" s="15" t="s">
        <v>753</v>
      </c>
      <c r="AG99" s="15"/>
      <c r="AH99" s="15"/>
      <c r="AI99" s="20" t="n">
        <v>4</v>
      </c>
      <c r="AJ99" s="18" t="n">
        <v>46299</v>
      </c>
      <c r="AK99" s="17" t="s">
        <v>88</v>
      </c>
    </row>
    <row r="100" customFormat="false" ht="42.75" hidden="false" customHeight="true" outlineLevel="0" collapsed="false">
      <c r="A100" s="11" t="n">
        <v>98</v>
      </c>
      <c r="B100" s="11" t="str">
        <f aca="false">IF(I100="Y",IF(COUNTIF(I$3:I100,"Y")&lt;=20,"pilot",IF(COUNTIF(I$3:I100,"Y")&lt;=40,"dev",IF(COUNTIF(I$3:I100,"Y")&lt;=120,"test","extra"))),"")</f>
        <v>test</v>
      </c>
      <c r="C100" s="11" t="str">
        <f aca="false">IF(I100="Y",IF(COUNTA(K100,Q100,W100,AC100,AE100)=5,"done","in progress"),IF(I100="N","excluded",""))</f>
        <v>done</v>
      </c>
      <c r="D100" s="11" t="s">
        <v>754</v>
      </c>
      <c r="E100" s="12" t="s">
        <v>90</v>
      </c>
      <c r="F100" s="13" t="s">
        <v>755</v>
      </c>
      <c r="G100" s="11" t="s">
        <v>168</v>
      </c>
      <c r="H100" s="11"/>
      <c r="I100" s="14" t="s">
        <v>71</v>
      </c>
      <c r="J100" s="14"/>
      <c r="K100" s="14" t="s">
        <v>74</v>
      </c>
      <c r="L100" s="15" t="s">
        <v>756</v>
      </c>
      <c r="M100" s="14"/>
      <c r="N100" s="15"/>
      <c r="O100" s="14"/>
      <c r="P100" s="15"/>
      <c r="Q100" s="14" t="s">
        <v>77</v>
      </c>
      <c r="R100" s="15" t="s">
        <v>757</v>
      </c>
      <c r="S100" s="14"/>
      <c r="T100" s="15"/>
      <c r="U100" s="14"/>
      <c r="V100" s="15"/>
      <c r="W100" s="14" t="s">
        <v>79</v>
      </c>
      <c r="X100" s="15" t="s">
        <v>758</v>
      </c>
      <c r="Y100" s="14"/>
      <c r="Z100" s="15"/>
      <c r="AA100" s="14"/>
      <c r="AB100" s="15"/>
      <c r="AC100" s="14" t="s">
        <v>79</v>
      </c>
      <c r="AD100" s="15" t="s">
        <v>78</v>
      </c>
      <c r="AE100" s="14" t="s">
        <v>84</v>
      </c>
      <c r="AF100" s="15" t="s">
        <v>759</v>
      </c>
      <c r="AG100" s="15"/>
      <c r="AH100" s="15"/>
      <c r="AI100" s="20" t="n">
        <v>6</v>
      </c>
      <c r="AJ100" s="18" t="n">
        <v>46299</v>
      </c>
      <c r="AK100" s="17" t="s">
        <v>88</v>
      </c>
    </row>
    <row r="101" customFormat="false" ht="28.5" hidden="false" customHeight="true" outlineLevel="0" collapsed="false">
      <c r="A101" s="11" t="n">
        <v>99</v>
      </c>
      <c r="B101" s="11" t="str">
        <f aca="false">IF(I101="Y",IF(COUNTIF(I$3:I101,"Y")&lt;=20,"pilot",IF(COUNTIF(I$3:I101,"Y")&lt;=40,"dev",IF(COUNTIF(I$3:I101,"Y")&lt;=120,"test","extra"))),"")</f>
        <v>test</v>
      </c>
      <c r="C101" s="11" t="str">
        <f aca="false">IF(I101="Y",IF(COUNTA(K101,Q101,W101,AC101,AE101)=5,"done","in progress"),IF(I101="N","excluded",""))</f>
        <v>done</v>
      </c>
      <c r="D101" s="11" t="s">
        <v>760</v>
      </c>
      <c r="E101" s="12" t="s">
        <v>90</v>
      </c>
      <c r="F101" s="13" t="s">
        <v>761</v>
      </c>
      <c r="G101" s="11" t="s">
        <v>322</v>
      </c>
      <c r="H101" s="11"/>
      <c r="I101" s="14" t="s">
        <v>71</v>
      </c>
      <c r="J101" s="14"/>
      <c r="K101" s="14" t="s">
        <v>77</v>
      </c>
      <c r="L101" s="15" t="s">
        <v>762</v>
      </c>
      <c r="M101" s="14"/>
      <c r="N101" s="15"/>
      <c r="O101" s="14"/>
      <c r="P101" s="15"/>
      <c r="Q101" s="14" t="s">
        <v>72</v>
      </c>
      <c r="R101" s="15" t="s">
        <v>763</v>
      </c>
      <c r="S101" s="14"/>
      <c r="T101" s="15"/>
      <c r="U101" s="14"/>
      <c r="V101" s="15"/>
      <c r="W101" s="14" t="s">
        <v>79</v>
      </c>
      <c r="X101" s="15" t="s">
        <v>764</v>
      </c>
      <c r="Y101" s="14"/>
      <c r="Z101" s="15"/>
      <c r="AA101" s="14"/>
      <c r="AB101" s="15"/>
      <c r="AC101" s="14" t="s">
        <v>79</v>
      </c>
      <c r="AD101" s="19" t="s">
        <v>78</v>
      </c>
      <c r="AE101" s="14" t="s">
        <v>84</v>
      </c>
      <c r="AF101" s="15" t="s">
        <v>765</v>
      </c>
      <c r="AG101" s="15"/>
      <c r="AH101" s="15"/>
      <c r="AI101" s="20" t="n">
        <v>7</v>
      </c>
      <c r="AJ101" s="18" t="n">
        <v>46299</v>
      </c>
      <c r="AK101" s="17" t="s">
        <v>88</v>
      </c>
    </row>
    <row r="102" customFormat="false" ht="28.5" hidden="false" customHeight="true" outlineLevel="0" collapsed="false">
      <c r="A102" s="11" t="n">
        <v>100</v>
      </c>
      <c r="B102" s="11" t="str">
        <f aca="false">IF(I102="Y",IF(COUNTIF(I$3:I102,"Y")&lt;=20,"pilot",IF(COUNTIF(I$3:I102,"Y")&lt;=40,"dev",IF(COUNTIF(I$3:I102,"Y")&lt;=120,"test","extra"))),"")</f>
        <v>test</v>
      </c>
      <c r="C102" s="11" t="str">
        <f aca="false">IF(I102="Y",IF(COUNTA(K102,Q102,W102,AC102,AE102)=5,"done","in progress"),IF(I102="N","excluded",""))</f>
        <v>done</v>
      </c>
      <c r="D102" s="11" t="s">
        <v>766</v>
      </c>
      <c r="E102" s="12" t="s">
        <v>90</v>
      </c>
      <c r="F102" s="13" t="s">
        <v>767</v>
      </c>
      <c r="G102" s="11" t="s">
        <v>322</v>
      </c>
      <c r="H102" s="11"/>
      <c r="I102" s="14" t="s">
        <v>71</v>
      </c>
      <c r="J102" s="14"/>
      <c r="K102" s="14" t="s">
        <v>74</v>
      </c>
      <c r="L102" s="15" t="s">
        <v>768</v>
      </c>
      <c r="M102" s="14"/>
      <c r="N102" s="15"/>
      <c r="O102" s="14"/>
      <c r="P102" s="15"/>
      <c r="Q102" s="14" t="s">
        <v>74</v>
      </c>
      <c r="R102" s="15" t="s">
        <v>769</v>
      </c>
      <c r="S102" s="14"/>
      <c r="T102" s="15"/>
      <c r="U102" s="14"/>
      <c r="V102" s="15"/>
      <c r="W102" s="14" t="s">
        <v>79</v>
      </c>
      <c r="X102" s="15" t="s">
        <v>770</v>
      </c>
      <c r="Y102" s="14"/>
      <c r="Z102" s="15"/>
      <c r="AA102" s="14"/>
      <c r="AB102" s="15"/>
      <c r="AC102" s="14" t="s">
        <v>79</v>
      </c>
      <c r="AD102" s="19" t="s">
        <v>78</v>
      </c>
      <c r="AE102" s="14" t="s">
        <v>84</v>
      </c>
      <c r="AF102" s="15" t="s">
        <v>771</v>
      </c>
      <c r="AG102" s="15"/>
      <c r="AH102" s="15"/>
      <c r="AI102" s="20" t="n">
        <v>4</v>
      </c>
      <c r="AJ102" s="18" t="n">
        <v>46299</v>
      </c>
      <c r="AK102" s="17" t="s">
        <v>88</v>
      </c>
    </row>
    <row r="103" customFormat="false" ht="42.75" hidden="false" customHeight="true" outlineLevel="0" collapsed="false">
      <c r="A103" s="11" t="n">
        <v>101</v>
      </c>
      <c r="B103" s="11" t="str">
        <f aca="false">IF(I103="Y",IF(COUNTIF(I$3:I103,"Y")&lt;=20,"pilot",IF(COUNTIF(I$3:I103,"Y")&lt;=40,"dev",IF(COUNTIF(I$3:I103,"Y")&lt;=120,"test","extra"))),"")</f>
        <v>test</v>
      </c>
      <c r="C103" s="11" t="str">
        <f aca="false">IF(I103="Y",IF(COUNTA(K103,Q103,W103,AC103,AE103)=5,"done","in progress"),IF(I103="N","excluded",""))</f>
        <v>done</v>
      </c>
      <c r="D103" s="11" t="s">
        <v>772</v>
      </c>
      <c r="E103" s="12" t="s">
        <v>90</v>
      </c>
      <c r="F103" s="13" t="s">
        <v>773</v>
      </c>
      <c r="G103" s="11" t="s">
        <v>774</v>
      </c>
      <c r="H103" s="11"/>
      <c r="I103" s="14" t="s">
        <v>71</v>
      </c>
      <c r="J103" s="14"/>
      <c r="K103" s="14" t="s">
        <v>77</v>
      </c>
      <c r="L103" s="15" t="s">
        <v>775</v>
      </c>
      <c r="M103" s="14"/>
      <c r="N103" s="15"/>
      <c r="O103" s="14"/>
      <c r="P103" s="15"/>
      <c r="Q103" s="14" t="s">
        <v>74</v>
      </c>
      <c r="R103" s="15" t="s">
        <v>776</v>
      </c>
      <c r="S103" s="14"/>
      <c r="T103" s="15"/>
      <c r="U103" s="14"/>
      <c r="V103" s="15"/>
      <c r="W103" s="14" t="s">
        <v>79</v>
      </c>
      <c r="X103" s="15" t="s">
        <v>777</v>
      </c>
      <c r="Y103" s="14"/>
      <c r="Z103" s="15"/>
      <c r="AA103" s="14"/>
      <c r="AB103" s="15"/>
      <c r="AC103" s="14" t="s">
        <v>79</v>
      </c>
      <c r="AD103" s="19" t="s">
        <v>78</v>
      </c>
      <c r="AE103" s="14" t="s">
        <v>84</v>
      </c>
      <c r="AF103" s="15" t="s">
        <v>778</v>
      </c>
      <c r="AG103" s="15"/>
      <c r="AH103" s="15"/>
      <c r="AI103" s="20" t="n">
        <v>4</v>
      </c>
      <c r="AJ103" s="18" t="n">
        <v>46299</v>
      </c>
      <c r="AK103" s="17" t="s">
        <v>88</v>
      </c>
    </row>
    <row r="104" customFormat="false" ht="57" hidden="false" customHeight="true" outlineLevel="0" collapsed="false">
      <c r="A104" s="11" t="n">
        <v>102</v>
      </c>
      <c r="B104" s="11" t="str">
        <f aca="false">IF(I104="Y",IF(COUNTIF(I$3:I104,"Y")&lt;=20,"pilot",IF(COUNTIF(I$3:I104,"Y")&lt;=40,"dev",IF(COUNTIF(I$3:I104,"Y")&lt;=120,"test","extra"))),"")</f>
        <v>test</v>
      </c>
      <c r="C104" s="11" t="str">
        <f aca="false">IF(I104="Y",IF(COUNTA(K104,Q104,W104,AC104,AE104)=5,"done","in progress"),IF(I104="N","excluded",""))</f>
        <v>done</v>
      </c>
      <c r="D104" s="11" t="s">
        <v>779</v>
      </c>
      <c r="E104" s="12" t="s">
        <v>90</v>
      </c>
      <c r="F104" s="13" t="s">
        <v>780</v>
      </c>
      <c r="G104" s="11" t="s">
        <v>781</v>
      </c>
      <c r="H104" s="11"/>
      <c r="I104" s="14" t="s">
        <v>71</v>
      </c>
      <c r="J104" s="14"/>
      <c r="K104" s="14" t="s">
        <v>72</v>
      </c>
      <c r="L104" s="15" t="s">
        <v>782</v>
      </c>
      <c r="M104" s="14"/>
      <c r="N104" s="15"/>
      <c r="O104" s="14"/>
      <c r="P104" s="15"/>
      <c r="Q104" s="14" t="s">
        <v>74</v>
      </c>
      <c r="R104" s="15" t="s">
        <v>783</v>
      </c>
      <c r="S104" s="14"/>
      <c r="T104" s="15"/>
      <c r="U104" s="14"/>
      <c r="V104" s="15"/>
      <c r="W104" s="14" t="s">
        <v>79</v>
      </c>
      <c r="X104" s="15" t="s">
        <v>784</v>
      </c>
      <c r="Y104" s="14"/>
      <c r="Z104" s="15"/>
      <c r="AA104" s="14"/>
      <c r="AB104" s="15"/>
      <c r="AC104" s="14" t="s">
        <v>79</v>
      </c>
      <c r="AD104" s="19" t="s">
        <v>78</v>
      </c>
      <c r="AE104" s="14" t="s">
        <v>84</v>
      </c>
      <c r="AF104" s="15" t="s">
        <v>785</v>
      </c>
      <c r="AG104" s="15"/>
      <c r="AH104" s="15"/>
      <c r="AI104" s="20" t="n">
        <v>3</v>
      </c>
      <c r="AJ104" s="18" t="n">
        <v>46299</v>
      </c>
      <c r="AK104" s="17" t="s">
        <v>88</v>
      </c>
    </row>
    <row r="105" customFormat="false" ht="28.5" hidden="false" customHeight="true" outlineLevel="0" collapsed="false">
      <c r="A105" s="11" t="n">
        <v>103</v>
      </c>
      <c r="B105" s="11" t="str">
        <f aca="false">IF(I105="Y",IF(COUNTIF(I$3:I105,"Y")&lt;=20,"pilot",IF(COUNTIF(I$3:I105,"Y")&lt;=40,"dev",IF(COUNTIF(I$3:I105,"Y")&lt;=120,"test","extra"))),"")</f>
        <v>test</v>
      </c>
      <c r="C105" s="11" t="str">
        <f aca="false">IF(I105="Y",IF(COUNTA(K105,Q105,W105,AC105,AE105)=5,"done","in progress"),IF(I105="N","excluded",""))</f>
        <v>done</v>
      </c>
      <c r="D105" s="11" t="s">
        <v>786</v>
      </c>
      <c r="E105" s="12" t="s">
        <v>90</v>
      </c>
      <c r="F105" s="13" t="s">
        <v>787</v>
      </c>
      <c r="G105" s="11" t="s">
        <v>788</v>
      </c>
      <c r="H105" s="11"/>
      <c r="I105" s="14" t="s">
        <v>71</v>
      </c>
      <c r="J105" s="20"/>
      <c r="K105" s="14" t="s">
        <v>72</v>
      </c>
      <c r="L105" s="15" t="s">
        <v>789</v>
      </c>
      <c r="M105" s="14"/>
      <c r="N105" s="15"/>
      <c r="O105" s="14"/>
      <c r="P105" s="15"/>
      <c r="Q105" s="14" t="s">
        <v>74</v>
      </c>
      <c r="R105" s="15" t="s">
        <v>790</v>
      </c>
      <c r="S105" s="14"/>
      <c r="T105" s="15"/>
      <c r="U105" s="14"/>
      <c r="V105" s="15"/>
      <c r="W105" s="14" t="s">
        <v>82</v>
      </c>
      <c r="X105" s="15" t="s">
        <v>791</v>
      </c>
      <c r="Y105" s="14"/>
      <c r="Z105" s="15"/>
      <c r="AA105" s="14"/>
      <c r="AB105" s="15"/>
      <c r="AC105" s="14" t="s">
        <v>82</v>
      </c>
      <c r="AD105" s="15" t="s">
        <v>792</v>
      </c>
      <c r="AE105" s="14" t="s">
        <v>79</v>
      </c>
      <c r="AF105" s="15" t="s">
        <v>793</v>
      </c>
      <c r="AG105" s="15" t="s">
        <v>696</v>
      </c>
      <c r="AH105" s="15"/>
      <c r="AI105" s="20" t="n">
        <v>3</v>
      </c>
      <c r="AJ105" s="18" t="n">
        <v>46299</v>
      </c>
      <c r="AK105" s="17" t="s">
        <v>88</v>
      </c>
    </row>
    <row r="106" customFormat="false" ht="57" hidden="false" customHeight="true" outlineLevel="0" collapsed="false">
      <c r="A106" s="11" t="n">
        <v>104</v>
      </c>
      <c r="B106" s="11" t="str">
        <f aca="false">IF(I106="Y",IF(COUNTIF(I$3:I106,"Y")&lt;=20,"pilot",IF(COUNTIF(I$3:I106,"Y")&lt;=40,"dev",IF(COUNTIF(I$3:I106,"Y")&lt;=120,"test","extra"))),"")</f>
        <v>test</v>
      </c>
      <c r="C106" s="11" t="str">
        <f aca="false">IF(I106="Y",IF(COUNTA(K106,Q106,W106,AC106,AE106)=5,"done","in progress"),IF(I106="N","excluded",""))</f>
        <v>done</v>
      </c>
      <c r="D106" s="11" t="s">
        <v>794</v>
      </c>
      <c r="E106" s="12" t="s">
        <v>90</v>
      </c>
      <c r="F106" s="13" t="s">
        <v>795</v>
      </c>
      <c r="G106" s="11" t="s">
        <v>92</v>
      </c>
      <c r="H106" s="11"/>
      <c r="I106" s="14" t="s">
        <v>71</v>
      </c>
      <c r="J106" s="20"/>
      <c r="K106" s="14" t="s">
        <v>72</v>
      </c>
      <c r="L106" s="15" t="s">
        <v>796</v>
      </c>
      <c r="M106" s="14"/>
      <c r="N106" s="15"/>
      <c r="O106" s="14"/>
      <c r="P106" s="15"/>
      <c r="Q106" s="14" t="s">
        <v>74</v>
      </c>
      <c r="R106" s="15" t="s">
        <v>797</v>
      </c>
      <c r="S106" s="14"/>
      <c r="T106" s="15"/>
      <c r="U106" s="14"/>
      <c r="V106" s="15"/>
      <c r="W106" s="14" t="s">
        <v>79</v>
      </c>
      <c r="X106" s="15" t="s">
        <v>798</v>
      </c>
      <c r="Y106" s="14"/>
      <c r="Z106" s="15"/>
      <c r="AA106" s="14"/>
      <c r="AB106" s="15"/>
      <c r="AC106" s="14" t="s">
        <v>79</v>
      </c>
      <c r="AD106" s="19" t="s">
        <v>78</v>
      </c>
      <c r="AE106" s="14" t="s">
        <v>84</v>
      </c>
      <c r="AF106" s="15" t="s">
        <v>450</v>
      </c>
      <c r="AG106" s="15"/>
      <c r="AH106" s="15"/>
      <c r="AI106" s="20" t="n">
        <v>3</v>
      </c>
      <c r="AJ106" s="18" t="n">
        <v>46299</v>
      </c>
      <c r="AK106" s="17" t="s">
        <v>88</v>
      </c>
    </row>
    <row r="107" customFormat="false" ht="42.75" hidden="false" customHeight="true" outlineLevel="0" collapsed="false">
      <c r="A107" s="11" t="n">
        <v>105</v>
      </c>
      <c r="B107" s="11" t="str">
        <f aca="false">IF(I107="Y",IF(COUNTIF(I$3:I107,"Y")&lt;=20,"pilot",IF(COUNTIF(I$3:I107,"Y")&lt;=40,"dev",IF(COUNTIF(I$3:I107,"Y")&lt;=120,"test","extra"))),"")</f>
        <v>test</v>
      </c>
      <c r="C107" s="11" t="str">
        <f aca="false">IF(I107="Y",IF(COUNTA(K107,Q107,W107,AC107,AE107)=5,"done","in progress"),IF(I107="N","excluded",""))</f>
        <v>done</v>
      </c>
      <c r="D107" s="11" t="s">
        <v>799</v>
      </c>
      <c r="E107" s="12" t="s">
        <v>90</v>
      </c>
      <c r="F107" s="13" t="s">
        <v>800</v>
      </c>
      <c r="G107" s="11" t="s">
        <v>118</v>
      </c>
      <c r="H107" s="11"/>
      <c r="I107" s="14" t="s">
        <v>71</v>
      </c>
      <c r="J107" s="14"/>
      <c r="K107" s="14" t="s">
        <v>74</v>
      </c>
      <c r="L107" s="15" t="s">
        <v>801</v>
      </c>
      <c r="M107" s="14"/>
      <c r="N107" s="15"/>
      <c r="O107" s="14"/>
      <c r="P107" s="15"/>
      <c r="Q107" s="14" t="s">
        <v>77</v>
      </c>
      <c r="R107" s="15" t="s">
        <v>802</v>
      </c>
      <c r="S107" s="14"/>
      <c r="T107" s="15"/>
      <c r="U107" s="14"/>
      <c r="V107" s="15"/>
      <c r="W107" s="14" t="s">
        <v>82</v>
      </c>
      <c r="X107" s="15" t="s">
        <v>803</v>
      </c>
      <c r="Y107" s="14"/>
      <c r="Z107" s="15"/>
      <c r="AA107" s="14"/>
      <c r="AB107" s="15"/>
      <c r="AC107" s="14" t="s">
        <v>79</v>
      </c>
      <c r="AD107" s="19" t="s">
        <v>78</v>
      </c>
      <c r="AE107" s="14" t="s">
        <v>101</v>
      </c>
      <c r="AF107" s="15" t="s">
        <v>121</v>
      </c>
      <c r="AG107" s="15"/>
      <c r="AH107" s="15"/>
      <c r="AI107" s="20" t="n">
        <v>4</v>
      </c>
      <c r="AJ107" s="18" t="n">
        <v>46299</v>
      </c>
      <c r="AK107" s="17" t="s">
        <v>88</v>
      </c>
    </row>
    <row r="108" customFormat="false" ht="57" hidden="false" customHeight="true" outlineLevel="0" collapsed="false">
      <c r="A108" s="11" t="n">
        <v>106</v>
      </c>
      <c r="B108" s="11" t="str">
        <f aca="false">IF(I108="Y",IF(COUNTIF(I$3:I108,"Y")&lt;=20,"pilot",IF(COUNTIF(I$3:I108,"Y")&lt;=40,"dev",IF(COUNTIF(I$3:I108,"Y")&lt;=120,"test","extra"))),"")</f>
        <v>test</v>
      </c>
      <c r="C108" s="11" t="str">
        <f aca="false">IF(I108="Y",IF(COUNTA(K108,Q108,W108,AC108,AE108)=5,"done","in progress"),IF(I108="N","excluded",""))</f>
        <v>done</v>
      </c>
      <c r="D108" s="11" t="s">
        <v>804</v>
      </c>
      <c r="E108" s="12" t="s">
        <v>90</v>
      </c>
      <c r="F108" s="13" t="s">
        <v>805</v>
      </c>
      <c r="G108" s="11" t="s">
        <v>806</v>
      </c>
      <c r="H108" s="11"/>
      <c r="I108" s="14" t="s">
        <v>71</v>
      </c>
      <c r="J108" s="14"/>
      <c r="K108" s="14" t="s">
        <v>72</v>
      </c>
      <c r="L108" s="19" t="s">
        <v>807</v>
      </c>
      <c r="M108" s="14"/>
      <c r="N108" s="15"/>
      <c r="O108" s="14"/>
      <c r="P108" s="15"/>
      <c r="Q108" s="14" t="s">
        <v>74</v>
      </c>
      <c r="R108" s="15" t="s">
        <v>808</v>
      </c>
      <c r="S108" s="14"/>
      <c r="T108" s="15"/>
      <c r="U108" s="14"/>
      <c r="V108" s="15"/>
      <c r="W108" s="14" t="s">
        <v>82</v>
      </c>
      <c r="X108" s="15" t="s">
        <v>809</v>
      </c>
      <c r="Y108" s="14"/>
      <c r="Z108" s="15"/>
      <c r="AA108" s="14"/>
      <c r="AB108" s="15"/>
      <c r="AC108" s="14" t="s">
        <v>79</v>
      </c>
      <c r="AD108" s="19" t="s">
        <v>78</v>
      </c>
      <c r="AE108" s="14" t="s">
        <v>101</v>
      </c>
      <c r="AF108" s="15" t="s">
        <v>121</v>
      </c>
      <c r="AG108" s="15"/>
      <c r="AH108" s="15"/>
      <c r="AI108" s="20" t="n">
        <v>3</v>
      </c>
      <c r="AJ108" s="18" t="n">
        <v>46299</v>
      </c>
      <c r="AK108" s="17" t="s">
        <v>88</v>
      </c>
    </row>
    <row r="109" customFormat="false" ht="71.25" hidden="false" customHeight="true" outlineLevel="0" collapsed="false">
      <c r="A109" s="11" t="n">
        <v>107</v>
      </c>
      <c r="B109" s="11" t="str">
        <f aca="false">IF(I109="Y",IF(COUNTIF(I$3:I109,"Y")&lt;=20,"pilot",IF(COUNTIF(I$3:I109,"Y")&lt;=40,"dev",IF(COUNTIF(I$3:I109,"Y")&lt;=120,"test","extra"))),"")</f>
        <v>test</v>
      </c>
      <c r="C109" s="11" t="str">
        <f aca="false">IF(I109="Y",IF(COUNTA(K109,Q109,W109,AC109,AE109)=5,"done","in progress"),IF(I109="N","excluded",""))</f>
        <v>done</v>
      </c>
      <c r="D109" s="11" t="s">
        <v>810</v>
      </c>
      <c r="E109" s="12" t="s">
        <v>90</v>
      </c>
      <c r="F109" s="13" t="s">
        <v>811</v>
      </c>
      <c r="G109" s="11" t="s">
        <v>644</v>
      </c>
      <c r="H109" s="11"/>
      <c r="I109" s="14" t="s">
        <v>71</v>
      </c>
      <c r="J109" s="14"/>
      <c r="K109" s="14" t="s">
        <v>74</v>
      </c>
      <c r="L109" s="15" t="s">
        <v>812</v>
      </c>
      <c r="M109" s="14"/>
      <c r="N109" s="15"/>
      <c r="O109" s="14"/>
      <c r="P109" s="15"/>
      <c r="Q109" s="14" t="s">
        <v>74</v>
      </c>
      <c r="R109" s="15" t="s">
        <v>813</v>
      </c>
      <c r="S109" s="14"/>
      <c r="T109" s="15"/>
      <c r="U109" s="14"/>
      <c r="V109" s="15"/>
      <c r="W109" s="14" t="s">
        <v>82</v>
      </c>
      <c r="X109" s="15" t="s">
        <v>814</v>
      </c>
      <c r="Y109" s="14"/>
      <c r="Z109" s="15"/>
      <c r="AA109" s="14"/>
      <c r="AB109" s="15"/>
      <c r="AC109" s="14" t="s">
        <v>79</v>
      </c>
      <c r="AD109" s="19" t="s">
        <v>78</v>
      </c>
      <c r="AE109" s="14" t="s">
        <v>101</v>
      </c>
      <c r="AF109" s="15" t="s">
        <v>815</v>
      </c>
      <c r="AG109" s="15"/>
      <c r="AH109" s="15"/>
      <c r="AI109" s="14" t="n">
        <v>4</v>
      </c>
      <c r="AJ109" s="18" t="n">
        <v>46299</v>
      </c>
      <c r="AK109" s="17" t="s">
        <v>88</v>
      </c>
    </row>
    <row r="110" customFormat="false" ht="42.75" hidden="false" customHeight="true" outlineLevel="0" collapsed="false">
      <c r="A110" s="11" t="n">
        <v>108</v>
      </c>
      <c r="B110" s="11" t="str">
        <f aca="false">IF(I110="Y",IF(COUNTIF(I$3:I110,"Y")&lt;=20,"pilot",IF(COUNTIF(I$3:I110,"Y")&lt;=40,"dev",IF(COUNTIF(I$3:I110,"Y")&lt;=120,"test","extra"))),"")</f>
        <v>test</v>
      </c>
      <c r="C110" s="11" t="str">
        <f aca="false">IF(I110="Y",IF(COUNTA(K110,Q110,W110,AC110,AE110)=5,"done","in progress"),IF(I110="N","excluded",""))</f>
        <v>done</v>
      </c>
      <c r="D110" s="11" t="s">
        <v>816</v>
      </c>
      <c r="E110" s="12" t="s">
        <v>90</v>
      </c>
      <c r="F110" s="13" t="s">
        <v>817</v>
      </c>
      <c r="G110" s="11" t="s">
        <v>118</v>
      </c>
      <c r="H110" s="11"/>
      <c r="I110" s="14" t="s">
        <v>71</v>
      </c>
      <c r="J110" s="14"/>
      <c r="K110" s="14" t="s">
        <v>77</v>
      </c>
      <c r="L110" s="15" t="s">
        <v>818</v>
      </c>
      <c r="M110" s="14"/>
      <c r="N110" s="15"/>
      <c r="O110" s="14"/>
      <c r="P110" s="15"/>
      <c r="Q110" s="14" t="s">
        <v>72</v>
      </c>
      <c r="R110" s="15" t="s">
        <v>819</v>
      </c>
      <c r="S110" s="14"/>
      <c r="T110" s="15"/>
      <c r="U110" s="14"/>
      <c r="V110" s="15"/>
      <c r="W110" s="14" t="s">
        <v>79</v>
      </c>
      <c r="X110" s="19" t="s">
        <v>820</v>
      </c>
      <c r="Y110" s="14"/>
      <c r="Z110" s="15"/>
      <c r="AA110" s="14"/>
      <c r="AB110" s="15"/>
      <c r="AC110" s="14" t="s">
        <v>79</v>
      </c>
      <c r="AD110" s="19" t="s">
        <v>78</v>
      </c>
      <c r="AE110" s="14" t="s">
        <v>101</v>
      </c>
      <c r="AF110" s="15" t="s">
        <v>821</v>
      </c>
      <c r="AG110" s="15"/>
      <c r="AH110" s="15"/>
      <c r="AI110" s="14" t="n">
        <v>4</v>
      </c>
      <c r="AJ110" s="18" t="n">
        <v>46299</v>
      </c>
      <c r="AK110" s="17" t="s">
        <v>88</v>
      </c>
    </row>
    <row r="111" customFormat="false" ht="42.75" hidden="false" customHeight="true" outlineLevel="0" collapsed="false">
      <c r="A111" s="11" t="n">
        <v>109</v>
      </c>
      <c r="B111" s="11" t="str">
        <f aca="false">IF(I111="Y",IF(COUNTIF(I$3:I111,"Y")&lt;=20,"pilot",IF(COUNTIF(I$3:I111,"Y")&lt;=40,"dev",IF(COUNTIF(I$3:I111,"Y")&lt;=120,"test","extra"))),"")</f>
        <v>test</v>
      </c>
      <c r="C111" s="11" t="str">
        <f aca="false">IF(I111="Y",IF(COUNTA(K111,Q111,W111,AC111,AE111)=5,"done","in progress"),IF(I111="N","excluded",""))</f>
        <v>done</v>
      </c>
      <c r="D111" s="11" t="s">
        <v>822</v>
      </c>
      <c r="E111" s="12" t="s">
        <v>90</v>
      </c>
      <c r="F111" s="13" t="s">
        <v>823</v>
      </c>
      <c r="G111" s="11" t="s">
        <v>824</v>
      </c>
      <c r="H111" s="11"/>
      <c r="I111" s="14" t="s">
        <v>71</v>
      </c>
      <c r="J111" s="14"/>
      <c r="K111" s="14" t="s">
        <v>72</v>
      </c>
      <c r="L111" s="19" t="s">
        <v>825</v>
      </c>
      <c r="M111" s="14"/>
      <c r="N111" s="15"/>
      <c r="O111" s="14"/>
      <c r="P111" s="15"/>
      <c r="Q111" s="14" t="s">
        <v>72</v>
      </c>
      <c r="R111" s="19" t="s">
        <v>826</v>
      </c>
      <c r="S111" s="14"/>
      <c r="T111" s="15"/>
      <c r="U111" s="14"/>
      <c r="V111" s="15"/>
      <c r="W111" s="14" t="s">
        <v>82</v>
      </c>
      <c r="X111" s="15" t="s">
        <v>827</v>
      </c>
      <c r="Y111" s="14"/>
      <c r="Z111" s="15"/>
      <c r="AA111" s="14"/>
      <c r="AB111" s="15"/>
      <c r="AC111" s="14" t="s">
        <v>79</v>
      </c>
      <c r="AD111" s="19" t="s">
        <v>78</v>
      </c>
      <c r="AE111" s="14" t="s">
        <v>101</v>
      </c>
      <c r="AF111" s="15" t="s">
        <v>828</v>
      </c>
      <c r="AG111" s="19" t="s">
        <v>829</v>
      </c>
      <c r="AH111" s="15"/>
      <c r="AI111" s="14" t="n">
        <v>5</v>
      </c>
      <c r="AJ111" s="18" t="n">
        <v>46299</v>
      </c>
      <c r="AK111" s="17" t="s">
        <v>88</v>
      </c>
    </row>
    <row r="112" customFormat="false" ht="42.75" hidden="false" customHeight="true" outlineLevel="0" collapsed="false">
      <c r="A112" s="11" t="n">
        <v>110</v>
      </c>
      <c r="B112" s="11" t="str">
        <f aca="false">IF(I112="Y",IF(COUNTIF(I$3:I112,"Y")&lt;=20,"pilot",IF(COUNTIF(I$3:I112,"Y")&lt;=40,"dev",IF(COUNTIF(I$3:I112,"Y")&lt;=120,"test","extra"))),"")</f>
        <v>test</v>
      </c>
      <c r="C112" s="11" t="str">
        <f aca="false">IF(I112="Y",IF(COUNTA(K112,Q112,W112,AC112,AE112)=5,"done","in progress"),IF(I112="N","excluded",""))</f>
        <v>done</v>
      </c>
      <c r="D112" s="11" t="s">
        <v>830</v>
      </c>
      <c r="E112" s="12" t="s">
        <v>90</v>
      </c>
      <c r="F112" s="13" t="s">
        <v>831</v>
      </c>
      <c r="G112" s="11" t="s">
        <v>508</v>
      </c>
      <c r="H112" s="11"/>
      <c r="I112" s="14" t="s">
        <v>71</v>
      </c>
      <c r="J112" s="14"/>
      <c r="K112" s="14" t="s">
        <v>77</v>
      </c>
      <c r="L112" s="19" t="s">
        <v>832</v>
      </c>
      <c r="M112" s="14"/>
      <c r="N112" s="15"/>
      <c r="O112" s="14"/>
      <c r="P112" s="15"/>
      <c r="Q112" s="14" t="s">
        <v>74</v>
      </c>
      <c r="R112" s="15" t="s">
        <v>833</v>
      </c>
      <c r="S112" s="14"/>
      <c r="T112" s="15"/>
      <c r="U112" s="14"/>
      <c r="V112" s="15"/>
      <c r="W112" s="14" t="s">
        <v>79</v>
      </c>
      <c r="X112" s="15" t="s">
        <v>834</v>
      </c>
      <c r="Y112" s="14"/>
      <c r="Z112" s="15"/>
      <c r="AA112" s="14"/>
      <c r="AB112" s="15"/>
      <c r="AC112" s="14" t="s">
        <v>79</v>
      </c>
      <c r="AD112" s="19" t="s">
        <v>78</v>
      </c>
      <c r="AE112" s="14" t="s">
        <v>101</v>
      </c>
      <c r="AF112" s="15" t="s">
        <v>835</v>
      </c>
      <c r="AG112" s="15"/>
      <c r="AH112" s="15"/>
      <c r="AI112" s="14" t="n">
        <v>4</v>
      </c>
      <c r="AJ112" s="18" t="n">
        <v>46299</v>
      </c>
      <c r="AK112" s="17" t="s">
        <v>88</v>
      </c>
    </row>
    <row r="113" customFormat="false" ht="42.75" hidden="false" customHeight="true" outlineLevel="0" collapsed="false">
      <c r="A113" s="11" t="n">
        <v>111</v>
      </c>
      <c r="B113" s="11" t="str">
        <f aca="false">IF(I113="Y",IF(COUNTIF(I$3:I113,"Y")&lt;=20,"pilot",IF(COUNTIF(I$3:I113,"Y")&lt;=40,"dev",IF(COUNTIF(I$3:I113,"Y")&lt;=120,"test","extra"))),"")</f>
        <v>test</v>
      </c>
      <c r="C113" s="11" t="str">
        <f aca="false">IF(I113="Y",IF(COUNTA(K113,Q113,W113,AC113,AE113)=5,"done","in progress"),IF(I113="N","excluded",""))</f>
        <v>done</v>
      </c>
      <c r="D113" s="11" t="s">
        <v>836</v>
      </c>
      <c r="E113" s="12" t="s">
        <v>90</v>
      </c>
      <c r="F113" s="13" t="s">
        <v>837</v>
      </c>
      <c r="G113" s="11" t="s">
        <v>168</v>
      </c>
      <c r="H113" s="11"/>
      <c r="I113" s="14" t="s">
        <v>71</v>
      </c>
      <c r="J113" s="14"/>
      <c r="K113" s="14" t="s">
        <v>74</v>
      </c>
      <c r="L113" s="15" t="s">
        <v>838</v>
      </c>
      <c r="M113" s="14"/>
      <c r="N113" s="15"/>
      <c r="O113" s="14"/>
      <c r="P113" s="15"/>
      <c r="Q113" s="14" t="s">
        <v>72</v>
      </c>
      <c r="R113" s="15" t="s">
        <v>839</v>
      </c>
      <c r="S113" s="14"/>
      <c r="T113" s="15"/>
      <c r="U113" s="14"/>
      <c r="V113" s="15"/>
      <c r="W113" s="14" t="s">
        <v>79</v>
      </c>
      <c r="X113" s="15" t="s">
        <v>840</v>
      </c>
      <c r="Y113" s="14"/>
      <c r="Z113" s="15"/>
      <c r="AA113" s="14"/>
      <c r="AB113" s="15"/>
      <c r="AC113" s="14" t="s">
        <v>79</v>
      </c>
      <c r="AD113" s="19" t="s">
        <v>78</v>
      </c>
      <c r="AE113" s="14" t="s">
        <v>84</v>
      </c>
      <c r="AF113" s="15" t="s">
        <v>841</v>
      </c>
      <c r="AG113" s="15"/>
      <c r="AH113" s="15"/>
      <c r="AI113" s="20" t="n">
        <v>3</v>
      </c>
      <c r="AJ113" s="18" t="n">
        <v>46299</v>
      </c>
      <c r="AK113" s="17" t="s">
        <v>88</v>
      </c>
    </row>
    <row r="114" customFormat="false" ht="57" hidden="false" customHeight="true" outlineLevel="0" collapsed="false">
      <c r="A114" s="11" t="n">
        <v>112</v>
      </c>
      <c r="B114" s="11" t="str">
        <f aca="false">IF(I114="Y",IF(COUNTIF(I$3:I114,"Y")&lt;=20,"pilot",IF(COUNTIF(I$3:I114,"Y")&lt;=40,"dev",IF(COUNTIF(I$3:I114,"Y")&lt;=120,"test","extra"))),"")</f>
        <v>test</v>
      </c>
      <c r="C114" s="11" t="str">
        <f aca="false">IF(I114="Y",IF(COUNTA(K114,Q114,W114,AC114,AE114)=5,"done","in progress"),IF(I114="N","excluded",""))</f>
        <v>done</v>
      </c>
      <c r="D114" s="11" t="s">
        <v>842</v>
      </c>
      <c r="E114" s="12" t="s">
        <v>90</v>
      </c>
      <c r="F114" s="13" t="s">
        <v>843</v>
      </c>
      <c r="G114" s="11" t="s">
        <v>844</v>
      </c>
      <c r="H114" s="11"/>
      <c r="I114" s="14" t="s">
        <v>71</v>
      </c>
      <c r="J114" s="14"/>
      <c r="K114" s="14" t="s">
        <v>74</v>
      </c>
      <c r="L114" s="15" t="s">
        <v>845</v>
      </c>
      <c r="M114" s="14"/>
      <c r="N114" s="15"/>
      <c r="O114" s="14"/>
      <c r="P114" s="15"/>
      <c r="Q114" s="14" t="s">
        <v>74</v>
      </c>
      <c r="R114" s="15" t="s">
        <v>846</v>
      </c>
      <c r="S114" s="14"/>
      <c r="T114" s="15"/>
      <c r="U114" s="14"/>
      <c r="V114" s="15"/>
      <c r="W114" s="14" t="s">
        <v>82</v>
      </c>
      <c r="X114" s="15" t="s">
        <v>847</v>
      </c>
      <c r="Y114" s="14"/>
      <c r="Z114" s="15"/>
      <c r="AA114" s="14"/>
      <c r="AB114" s="15"/>
      <c r="AC114" s="14" t="s">
        <v>79</v>
      </c>
      <c r="AD114" s="19" t="s">
        <v>78</v>
      </c>
      <c r="AE114" s="14" t="s">
        <v>101</v>
      </c>
      <c r="AF114" s="15" t="s">
        <v>848</v>
      </c>
      <c r="AG114" s="15"/>
      <c r="AH114" s="15"/>
      <c r="AI114" s="14" t="n">
        <v>4</v>
      </c>
      <c r="AJ114" s="18" t="n">
        <v>46299</v>
      </c>
      <c r="AK114" s="17" t="s">
        <v>88</v>
      </c>
    </row>
    <row r="115" customFormat="false" ht="57" hidden="false" customHeight="true" outlineLevel="0" collapsed="false">
      <c r="A115" s="11" t="n">
        <v>113</v>
      </c>
      <c r="B115" s="11" t="str">
        <f aca="false">IF(I115="Y",IF(COUNTIF(I$3:I115,"Y")&lt;=20,"pilot",IF(COUNTIF(I$3:I115,"Y")&lt;=40,"dev",IF(COUNTIF(I$3:I115,"Y")&lt;=120,"test","extra"))),"")</f>
        <v>test</v>
      </c>
      <c r="C115" s="11" t="str">
        <f aca="false">IF(I115="Y",IF(COUNTA(K115,Q115,W115,AC115,AE115)=5,"done","in progress"),IF(I115="N","excluded",""))</f>
        <v>done</v>
      </c>
      <c r="D115" s="11" t="s">
        <v>849</v>
      </c>
      <c r="E115" s="12" t="s">
        <v>90</v>
      </c>
      <c r="F115" s="13" t="s">
        <v>850</v>
      </c>
      <c r="G115" s="11" t="s">
        <v>851</v>
      </c>
      <c r="H115" s="11"/>
      <c r="I115" s="14" t="s">
        <v>71</v>
      </c>
      <c r="J115" s="14"/>
      <c r="K115" s="14" t="s">
        <v>72</v>
      </c>
      <c r="L115" s="15" t="s">
        <v>852</v>
      </c>
      <c r="M115" s="14"/>
      <c r="N115" s="15"/>
      <c r="O115" s="14"/>
      <c r="P115" s="15"/>
      <c r="Q115" s="14" t="s">
        <v>74</v>
      </c>
      <c r="R115" s="15" t="s">
        <v>853</v>
      </c>
      <c r="S115" s="14"/>
      <c r="T115" s="15"/>
      <c r="U115" s="14"/>
      <c r="V115" s="15"/>
      <c r="W115" s="14" t="s">
        <v>79</v>
      </c>
      <c r="X115" s="15" t="s">
        <v>854</v>
      </c>
      <c r="Y115" s="14"/>
      <c r="Z115" s="15"/>
      <c r="AA115" s="14"/>
      <c r="AB115" s="15"/>
      <c r="AC115" s="14" t="s">
        <v>79</v>
      </c>
      <c r="AD115" s="19" t="s">
        <v>78</v>
      </c>
      <c r="AE115" s="14" t="s">
        <v>101</v>
      </c>
      <c r="AF115" s="15" t="s">
        <v>855</v>
      </c>
      <c r="AG115" s="15"/>
      <c r="AH115" s="15"/>
      <c r="AI115" s="20" t="n">
        <v>4</v>
      </c>
      <c r="AJ115" s="18" t="n">
        <v>46299</v>
      </c>
      <c r="AK115" s="17" t="s">
        <v>88</v>
      </c>
    </row>
    <row r="116" customFormat="false" ht="28.5" hidden="false" customHeight="true" outlineLevel="0" collapsed="false">
      <c r="A116" s="11" t="n">
        <v>114</v>
      </c>
      <c r="B116" s="11" t="str">
        <f aca="false">IF(I116="Y",IF(COUNTIF(I$3:I116,"Y")&lt;=20,"pilot",IF(COUNTIF(I$3:I116,"Y")&lt;=40,"dev",IF(COUNTIF(I$3:I116,"Y")&lt;=120,"test","extra"))),"")</f>
        <v>test</v>
      </c>
      <c r="C116" s="11" t="str">
        <f aca="false">IF(I116="Y",IF(COUNTA(K116,Q116,W116,AC116,AE116)=5,"done","in progress"),IF(I116="N","excluded",""))</f>
        <v>done</v>
      </c>
      <c r="D116" s="11" t="s">
        <v>856</v>
      </c>
      <c r="E116" s="12" t="s">
        <v>90</v>
      </c>
      <c r="F116" s="13" t="s">
        <v>857</v>
      </c>
      <c r="G116" s="11" t="s">
        <v>858</v>
      </c>
      <c r="H116" s="11"/>
      <c r="I116" s="14" t="s">
        <v>71</v>
      </c>
      <c r="J116" s="14"/>
      <c r="K116" s="14" t="s">
        <v>77</v>
      </c>
      <c r="L116" s="15" t="s">
        <v>859</v>
      </c>
      <c r="M116" s="14"/>
      <c r="N116" s="15"/>
      <c r="O116" s="14"/>
      <c r="P116" s="15"/>
      <c r="Q116" s="14" t="s">
        <v>72</v>
      </c>
      <c r="R116" s="15" t="s">
        <v>860</v>
      </c>
      <c r="S116" s="14"/>
      <c r="T116" s="15"/>
      <c r="U116" s="14"/>
      <c r="V116" s="15"/>
      <c r="W116" s="14" t="s">
        <v>79</v>
      </c>
      <c r="X116" s="15" t="s">
        <v>861</v>
      </c>
      <c r="Y116" s="14"/>
      <c r="Z116" s="15"/>
      <c r="AA116" s="14"/>
      <c r="AB116" s="15"/>
      <c r="AC116" s="14" t="s">
        <v>79</v>
      </c>
      <c r="AD116" s="19" t="s">
        <v>78</v>
      </c>
      <c r="AE116" s="14" t="s">
        <v>79</v>
      </c>
      <c r="AF116" s="15" t="s">
        <v>709</v>
      </c>
      <c r="AG116" s="15"/>
      <c r="AH116" s="15"/>
      <c r="AI116" s="14" t="n">
        <v>3</v>
      </c>
      <c r="AJ116" s="18" t="n">
        <v>46299</v>
      </c>
      <c r="AK116" s="17" t="s">
        <v>88</v>
      </c>
    </row>
    <row r="117" customFormat="false" ht="42.75" hidden="false" customHeight="true" outlineLevel="0" collapsed="false">
      <c r="A117" s="11" t="n">
        <v>115</v>
      </c>
      <c r="B117" s="11" t="str">
        <f aca="false">IF(I117="Y",IF(COUNTIF(I$3:I117,"Y")&lt;=20,"pilot",IF(COUNTIF(I$3:I117,"Y")&lt;=40,"dev",IF(COUNTIF(I$3:I117,"Y")&lt;=120,"test","extra"))),"")</f>
        <v>test</v>
      </c>
      <c r="C117" s="11" t="str">
        <f aca="false">IF(I117="Y",IF(COUNTA(K117,Q117,W117,AC117,AE117)=5,"done","in progress"),IF(I117="N","excluded",""))</f>
        <v>done</v>
      </c>
      <c r="D117" s="11" t="s">
        <v>862</v>
      </c>
      <c r="E117" s="12" t="s">
        <v>90</v>
      </c>
      <c r="F117" s="13" t="s">
        <v>863</v>
      </c>
      <c r="G117" s="11" t="s">
        <v>864</v>
      </c>
      <c r="H117" s="11"/>
      <c r="I117" s="14" t="s">
        <v>71</v>
      </c>
      <c r="J117" s="14"/>
      <c r="K117" s="14" t="s">
        <v>74</v>
      </c>
      <c r="L117" s="15" t="s">
        <v>865</v>
      </c>
      <c r="M117" s="14"/>
      <c r="N117" s="15"/>
      <c r="O117" s="14"/>
      <c r="P117" s="15"/>
      <c r="Q117" s="14" t="s">
        <v>74</v>
      </c>
      <c r="R117" s="15" t="s">
        <v>866</v>
      </c>
      <c r="S117" s="14"/>
      <c r="T117" s="15"/>
      <c r="U117" s="14"/>
      <c r="V117" s="15"/>
      <c r="W117" s="14" t="s">
        <v>79</v>
      </c>
      <c r="X117" s="15" t="s">
        <v>867</v>
      </c>
      <c r="Y117" s="14"/>
      <c r="Z117" s="15"/>
      <c r="AA117" s="14"/>
      <c r="AB117" s="15"/>
      <c r="AC117" s="14" t="s">
        <v>82</v>
      </c>
      <c r="AD117" s="15" t="s">
        <v>868</v>
      </c>
      <c r="AE117" s="14" t="s">
        <v>84</v>
      </c>
      <c r="AF117" s="15" t="s">
        <v>869</v>
      </c>
      <c r="AG117" s="15"/>
      <c r="AH117" s="15"/>
      <c r="AI117" s="14" t="n">
        <v>4</v>
      </c>
      <c r="AJ117" s="18" t="n">
        <v>46299</v>
      </c>
      <c r="AK117" s="17" t="s">
        <v>88</v>
      </c>
    </row>
    <row r="118" customFormat="false" ht="28.5" hidden="false" customHeight="true" outlineLevel="0" collapsed="false">
      <c r="A118" s="11" t="n">
        <v>116</v>
      </c>
      <c r="B118" s="11" t="str">
        <f aca="false">IF(I118="Y",IF(COUNTIF(I$3:I118,"Y")&lt;=20,"pilot",IF(COUNTIF(I$3:I118,"Y")&lt;=40,"dev",IF(COUNTIF(I$3:I118,"Y")&lt;=120,"test","extra"))),"")</f>
        <v>test</v>
      </c>
      <c r="C118" s="11" t="str">
        <f aca="false">IF(I118="Y",IF(COUNTA(K118,Q118,W118,AC118,AE118)=5,"done","in progress"),IF(I118="N","excluded",""))</f>
        <v>done</v>
      </c>
      <c r="D118" s="11" t="s">
        <v>870</v>
      </c>
      <c r="E118" s="12" t="s">
        <v>90</v>
      </c>
      <c r="F118" s="13" t="s">
        <v>871</v>
      </c>
      <c r="G118" s="11" t="s">
        <v>844</v>
      </c>
      <c r="H118" s="11"/>
      <c r="I118" s="14" t="s">
        <v>71</v>
      </c>
      <c r="J118" s="14"/>
      <c r="K118" s="14" t="s">
        <v>77</v>
      </c>
      <c r="L118" s="15" t="s">
        <v>872</v>
      </c>
      <c r="M118" s="14"/>
      <c r="N118" s="15"/>
      <c r="O118" s="14"/>
      <c r="P118" s="15"/>
      <c r="Q118" s="14" t="s">
        <v>74</v>
      </c>
      <c r="R118" s="19" t="s">
        <v>873</v>
      </c>
      <c r="S118" s="14"/>
      <c r="T118" s="15"/>
      <c r="U118" s="14"/>
      <c r="V118" s="15"/>
      <c r="W118" s="14" t="s">
        <v>82</v>
      </c>
      <c r="X118" s="19" t="s">
        <v>874</v>
      </c>
      <c r="Y118" s="14"/>
      <c r="Z118" s="15"/>
      <c r="AA118" s="14"/>
      <c r="AB118" s="15"/>
      <c r="AC118" s="14" t="s">
        <v>79</v>
      </c>
      <c r="AD118" s="19" t="s">
        <v>78</v>
      </c>
      <c r="AE118" s="14" t="s">
        <v>101</v>
      </c>
      <c r="AF118" s="15" t="s">
        <v>121</v>
      </c>
      <c r="AG118" s="15"/>
      <c r="AH118" s="15"/>
      <c r="AI118" s="14" t="n">
        <v>3</v>
      </c>
      <c r="AJ118" s="18" t="n">
        <v>46299</v>
      </c>
      <c r="AK118" s="17" t="s">
        <v>88</v>
      </c>
    </row>
    <row r="119" customFormat="false" ht="42.75" hidden="false" customHeight="true" outlineLevel="0" collapsed="false">
      <c r="A119" s="11" t="n">
        <v>117</v>
      </c>
      <c r="B119" s="11" t="str">
        <f aca="false">IF(I119="Y",IF(COUNTIF(I$3:I119,"Y")&lt;=20,"pilot",IF(COUNTIF(I$3:I119,"Y")&lt;=40,"dev",IF(COUNTIF(I$3:I119,"Y")&lt;=120,"test","extra"))),"")</f>
        <v>test</v>
      </c>
      <c r="C119" s="11" t="str">
        <f aca="false">IF(I119="Y",IF(COUNTA(K119,Q119,W119,AC119,AE119)=5,"done","in progress"),IF(I119="N","excluded",""))</f>
        <v>done</v>
      </c>
      <c r="D119" s="11" t="s">
        <v>875</v>
      </c>
      <c r="E119" s="12" t="s">
        <v>90</v>
      </c>
      <c r="F119" s="13" t="s">
        <v>876</v>
      </c>
      <c r="G119" s="11" t="s">
        <v>168</v>
      </c>
      <c r="H119" s="11"/>
      <c r="I119" s="14" t="s">
        <v>71</v>
      </c>
      <c r="J119" s="14"/>
      <c r="K119" s="14" t="s">
        <v>77</v>
      </c>
      <c r="L119" s="15" t="s">
        <v>877</v>
      </c>
      <c r="M119" s="14"/>
      <c r="N119" s="15"/>
      <c r="O119" s="14"/>
      <c r="P119" s="15"/>
      <c r="Q119" s="14" t="s">
        <v>77</v>
      </c>
      <c r="R119" s="15" t="s">
        <v>878</v>
      </c>
      <c r="S119" s="14"/>
      <c r="T119" s="15"/>
      <c r="U119" s="14"/>
      <c r="V119" s="15"/>
      <c r="W119" s="14" t="s">
        <v>79</v>
      </c>
      <c r="X119" s="15" t="s">
        <v>879</v>
      </c>
      <c r="Y119" s="14"/>
      <c r="Z119" s="15"/>
      <c r="AA119" s="14"/>
      <c r="AB119" s="15"/>
      <c r="AC119" s="14" t="s">
        <v>79</v>
      </c>
      <c r="AD119" s="19" t="s">
        <v>78</v>
      </c>
      <c r="AE119" s="14" t="s">
        <v>84</v>
      </c>
      <c r="AF119" s="15" t="s">
        <v>880</v>
      </c>
      <c r="AG119" s="15"/>
      <c r="AH119" s="15"/>
      <c r="AI119" s="14" t="n">
        <v>4</v>
      </c>
      <c r="AJ119" s="18" t="n">
        <v>46299</v>
      </c>
      <c r="AK119" s="17" t="s">
        <v>88</v>
      </c>
    </row>
    <row r="120" customFormat="false" ht="28.5" hidden="false" customHeight="true" outlineLevel="0" collapsed="false">
      <c r="A120" s="11" t="n">
        <v>118</v>
      </c>
      <c r="B120" s="11" t="str">
        <f aca="false">IF(I120="Y",IF(COUNTIF(I$3:I120,"Y")&lt;=20,"pilot",IF(COUNTIF(I$3:I120,"Y")&lt;=40,"dev",IF(COUNTIF(I$3:I120,"Y")&lt;=120,"test","extra"))),"")</f>
        <v>test</v>
      </c>
      <c r="C120" s="11" t="str">
        <f aca="false">IF(I120="Y",IF(COUNTA(K120,Q120,W120,AC120,AE120)=5,"done","in progress"),IF(I120="N","excluded",""))</f>
        <v>done</v>
      </c>
      <c r="D120" s="11" t="s">
        <v>881</v>
      </c>
      <c r="E120" s="12" t="s">
        <v>90</v>
      </c>
      <c r="F120" s="13" t="s">
        <v>882</v>
      </c>
      <c r="G120" s="11" t="s">
        <v>193</v>
      </c>
      <c r="H120" s="11"/>
      <c r="I120" s="14" t="s">
        <v>71</v>
      </c>
      <c r="J120" s="14"/>
      <c r="K120" s="14" t="s">
        <v>77</v>
      </c>
      <c r="L120" s="15" t="s">
        <v>883</v>
      </c>
      <c r="M120" s="14"/>
      <c r="N120" s="15"/>
      <c r="O120" s="14"/>
      <c r="P120" s="15"/>
      <c r="Q120" s="14" t="s">
        <v>72</v>
      </c>
      <c r="R120" s="15" t="s">
        <v>884</v>
      </c>
      <c r="S120" s="14"/>
      <c r="T120" s="15"/>
      <c r="U120" s="14"/>
      <c r="V120" s="15"/>
      <c r="W120" s="14" t="s">
        <v>82</v>
      </c>
      <c r="X120" s="19" t="s">
        <v>885</v>
      </c>
      <c r="Y120" s="14"/>
      <c r="Z120" s="15"/>
      <c r="AA120" s="14"/>
      <c r="AB120" s="15"/>
      <c r="AC120" s="14" t="s">
        <v>79</v>
      </c>
      <c r="AD120" s="15" t="s">
        <v>78</v>
      </c>
      <c r="AE120" s="14" t="s">
        <v>84</v>
      </c>
      <c r="AF120" s="15" t="s">
        <v>886</v>
      </c>
      <c r="AG120" s="15"/>
      <c r="AH120" s="15"/>
      <c r="AI120" s="14" t="n">
        <v>6</v>
      </c>
      <c r="AJ120" s="18" t="n">
        <v>46299</v>
      </c>
      <c r="AK120" s="17" t="s">
        <v>88</v>
      </c>
    </row>
    <row r="121" customFormat="false" ht="42.75" hidden="false" customHeight="true" outlineLevel="0" collapsed="false">
      <c r="A121" s="11" t="n">
        <v>119</v>
      </c>
      <c r="B121" s="11" t="str">
        <f aca="false">IF(I121="Y",IF(COUNTIF(I$3:I121,"Y")&lt;=20,"pilot",IF(COUNTIF(I$3:I121,"Y")&lt;=40,"dev",IF(COUNTIF(I$3:I121,"Y")&lt;=120,"test","extra"))),"")</f>
        <v>test</v>
      </c>
      <c r="C121" s="11" t="str">
        <f aca="false">IF(I121="Y",IF(COUNTA(K121,Q121,W121,AC121,AE121)=5,"done","in progress"),IF(I121="N","excluded",""))</f>
        <v>done</v>
      </c>
      <c r="D121" s="11" t="s">
        <v>887</v>
      </c>
      <c r="E121" s="12" t="s">
        <v>90</v>
      </c>
      <c r="F121" s="13" t="s">
        <v>888</v>
      </c>
      <c r="G121" s="11" t="s">
        <v>251</v>
      </c>
      <c r="H121" s="11"/>
      <c r="I121" s="14" t="s">
        <v>71</v>
      </c>
      <c r="J121" s="14"/>
      <c r="K121" s="14" t="s">
        <v>74</v>
      </c>
      <c r="L121" s="15" t="s">
        <v>889</v>
      </c>
      <c r="M121" s="14"/>
      <c r="N121" s="15"/>
      <c r="O121" s="14"/>
      <c r="P121" s="15"/>
      <c r="Q121" s="14" t="s">
        <v>74</v>
      </c>
      <c r="R121" s="15" t="s">
        <v>890</v>
      </c>
      <c r="S121" s="14"/>
      <c r="T121" s="15"/>
      <c r="U121" s="14"/>
      <c r="V121" s="15"/>
      <c r="W121" s="14" t="s">
        <v>82</v>
      </c>
      <c r="X121" s="15" t="s">
        <v>891</v>
      </c>
      <c r="Y121" s="14"/>
      <c r="Z121" s="15"/>
      <c r="AA121" s="14"/>
      <c r="AB121" s="15"/>
      <c r="AC121" s="14" t="s">
        <v>79</v>
      </c>
      <c r="AD121" s="19" t="s">
        <v>78</v>
      </c>
      <c r="AE121" s="14" t="s">
        <v>79</v>
      </c>
      <c r="AF121" s="19" t="s">
        <v>78</v>
      </c>
      <c r="AG121" s="15"/>
      <c r="AH121" s="15"/>
      <c r="AI121" s="14" t="n">
        <v>5</v>
      </c>
      <c r="AJ121" s="18" t="n">
        <v>46299</v>
      </c>
      <c r="AK121" s="17" t="s">
        <v>88</v>
      </c>
    </row>
    <row r="122" customFormat="false" ht="42.75" hidden="false" customHeight="true" outlineLevel="0" collapsed="false">
      <c r="A122" s="11" t="n">
        <v>120</v>
      </c>
      <c r="B122" s="11" t="str">
        <f aca="false">IF(I122="Y",IF(COUNTIF(I$3:I122,"Y")&lt;=20,"pilot",IF(COUNTIF(I$3:I122,"Y")&lt;=40,"dev",IF(COUNTIF(I$3:I122,"Y")&lt;=120,"test","extra"))),"")</f>
        <v>test</v>
      </c>
      <c r="C122" s="11" t="str">
        <f aca="false">IF(I122="Y",IF(COUNTA(K122,Q122,W122,AC122,AE122)=5,"done","in progress"),IF(I122="N","excluded",""))</f>
        <v>done</v>
      </c>
      <c r="D122" s="11" t="s">
        <v>892</v>
      </c>
      <c r="E122" s="12" t="s">
        <v>90</v>
      </c>
      <c r="F122" s="13" t="s">
        <v>893</v>
      </c>
      <c r="G122" s="11" t="s">
        <v>145</v>
      </c>
      <c r="H122" s="11"/>
      <c r="I122" s="14" t="s">
        <v>71</v>
      </c>
      <c r="J122" s="14"/>
      <c r="K122" s="14" t="s">
        <v>74</v>
      </c>
      <c r="L122" s="15" t="s">
        <v>894</v>
      </c>
      <c r="M122" s="14"/>
      <c r="N122" s="15"/>
      <c r="O122" s="14"/>
      <c r="P122" s="15"/>
      <c r="Q122" s="14" t="s">
        <v>77</v>
      </c>
      <c r="R122" s="15" t="s">
        <v>894</v>
      </c>
      <c r="S122" s="14"/>
      <c r="T122" s="15"/>
      <c r="U122" s="14"/>
      <c r="V122" s="15"/>
      <c r="W122" s="14" t="s">
        <v>82</v>
      </c>
      <c r="X122" s="15" t="s">
        <v>895</v>
      </c>
      <c r="Y122" s="14"/>
      <c r="Z122" s="15"/>
      <c r="AA122" s="14"/>
      <c r="AB122" s="15"/>
      <c r="AC122" s="14" t="s">
        <v>79</v>
      </c>
      <c r="AD122" s="19" t="s">
        <v>78</v>
      </c>
      <c r="AE122" s="14" t="s">
        <v>84</v>
      </c>
      <c r="AF122" s="15" t="s">
        <v>896</v>
      </c>
      <c r="AG122" s="15"/>
      <c r="AH122" s="15"/>
      <c r="AI122" s="14" t="n">
        <v>5</v>
      </c>
      <c r="AJ122" s="18" t="n">
        <v>46299</v>
      </c>
      <c r="AK122" s="17" t="s">
        <v>88</v>
      </c>
    </row>
    <row r="123" customFormat="false" ht="42.75" hidden="false" customHeight="true" outlineLevel="0" collapsed="false">
      <c r="A123" s="11" t="n">
        <v>121</v>
      </c>
      <c r="B123" s="11" t="str">
        <f aca="false">IF(I123="Y",IF(COUNTIF(I$3:I123,"Y")&lt;=20,"pilot",IF(COUNTIF(I$3:I123,"Y")&lt;=40,"dev",IF(COUNTIF(I$3:I123,"Y")&lt;=120,"test","extra"))),"")</f>
        <v>test</v>
      </c>
      <c r="C123" s="11" t="str">
        <f aca="false">IF(I123="Y",IF(COUNTA(K123,Q123,W123,AC123,AE123)=5,"done","in progress"),IF(I123="N","excluded",""))</f>
        <v>done</v>
      </c>
      <c r="D123" s="11" t="s">
        <v>897</v>
      </c>
      <c r="E123" s="12" t="s">
        <v>90</v>
      </c>
      <c r="F123" s="13" t="s">
        <v>898</v>
      </c>
      <c r="G123" s="11" t="s">
        <v>125</v>
      </c>
      <c r="H123" s="11"/>
      <c r="I123" s="14" t="s">
        <v>71</v>
      </c>
      <c r="J123" s="14"/>
      <c r="K123" s="14" t="s">
        <v>74</v>
      </c>
      <c r="L123" s="15" t="s">
        <v>899</v>
      </c>
      <c r="M123" s="14"/>
      <c r="N123" s="15"/>
      <c r="O123" s="14"/>
      <c r="P123" s="15"/>
      <c r="Q123" s="14" t="s">
        <v>74</v>
      </c>
      <c r="R123" s="15" t="s">
        <v>900</v>
      </c>
      <c r="S123" s="14"/>
      <c r="T123" s="15"/>
      <c r="U123" s="14"/>
      <c r="V123" s="15"/>
      <c r="W123" s="14" t="s">
        <v>82</v>
      </c>
      <c r="X123" s="15" t="s">
        <v>901</v>
      </c>
      <c r="Y123" s="14"/>
      <c r="Z123" s="15"/>
      <c r="AA123" s="14"/>
      <c r="AB123" s="15"/>
      <c r="AC123" s="14" t="s">
        <v>82</v>
      </c>
      <c r="AD123" s="19" t="s">
        <v>902</v>
      </c>
      <c r="AE123" s="14" t="s">
        <v>84</v>
      </c>
      <c r="AF123" s="15" t="s">
        <v>903</v>
      </c>
      <c r="AG123" s="15"/>
      <c r="AH123" s="15"/>
      <c r="AI123" s="20" t="n">
        <v>6</v>
      </c>
      <c r="AJ123" s="18" t="n">
        <v>46299</v>
      </c>
      <c r="AK123" s="17" t="s">
        <v>88</v>
      </c>
    </row>
    <row r="124" customFormat="false" ht="28.5" hidden="false" customHeight="true" outlineLevel="0" collapsed="false">
      <c r="A124" s="11" t="n">
        <v>122</v>
      </c>
      <c r="B124" s="11" t="str">
        <f aca="false">IF(I124="Y",IF(COUNTIF(I$3:I124,"Y")&lt;=20,"pilot",IF(COUNTIF(I$3:I124,"Y")&lt;=40,"dev",IF(COUNTIF(I$3:I124,"Y")&lt;=120,"test","extra"))),"")</f>
        <v>test</v>
      </c>
      <c r="C124" s="11" t="str">
        <f aca="false">IF(I124="Y",IF(COUNTA(K124,Q124,W124,AC124,AE124)=5,"done","in progress"),IF(I124="N","excluded",""))</f>
        <v>done</v>
      </c>
      <c r="D124" s="11" t="s">
        <v>904</v>
      </c>
      <c r="E124" s="12" t="s">
        <v>90</v>
      </c>
      <c r="F124" s="13" t="s">
        <v>905</v>
      </c>
      <c r="G124" s="11" t="s">
        <v>193</v>
      </c>
      <c r="H124" s="11"/>
      <c r="I124" s="14" t="s">
        <v>71</v>
      </c>
      <c r="J124" s="14"/>
      <c r="K124" s="14" t="s">
        <v>72</v>
      </c>
      <c r="L124" s="15" t="s">
        <v>906</v>
      </c>
      <c r="M124" s="14"/>
      <c r="N124" s="15"/>
      <c r="O124" s="14"/>
      <c r="P124" s="15"/>
      <c r="Q124" s="14" t="s">
        <v>74</v>
      </c>
      <c r="R124" s="15" t="s">
        <v>907</v>
      </c>
      <c r="S124" s="14"/>
      <c r="T124" s="15"/>
      <c r="U124" s="14"/>
      <c r="V124" s="15"/>
      <c r="W124" s="14" t="s">
        <v>79</v>
      </c>
      <c r="X124" s="15" t="s">
        <v>908</v>
      </c>
      <c r="Y124" s="14"/>
      <c r="Z124" s="15"/>
      <c r="AA124" s="14"/>
      <c r="AB124" s="15"/>
      <c r="AC124" s="14" t="s">
        <v>79</v>
      </c>
      <c r="AD124" s="19" t="s">
        <v>78</v>
      </c>
      <c r="AE124" s="14" t="s">
        <v>84</v>
      </c>
      <c r="AF124" s="15" t="s">
        <v>909</v>
      </c>
      <c r="AG124" s="15"/>
      <c r="AH124" s="15"/>
      <c r="AI124" s="14" t="n">
        <v>5</v>
      </c>
      <c r="AJ124" s="18" t="n">
        <v>46299</v>
      </c>
      <c r="AK124" s="17" t="s">
        <v>88</v>
      </c>
    </row>
    <row r="125" customFormat="false" ht="42.75" hidden="false" customHeight="true" outlineLevel="0" collapsed="false">
      <c r="A125" s="11" t="n">
        <v>123</v>
      </c>
      <c r="B125" s="11" t="str">
        <f aca="false">IF(I125="Y",IF(COUNTIF(I$3:I125,"Y")&lt;=20,"pilot",IF(COUNTIF(I$3:I125,"Y")&lt;=40,"dev",IF(COUNTIF(I$3:I125,"Y")&lt;=120,"test","extra"))),"")</f>
        <v>test</v>
      </c>
      <c r="C125" s="11" t="str">
        <f aca="false">IF(I125="Y",IF(COUNTA(K125,Q125,W125,AC125,AE125)=5,"done","in progress"),IF(I125="N","excluded",""))</f>
        <v>done</v>
      </c>
      <c r="D125" s="11" t="s">
        <v>910</v>
      </c>
      <c r="E125" s="12" t="s">
        <v>90</v>
      </c>
      <c r="F125" s="13" t="s">
        <v>911</v>
      </c>
      <c r="G125" s="11" t="s">
        <v>145</v>
      </c>
      <c r="H125" s="11"/>
      <c r="I125" s="14" t="s">
        <v>71</v>
      </c>
      <c r="J125" s="14"/>
      <c r="K125" s="14" t="s">
        <v>77</v>
      </c>
      <c r="L125" s="19" t="s">
        <v>912</v>
      </c>
      <c r="M125" s="14"/>
      <c r="N125" s="15"/>
      <c r="O125" s="14"/>
      <c r="P125" s="15"/>
      <c r="Q125" s="14" t="s">
        <v>77</v>
      </c>
      <c r="R125" s="15" t="s">
        <v>913</v>
      </c>
      <c r="S125" s="14"/>
      <c r="T125" s="15"/>
      <c r="U125" s="14"/>
      <c r="V125" s="15"/>
      <c r="W125" s="14" t="s">
        <v>79</v>
      </c>
      <c r="X125" s="19" t="s">
        <v>914</v>
      </c>
      <c r="Y125" s="14"/>
      <c r="Z125" s="15"/>
      <c r="AA125" s="14"/>
      <c r="AB125" s="15"/>
      <c r="AC125" s="14" t="s">
        <v>79</v>
      </c>
      <c r="AD125" s="19" t="s">
        <v>78</v>
      </c>
      <c r="AE125" s="14" t="s">
        <v>84</v>
      </c>
      <c r="AF125" s="15" t="s">
        <v>915</v>
      </c>
      <c r="AG125" s="15"/>
      <c r="AH125" s="15"/>
      <c r="AI125" s="20" t="n">
        <v>4</v>
      </c>
      <c r="AJ125" s="18" t="n">
        <v>46299</v>
      </c>
      <c r="AK125" s="17" t="s">
        <v>88</v>
      </c>
    </row>
    <row r="126" customFormat="false" ht="42.75" hidden="false" customHeight="true" outlineLevel="0" collapsed="false">
      <c r="A126" s="11" t="n">
        <v>124</v>
      </c>
      <c r="B126" s="11" t="str">
        <f aca="false">IF(I126="Y",IF(COUNTIF(I$3:I126,"Y")&lt;=20,"pilot",IF(COUNTIF(I$3:I126,"Y")&lt;=40,"dev",IF(COUNTIF(I$3:I126,"Y")&lt;=120,"test","extra"))),"")</f>
        <v>test</v>
      </c>
      <c r="C126" s="11" t="str">
        <f aca="false">IF(I126="Y",IF(COUNTA(K126,Q126,W126,AC126,AE126)=5,"done","in progress"),IF(I126="N","excluded",""))</f>
        <v>done</v>
      </c>
      <c r="D126" s="11" t="s">
        <v>916</v>
      </c>
      <c r="E126" s="12" t="s">
        <v>90</v>
      </c>
      <c r="F126" s="13" t="s">
        <v>917</v>
      </c>
      <c r="G126" s="11" t="s">
        <v>918</v>
      </c>
      <c r="H126" s="11"/>
      <c r="I126" s="14" t="s">
        <v>71</v>
      </c>
      <c r="J126" s="14"/>
      <c r="K126" s="14" t="s">
        <v>77</v>
      </c>
      <c r="L126" s="15" t="s">
        <v>919</v>
      </c>
      <c r="M126" s="14"/>
      <c r="N126" s="15"/>
      <c r="O126" s="14"/>
      <c r="P126" s="15"/>
      <c r="Q126" s="14" t="s">
        <v>74</v>
      </c>
      <c r="R126" s="15" t="s">
        <v>920</v>
      </c>
      <c r="S126" s="14"/>
      <c r="T126" s="15"/>
      <c r="U126" s="14"/>
      <c r="V126" s="15"/>
      <c r="W126" s="14" t="s">
        <v>79</v>
      </c>
      <c r="X126" s="15" t="s">
        <v>921</v>
      </c>
      <c r="Y126" s="14"/>
      <c r="Z126" s="15"/>
      <c r="AA126" s="14"/>
      <c r="AB126" s="15"/>
      <c r="AC126" s="14" t="s">
        <v>79</v>
      </c>
      <c r="AD126" s="19" t="s">
        <v>78</v>
      </c>
      <c r="AE126" s="14" t="s">
        <v>101</v>
      </c>
      <c r="AF126" s="15" t="s">
        <v>922</v>
      </c>
      <c r="AG126" s="15"/>
      <c r="AH126" s="15"/>
      <c r="AI126" s="14" t="n">
        <v>4</v>
      </c>
      <c r="AJ126" s="18" t="n">
        <v>46299</v>
      </c>
      <c r="AK126" s="17" t="s">
        <v>88</v>
      </c>
    </row>
    <row r="127" customFormat="false" ht="42.75" hidden="false" customHeight="true" outlineLevel="0" collapsed="false">
      <c r="A127" s="11" t="n">
        <v>125</v>
      </c>
      <c r="B127" s="11" t="str">
        <f aca="false">IF(I127="Y",IF(COUNTIF(I$3:I127,"Y")&lt;=20,"pilot",IF(COUNTIF(I$3:I127,"Y")&lt;=40,"dev",IF(COUNTIF(I$3:I127,"Y")&lt;=120,"test","extra"))),"")</f>
        <v>test</v>
      </c>
      <c r="C127" s="11" t="str">
        <f aca="false">IF(I127="Y",IF(COUNTA(K127,Q127,W127,AC127,AE127)=5,"done","in progress"),IF(I127="N","excluded",""))</f>
        <v>done</v>
      </c>
      <c r="D127" s="11" t="s">
        <v>923</v>
      </c>
      <c r="E127" s="12" t="s">
        <v>90</v>
      </c>
      <c r="F127" s="13" t="s">
        <v>924</v>
      </c>
      <c r="G127" s="11" t="s">
        <v>925</v>
      </c>
      <c r="H127" s="11"/>
      <c r="I127" s="14" t="s">
        <v>71</v>
      </c>
      <c r="J127" s="14"/>
      <c r="K127" s="14" t="s">
        <v>74</v>
      </c>
      <c r="L127" s="15" t="s">
        <v>926</v>
      </c>
      <c r="M127" s="14"/>
      <c r="N127" s="15"/>
      <c r="O127" s="14"/>
      <c r="P127" s="15"/>
      <c r="Q127" s="14" t="s">
        <v>72</v>
      </c>
      <c r="R127" s="15" t="s">
        <v>927</v>
      </c>
      <c r="S127" s="14"/>
      <c r="T127" s="15"/>
      <c r="U127" s="14"/>
      <c r="V127" s="15"/>
      <c r="W127" s="14" t="s">
        <v>82</v>
      </c>
      <c r="X127" s="15" t="s">
        <v>928</v>
      </c>
      <c r="Y127" s="14"/>
      <c r="Z127" s="15"/>
      <c r="AA127" s="14"/>
      <c r="AB127" s="15"/>
      <c r="AC127" s="14" t="s">
        <v>82</v>
      </c>
      <c r="AD127" s="15" t="s">
        <v>929</v>
      </c>
      <c r="AE127" s="14" t="s">
        <v>79</v>
      </c>
      <c r="AF127" s="15" t="s">
        <v>930</v>
      </c>
      <c r="AG127" s="15"/>
      <c r="AH127" s="15"/>
      <c r="AI127" s="14" t="n">
        <v>4</v>
      </c>
      <c r="AJ127" s="18" t="n">
        <v>46300</v>
      </c>
      <c r="AK127" s="17" t="s">
        <v>88</v>
      </c>
    </row>
    <row r="128" customFormat="false" ht="42.75" hidden="false" customHeight="true" outlineLevel="0" collapsed="false">
      <c r="A128" s="11" t="n">
        <v>126</v>
      </c>
      <c r="B128" s="11" t="str">
        <f aca="false">IF(I128="Y",IF(COUNTIF(I$3:I128,"Y")&lt;=20,"pilot",IF(COUNTIF(I$3:I128,"Y")&lt;=40,"dev",IF(COUNTIF(I$3:I128,"Y")&lt;=120,"test","extra"))),"")</f>
        <v>test</v>
      </c>
      <c r="C128" s="11" t="str">
        <f aca="false">IF(I128="Y",IF(COUNTA(K128,Q128,W128,AC128,AE128)=5,"done","in progress"),IF(I128="N","excluded",""))</f>
        <v>done</v>
      </c>
      <c r="D128" s="11" t="s">
        <v>931</v>
      </c>
      <c r="E128" s="12" t="s">
        <v>90</v>
      </c>
      <c r="F128" s="13" t="s">
        <v>932</v>
      </c>
      <c r="G128" s="11" t="s">
        <v>476</v>
      </c>
      <c r="H128" s="11"/>
      <c r="I128" s="14" t="s">
        <v>71</v>
      </c>
      <c r="J128" s="20"/>
      <c r="K128" s="14" t="s">
        <v>74</v>
      </c>
      <c r="L128" s="15" t="s">
        <v>933</v>
      </c>
      <c r="M128" s="14"/>
      <c r="N128" s="15"/>
      <c r="O128" s="14"/>
      <c r="P128" s="15"/>
      <c r="Q128" s="14" t="s">
        <v>74</v>
      </c>
      <c r="R128" s="15" t="s">
        <v>934</v>
      </c>
      <c r="S128" s="14"/>
      <c r="T128" s="15"/>
      <c r="U128" s="14"/>
      <c r="V128" s="15"/>
      <c r="W128" s="14" t="s">
        <v>82</v>
      </c>
      <c r="X128" s="15" t="s">
        <v>935</v>
      </c>
      <c r="Y128" s="14"/>
      <c r="Z128" s="15"/>
      <c r="AA128" s="14"/>
      <c r="AB128" s="15"/>
      <c r="AC128" s="14" t="s">
        <v>79</v>
      </c>
      <c r="AD128" s="19" t="s">
        <v>78</v>
      </c>
      <c r="AE128" s="14" t="s">
        <v>101</v>
      </c>
      <c r="AF128" s="15" t="s">
        <v>504</v>
      </c>
      <c r="AG128" s="15"/>
      <c r="AH128" s="15"/>
      <c r="AI128" s="20" t="n">
        <v>3</v>
      </c>
      <c r="AJ128" s="18" t="n">
        <v>46300</v>
      </c>
      <c r="AK128" s="17" t="s">
        <v>88</v>
      </c>
    </row>
    <row r="129" customFormat="false" ht="42.75" hidden="false" customHeight="true" outlineLevel="0" collapsed="false">
      <c r="A129" s="11" t="n">
        <v>127</v>
      </c>
      <c r="B129" s="11" t="str">
        <f aca="false">IF(I129="Y",IF(COUNTIF(I$3:I129,"Y")&lt;=20,"pilot",IF(COUNTIF(I$3:I129,"Y")&lt;=40,"dev",IF(COUNTIF(I$3:I129,"Y")&lt;=120,"test","extra"))),"")</f>
        <v>test</v>
      </c>
      <c r="C129" s="11" t="str">
        <f aca="false">IF(I129="Y",IF(COUNTA(K129,Q129,W129,AC129,AE129)=5,"done","in progress"),IF(I129="N","excluded",""))</f>
        <v>done</v>
      </c>
      <c r="D129" s="11" t="s">
        <v>936</v>
      </c>
      <c r="E129" s="12" t="s">
        <v>90</v>
      </c>
      <c r="F129" s="13" t="s">
        <v>937</v>
      </c>
      <c r="G129" s="11" t="s">
        <v>938</v>
      </c>
      <c r="H129" s="11"/>
      <c r="I129" s="14" t="s">
        <v>71</v>
      </c>
      <c r="J129" s="14"/>
      <c r="K129" s="14" t="s">
        <v>77</v>
      </c>
      <c r="L129" s="15" t="s">
        <v>939</v>
      </c>
      <c r="M129" s="14"/>
      <c r="N129" s="15"/>
      <c r="O129" s="14"/>
      <c r="P129" s="15"/>
      <c r="Q129" s="14" t="s">
        <v>74</v>
      </c>
      <c r="R129" s="15" t="s">
        <v>940</v>
      </c>
      <c r="S129" s="14"/>
      <c r="T129" s="15"/>
      <c r="U129" s="14"/>
      <c r="V129" s="15"/>
      <c r="W129" s="14" t="s">
        <v>82</v>
      </c>
      <c r="X129" s="15" t="s">
        <v>941</v>
      </c>
      <c r="Y129" s="14"/>
      <c r="Z129" s="15"/>
      <c r="AA129" s="14"/>
      <c r="AB129" s="15"/>
      <c r="AC129" s="14" t="s">
        <v>82</v>
      </c>
      <c r="AD129" s="15" t="s">
        <v>942</v>
      </c>
      <c r="AE129" s="14" t="s">
        <v>101</v>
      </c>
      <c r="AF129" s="19" t="s">
        <v>943</v>
      </c>
      <c r="AG129" s="15"/>
      <c r="AH129" s="15"/>
      <c r="AI129" s="20" t="n">
        <v>5</v>
      </c>
      <c r="AJ129" s="18" t="n">
        <v>46300</v>
      </c>
      <c r="AK129" s="17" t="s">
        <v>88</v>
      </c>
    </row>
    <row r="130" customFormat="false" ht="57" hidden="false" customHeight="true" outlineLevel="0" collapsed="false">
      <c r="A130" s="11" t="n">
        <v>128</v>
      </c>
      <c r="B130" s="11" t="str">
        <f aca="false">IF(I130="Y",IF(COUNTIF(I$3:I130,"Y")&lt;=20,"pilot",IF(COUNTIF(I$3:I130,"Y")&lt;=40,"dev",IF(COUNTIF(I$3:I130,"Y")&lt;=120,"test","extra"))),"")</f>
        <v>test</v>
      </c>
      <c r="C130" s="11" t="str">
        <f aca="false">IF(I130="Y",IF(COUNTA(K130,Q130,W130,AC130,AE130)=5,"done","in progress"),IF(I130="N","excluded",""))</f>
        <v>done</v>
      </c>
      <c r="D130" s="11" t="s">
        <v>944</v>
      </c>
      <c r="E130" s="12" t="s">
        <v>90</v>
      </c>
      <c r="F130" s="13" t="s">
        <v>945</v>
      </c>
      <c r="G130" s="11" t="s">
        <v>92</v>
      </c>
      <c r="H130" s="11"/>
      <c r="I130" s="14" t="s">
        <v>71</v>
      </c>
      <c r="J130" s="14"/>
      <c r="K130" s="14" t="s">
        <v>74</v>
      </c>
      <c r="L130" s="15" t="s">
        <v>946</v>
      </c>
      <c r="M130" s="14"/>
      <c r="N130" s="15"/>
      <c r="O130" s="14"/>
      <c r="P130" s="15"/>
      <c r="Q130" s="14" t="s">
        <v>77</v>
      </c>
      <c r="R130" s="15" t="s">
        <v>947</v>
      </c>
      <c r="S130" s="14"/>
      <c r="T130" s="15"/>
      <c r="U130" s="14"/>
      <c r="V130" s="15"/>
      <c r="W130" s="14" t="s">
        <v>82</v>
      </c>
      <c r="X130" s="15" t="s">
        <v>948</v>
      </c>
      <c r="Y130" s="14"/>
      <c r="Z130" s="15"/>
      <c r="AA130" s="14"/>
      <c r="AB130" s="15"/>
      <c r="AC130" s="14" t="s">
        <v>79</v>
      </c>
      <c r="AD130" s="19" t="s">
        <v>78</v>
      </c>
      <c r="AE130" s="14" t="s">
        <v>101</v>
      </c>
      <c r="AF130" s="15" t="s">
        <v>949</v>
      </c>
      <c r="AG130" s="15"/>
      <c r="AH130" s="15"/>
      <c r="AI130" s="14" t="n">
        <v>4</v>
      </c>
      <c r="AJ130" s="18" t="n">
        <v>46300</v>
      </c>
      <c r="AK130" s="17" t="s">
        <v>88</v>
      </c>
    </row>
    <row r="131" customFormat="false" ht="71.25" hidden="false" customHeight="true" outlineLevel="0" collapsed="false">
      <c r="A131" s="11" t="n">
        <v>129</v>
      </c>
      <c r="B131" s="11" t="str">
        <f aca="false">IF(I131="Y",IF(COUNTIF(I$3:I131,"Y")&lt;=20,"pilot",IF(COUNTIF(I$3:I131,"Y")&lt;=40,"dev",IF(COUNTIF(I$3:I131,"Y")&lt;=120,"test","extra"))),"")</f>
        <v/>
      </c>
      <c r="C131" s="11" t="str">
        <f aca="false">IF(I131="Y",IF(COUNTA(K131,Q131,W131,AC131,AE131)=5,"done","in progress"),IF(I131="N","excluded",""))</f>
        <v/>
      </c>
      <c r="D131" s="11" t="s">
        <v>950</v>
      </c>
      <c r="E131" s="12" t="s">
        <v>90</v>
      </c>
      <c r="F131" s="13" t="s">
        <v>951</v>
      </c>
      <c r="G131" s="11" t="s">
        <v>136</v>
      </c>
      <c r="H131" s="11"/>
      <c r="I131" s="14"/>
      <c r="J131" s="14"/>
      <c r="K131" s="14"/>
      <c r="L131" s="15"/>
      <c r="M131" s="14"/>
      <c r="N131" s="15"/>
      <c r="O131" s="14"/>
      <c r="P131" s="15"/>
      <c r="Q131" s="14"/>
      <c r="R131" s="15"/>
      <c r="S131" s="14"/>
      <c r="T131" s="15"/>
      <c r="U131" s="14"/>
      <c r="V131" s="15"/>
      <c r="W131" s="14"/>
      <c r="X131" s="15"/>
      <c r="Y131" s="14"/>
      <c r="Z131" s="15"/>
      <c r="AA131" s="14"/>
      <c r="AB131" s="15"/>
      <c r="AC131" s="14"/>
      <c r="AD131" s="15"/>
      <c r="AE131" s="14"/>
      <c r="AF131" s="15"/>
      <c r="AG131" s="15"/>
      <c r="AH131" s="15"/>
      <c r="AI131" s="14"/>
      <c r="AJ131" s="14"/>
      <c r="AK131" s="17"/>
    </row>
    <row r="132" customFormat="false" ht="42.75" hidden="false" customHeight="true" outlineLevel="0" collapsed="false">
      <c r="A132" s="11" t="n">
        <v>130</v>
      </c>
      <c r="B132" s="11" t="str">
        <f aca="false">IF(I132="Y",IF(COUNTIF(I$3:I132,"Y")&lt;=20,"pilot",IF(COUNTIF(I$3:I132,"Y")&lt;=40,"dev",IF(COUNTIF(I$3:I132,"Y")&lt;=120,"test","extra"))),"")</f>
        <v/>
      </c>
      <c r="C132" s="11" t="str">
        <f aca="false">IF(I132="Y",IF(COUNTA(K132,Q132,W132,AC132,AE132)=5,"done","in progress"),IF(I132="N","excluded",""))</f>
        <v/>
      </c>
      <c r="D132" s="11" t="s">
        <v>952</v>
      </c>
      <c r="E132" s="12" t="s">
        <v>90</v>
      </c>
      <c r="F132" s="13" t="s">
        <v>953</v>
      </c>
      <c r="G132" s="11" t="s">
        <v>954</v>
      </c>
      <c r="H132" s="11"/>
      <c r="I132" s="14"/>
      <c r="J132" s="14"/>
      <c r="K132" s="14"/>
      <c r="L132" s="15"/>
      <c r="M132" s="14"/>
      <c r="N132" s="15"/>
      <c r="O132" s="14"/>
      <c r="P132" s="15"/>
      <c r="Q132" s="14"/>
      <c r="R132" s="15"/>
      <c r="S132" s="14"/>
      <c r="T132" s="15"/>
      <c r="U132" s="14"/>
      <c r="V132" s="15"/>
      <c r="W132" s="14"/>
      <c r="X132" s="15"/>
      <c r="Y132" s="14"/>
      <c r="Z132" s="15"/>
      <c r="AA132" s="14"/>
      <c r="AB132" s="15"/>
      <c r="AC132" s="14"/>
      <c r="AD132" s="15"/>
      <c r="AE132" s="14"/>
      <c r="AF132" s="15"/>
      <c r="AG132" s="15"/>
      <c r="AH132" s="15"/>
      <c r="AI132" s="14"/>
      <c r="AJ132" s="14"/>
      <c r="AK132" s="17"/>
    </row>
    <row r="133" customFormat="false" ht="42.75" hidden="false" customHeight="true" outlineLevel="0" collapsed="false">
      <c r="A133" s="11" t="n">
        <v>131</v>
      </c>
      <c r="B133" s="11" t="str">
        <f aca="false">IF(I133="Y",IF(COUNTIF(I$3:I133,"Y")&lt;=20,"pilot",IF(COUNTIF(I$3:I133,"Y")&lt;=40,"dev",IF(COUNTIF(I$3:I133,"Y")&lt;=120,"test","extra"))),"")</f>
        <v/>
      </c>
      <c r="C133" s="11" t="str">
        <f aca="false">IF(I133="Y",IF(COUNTA(K133,Q133,W133,AC133,AE133)=5,"done","in progress"),IF(I133="N","excluded",""))</f>
        <v/>
      </c>
      <c r="D133" s="11" t="s">
        <v>955</v>
      </c>
      <c r="E133" s="12" t="s">
        <v>90</v>
      </c>
      <c r="F133" s="13" t="s">
        <v>956</v>
      </c>
      <c r="G133" s="11" t="s">
        <v>957</v>
      </c>
      <c r="H133" s="11"/>
      <c r="I133" s="14"/>
      <c r="J133" s="14"/>
      <c r="K133" s="14"/>
      <c r="L133" s="15"/>
      <c r="M133" s="14"/>
      <c r="N133" s="15"/>
      <c r="O133" s="14"/>
      <c r="P133" s="15"/>
      <c r="Q133" s="14"/>
      <c r="R133" s="15"/>
      <c r="S133" s="14"/>
      <c r="T133" s="15"/>
      <c r="U133" s="14"/>
      <c r="V133" s="15"/>
      <c r="W133" s="14"/>
      <c r="X133" s="15"/>
      <c r="Y133" s="14"/>
      <c r="Z133" s="15"/>
      <c r="AA133" s="14"/>
      <c r="AB133" s="15"/>
      <c r="AC133" s="14"/>
      <c r="AD133" s="15"/>
      <c r="AE133" s="14"/>
      <c r="AF133" s="15"/>
      <c r="AG133" s="15"/>
      <c r="AH133" s="15"/>
      <c r="AI133" s="14"/>
      <c r="AJ133" s="14"/>
      <c r="AK133" s="17"/>
    </row>
    <row r="134" customFormat="false" ht="57" hidden="false" customHeight="true" outlineLevel="0" collapsed="false">
      <c r="A134" s="11" t="n">
        <v>132</v>
      </c>
      <c r="B134" s="11" t="str">
        <f aca="false">IF(I134="Y",IF(COUNTIF(I$3:I134,"Y")&lt;=20,"pilot",IF(COUNTIF(I$3:I134,"Y")&lt;=40,"dev",IF(COUNTIF(I$3:I134,"Y")&lt;=120,"test","extra"))),"")</f>
        <v/>
      </c>
      <c r="C134" s="11" t="str">
        <f aca="false">IF(I134="Y",IF(COUNTA(K134,Q134,W134,AC134,AE134)=5,"done","in progress"),IF(I134="N","excluded",""))</f>
        <v/>
      </c>
      <c r="D134" s="11" t="s">
        <v>958</v>
      </c>
      <c r="E134" s="12" t="s">
        <v>90</v>
      </c>
      <c r="F134" s="13" t="s">
        <v>959</v>
      </c>
      <c r="G134" s="11" t="s">
        <v>136</v>
      </c>
      <c r="H134" s="11"/>
      <c r="I134" s="14"/>
      <c r="J134" s="14"/>
      <c r="K134" s="14"/>
      <c r="L134" s="15"/>
      <c r="M134" s="14"/>
      <c r="N134" s="15"/>
      <c r="O134" s="14"/>
      <c r="P134" s="15"/>
      <c r="Q134" s="14"/>
      <c r="R134" s="15"/>
      <c r="S134" s="14"/>
      <c r="T134" s="15"/>
      <c r="U134" s="14"/>
      <c r="V134" s="15"/>
      <c r="W134" s="14"/>
      <c r="X134" s="15"/>
      <c r="Y134" s="14"/>
      <c r="Z134" s="15"/>
      <c r="AA134" s="14"/>
      <c r="AB134" s="15"/>
      <c r="AC134" s="14"/>
      <c r="AD134" s="15"/>
      <c r="AE134" s="14"/>
      <c r="AF134" s="15"/>
      <c r="AG134" s="15"/>
      <c r="AH134" s="15"/>
      <c r="AI134" s="14"/>
      <c r="AJ134" s="14"/>
      <c r="AK134" s="17"/>
    </row>
    <row r="135" customFormat="false" ht="42.75" hidden="false" customHeight="true" outlineLevel="0" collapsed="false">
      <c r="A135" s="11" t="n">
        <v>133</v>
      </c>
      <c r="B135" s="11" t="str">
        <f aca="false">IF(I135="Y",IF(COUNTIF(I$3:I135,"Y")&lt;=20,"pilot",IF(COUNTIF(I$3:I135,"Y")&lt;=40,"dev",IF(COUNTIF(I$3:I135,"Y")&lt;=120,"test","extra"))),"")</f>
        <v/>
      </c>
      <c r="C135" s="11" t="str">
        <f aca="false">IF(I135="Y",IF(COUNTA(K135,Q135,W135,AC135,AE135)=5,"done","in progress"),IF(I135="N","excluded",""))</f>
        <v/>
      </c>
      <c r="D135" s="11" t="s">
        <v>960</v>
      </c>
      <c r="E135" s="12" t="s">
        <v>90</v>
      </c>
      <c r="F135" s="13" t="s">
        <v>961</v>
      </c>
      <c r="G135" s="11" t="s">
        <v>145</v>
      </c>
      <c r="H135" s="11"/>
      <c r="I135" s="14"/>
      <c r="J135" s="14"/>
      <c r="K135" s="14"/>
      <c r="L135" s="15"/>
      <c r="M135" s="14"/>
      <c r="N135" s="15"/>
      <c r="O135" s="14"/>
      <c r="P135" s="15"/>
      <c r="Q135" s="14"/>
      <c r="R135" s="15"/>
      <c r="S135" s="14"/>
      <c r="T135" s="15"/>
      <c r="U135" s="14"/>
      <c r="V135" s="15"/>
      <c r="W135" s="14"/>
      <c r="X135" s="15"/>
      <c r="Y135" s="14"/>
      <c r="Z135" s="15"/>
      <c r="AA135" s="14"/>
      <c r="AB135" s="15"/>
      <c r="AC135" s="14"/>
      <c r="AD135" s="15"/>
      <c r="AE135" s="14"/>
      <c r="AF135" s="15"/>
      <c r="AG135" s="15"/>
      <c r="AH135" s="15"/>
      <c r="AI135" s="14"/>
      <c r="AJ135" s="14"/>
      <c r="AK135" s="17"/>
    </row>
    <row r="136" customFormat="false" ht="28.5" hidden="false" customHeight="true" outlineLevel="0" collapsed="false">
      <c r="A136" s="11" t="n">
        <v>134</v>
      </c>
      <c r="B136" s="11" t="str">
        <f aca="false">IF(I136="Y",IF(COUNTIF(I$3:I136,"Y")&lt;=20,"pilot",IF(COUNTIF(I$3:I136,"Y")&lt;=40,"dev",IF(COUNTIF(I$3:I136,"Y")&lt;=120,"test","extra"))),"")</f>
        <v/>
      </c>
      <c r="C136" s="11" t="str">
        <f aca="false">IF(I136="Y",IF(COUNTA(K136,Q136,W136,AC136,AE136)=5,"done","in progress"),IF(I136="N","excluded",""))</f>
        <v/>
      </c>
      <c r="D136" s="11" t="s">
        <v>962</v>
      </c>
      <c r="E136" s="12" t="s">
        <v>90</v>
      </c>
      <c r="F136" s="13" t="s">
        <v>963</v>
      </c>
      <c r="G136" s="11" t="s">
        <v>964</v>
      </c>
      <c r="H136" s="11"/>
      <c r="I136" s="14"/>
      <c r="J136" s="14"/>
      <c r="K136" s="14"/>
      <c r="L136" s="15"/>
      <c r="M136" s="14"/>
      <c r="N136" s="15"/>
      <c r="O136" s="14"/>
      <c r="P136" s="15"/>
      <c r="Q136" s="14"/>
      <c r="R136" s="15"/>
      <c r="S136" s="14"/>
      <c r="T136" s="15"/>
      <c r="U136" s="14"/>
      <c r="V136" s="15"/>
      <c r="W136" s="14"/>
      <c r="X136" s="15"/>
      <c r="Y136" s="14"/>
      <c r="Z136" s="15"/>
      <c r="AA136" s="14"/>
      <c r="AB136" s="15"/>
      <c r="AC136" s="14"/>
      <c r="AD136" s="15"/>
      <c r="AE136" s="14"/>
      <c r="AF136" s="15"/>
      <c r="AG136" s="15"/>
      <c r="AH136" s="15"/>
      <c r="AI136" s="14"/>
      <c r="AJ136" s="14"/>
      <c r="AK136" s="17"/>
    </row>
    <row r="137" customFormat="false" ht="57" hidden="false" customHeight="true" outlineLevel="0" collapsed="false">
      <c r="A137" s="11" t="n">
        <v>135</v>
      </c>
      <c r="B137" s="11" t="str">
        <f aca="false">IF(I137="Y",IF(COUNTIF(I$3:I137,"Y")&lt;=20,"pilot",IF(COUNTIF(I$3:I137,"Y")&lt;=40,"dev",IF(COUNTIF(I$3:I137,"Y")&lt;=120,"test","extra"))),"")</f>
        <v/>
      </c>
      <c r="C137" s="11" t="str">
        <f aca="false">IF(I137="Y",IF(COUNTA(K137,Q137,W137,AC137,AE137)=5,"done","in progress"),IF(I137="N","excluded",""))</f>
        <v/>
      </c>
      <c r="D137" s="11" t="s">
        <v>965</v>
      </c>
      <c r="E137" s="12" t="s">
        <v>90</v>
      </c>
      <c r="F137" s="13" t="s">
        <v>966</v>
      </c>
      <c r="G137" s="11" t="s">
        <v>235</v>
      </c>
      <c r="H137" s="11"/>
      <c r="I137" s="14"/>
      <c r="J137" s="14"/>
      <c r="K137" s="14"/>
      <c r="L137" s="15"/>
      <c r="M137" s="14"/>
      <c r="N137" s="15"/>
      <c r="O137" s="14"/>
      <c r="P137" s="15"/>
      <c r="Q137" s="14"/>
      <c r="R137" s="15"/>
      <c r="S137" s="14"/>
      <c r="T137" s="15"/>
      <c r="U137" s="14"/>
      <c r="V137" s="15"/>
      <c r="W137" s="14"/>
      <c r="X137" s="15"/>
      <c r="Y137" s="14"/>
      <c r="Z137" s="15"/>
      <c r="AA137" s="14"/>
      <c r="AB137" s="15"/>
      <c r="AC137" s="14"/>
      <c r="AD137" s="15"/>
      <c r="AE137" s="14"/>
      <c r="AF137" s="15"/>
      <c r="AG137" s="15"/>
      <c r="AH137" s="15"/>
      <c r="AI137" s="14"/>
      <c r="AJ137" s="14"/>
      <c r="AK137" s="17"/>
    </row>
    <row r="138" customFormat="false" ht="42.75" hidden="false" customHeight="true" outlineLevel="0" collapsed="false">
      <c r="A138" s="11" t="n">
        <v>136</v>
      </c>
      <c r="B138" s="11" t="str">
        <f aca="false">IF(I138="Y",IF(COUNTIF(I$3:I138,"Y")&lt;=20,"pilot",IF(COUNTIF(I$3:I138,"Y")&lt;=40,"dev",IF(COUNTIF(I$3:I138,"Y")&lt;=120,"test","extra"))),"")</f>
        <v/>
      </c>
      <c r="C138" s="11" t="str">
        <f aca="false">IF(I138="Y",IF(COUNTA(K138,Q138,W138,AC138,AE138)=5,"done","in progress"),IF(I138="N","excluded",""))</f>
        <v/>
      </c>
      <c r="D138" s="11" t="s">
        <v>967</v>
      </c>
      <c r="E138" s="12" t="s">
        <v>90</v>
      </c>
      <c r="F138" s="13" t="s">
        <v>968</v>
      </c>
      <c r="G138" s="11" t="s">
        <v>969</v>
      </c>
      <c r="H138" s="11"/>
      <c r="I138" s="14"/>
      <c r="J138" s="14"/>
      <c r="K138" s="14"/>
      <c r="L138" s="15"/>
      <c r="M138" s="14"/>
      <c r="N138" s="15"/>
      <c r="O138" s="14"/>
      <c r="P138" s="15"/>
      <c r="Q138" s="14"/>
      <c r="R138" s="15"/>
      <c r="S138" s="14"/>
      <c r="T138" s="15"/>
      <c r="U138" s="14"/>
      <c r="V138" s="15"/>
      <c r="W138" s="14"/>
      <c r="X138" s="15"/>
      <c r="Y138" s="14"/>
      <c r="Z138" s="15"/>
      <c r="AA138" s="14"/>
      <c r="AB138" s="15"/>
      <c r="AC138" s="14"/>
      <c r="AD138" s="15"/>
      <c r="AE138" s="14"/>
      <c r="AF138" s="15"/>
      <c r="AG138" s="15"/>
      <c r="AH138" s="15"/>
      <c r="AI138" s="14"/>
      <c r="AJ138" s="14"/>
      <c r="AK138" s="17"/>
    </row>
    <row r="139" customFormat="false" ht="42.75" hidden="false" customHeight="true" outlineLevel="0" collapsed="false">
      <c r="A139" s="11" t="n">
        <v>137</v>
      </c>
      <c r="B139" s="11" t="str">
        <f aca="false">IF(I139="Y",IF(COUNTIF(I$3:I139,"Y")&lt;=20,"pilot",IF(COUNTIF(I$3:I139,"Y")&lt;=40,"dev",IF(COUNTIF(I$3:I139,"Y")&lt;=120,"test","extra"))),"")</f>
        <v/>
      </c>
      <c r="C139" s="11" t="str">
        <f aca="false">IF(I139="Y",IF(COUNTA(K139,Q139,W139,AC139,AE139)=5,"done","in progress"),IF(I139="N","excluded",""))</f>
        <v/>
      </c>
      <c r="D139" s="11" t="s">
        <v>970</v>
      </c>
      <c r="E139" s="12" t="s">
        <v>90</v>
      </c>
      <c r="F139" s="13" t="s">
        <v>971</v>
      </c>
      <c r="G139" s="11" t="s">
        <v>972</v>
      </c>
      <c r="H139" s="11"/>
      <c r="I139" s="14"/>
      <c r="J139" s="14"/>
      <c r="K139" s="14"/>
      <c r="L139" s="15"/>
      <c r="M139" s="14"/>
      <c r="N139" s="15"/>
      <c r="O139" s="14"/>
      <c r="P139" s="15"/>
      <c r="Q139" s="14"/>
      <c r="R139" s="15"/>
      <c r="S139" s="14"/>
      <c r="T139" s="15"/>
      <c r="U139" s="14"/>
      <c r="V139" s="15"/>
      <c r="W139" s="14"/>
      <c r="X139" s="15"/>
      <c r="Y139" s="14"/>
      <c r="Z139" s="15"/>
      <c r="AA139" s="14"/>
      <c r="AB139" s="15"/>
      <c r="AC139" s="14"/>
      <c r="AD139" s="15"/>
      <c r="AE139" s="14"/>
      <c r="AF139" s="15"/>
      <c r="AG139" s="15"/>
      <c r="AH139" s="15"/>
      <c r="AI139" s="14"/>
      <c r="AJ139" s="14"/>
      <c r="AK139" s="17"/>
    </row>
    <row r="140" customFormat="false" ht="28.5" hidden="false" customHeight="true" outlineLevel="0" collapsed="false">
      <c r="A140" s="11" t="n">
        <v>138</v>
      </c>
      <c r="B140" s="11" t="str">
        <f aca="false">IF(I140="Y",IF(COUNTIF(I$3:I140,"Y")&lt;=20,"pilot",IF(COUNTIF(I$3:I140,"Y")&lt;=40,"dev",IF(COUNTIF(I$3:I140,"Y")&lt;=120,"test","extra"))),"")</f>
        <v/>
      </c>
      <c r="C140" s="11" t="str">
        <f aca="false">IF(I140="Y",IF(COUNTA(K140,Q140,W140,AC140,AE140)=5,"done","in progress"),IF(I140="N","excluded",""))</f>
        <v/>
      </c>
      <c r="D140" s="11" t="s">
        <v>973</v>
      </c>
      <c r="E140" s="12" t="s">
        <v>90</v>
      </c>
      <c r="F140" s="13" t="s">
        <v>974</v>
      </c>
      <c r="G140" s="11" t="s">
        <v>975</v>
      </c>
      <c r="H140" s="11"/>
      <c r="I140" s="14"/>
      <c r="J140" s="14"/>
      <c r="K140" s="14"/>
      <c r="L140" s="15"/>
      <c r="M140" s="14"/>
      <c r="N140" s="15"/>
      <c r="O140" s="14"/>
      <c r="P140" s="15"/>
      <c r="Q140" s="14"/>
      <c r="R140" s="15"/>
      <c r="S140" s="14"/>
      <c r="T140" s="15"/>
      <c r="U140" s="14"/>
      <c r="V140" s="15"/>
      <c r="W140" s="14"/>
      <c r="X140" s="15"/>
      <c r="Y140" s="14"/>
      <c r="Z140" s="15"/>
      <c r="AA140" s="14"/>
      <c r="AB140" s="15"/>
      <c r="AC140" s="14"/>
      <c r="AD140" s="15"/>
      <c r="AE140" s="14"/>
      <c r="AF140" s="15"/>
      <c r="AG140" s="15"/>
      <c r="AH140" s="15"/>
      <c r="AI140" s="14"/>
      <c r="AJ140" s="14"/>
      <c r="AK140" s="17"/>
    </row>
    <row r="141" customFormat="false" ht="42.75" hidden="false" customHeight="true" outlineLevel="0" collapsed="false">
      <c r="A141" s="11" t="n">
        <v>139</v>
      </c>
      <c r="B141" s="11" t="str">
        <f aca="false">IF(I141="Y",IF(COUNTIF(I$3:I141,"Y")&lt;=20,"pilot",IF(COUNTIF(I$3:I141,"Y")&lt;=40,"dev",IF(COUNTIF(I$3:I141,"Y")&lt;=120,"test","extra"))),"")</f>
        <v/>
      </c>
      <c r="C141" s="11" t="str">
        <f aca="false">IF(I141="Y",IF(COUNTA(K141,Q141,W141,AC141,AE141)=5,"done","in progress"),IF(I141="N","excluded",""))</f>
        <v/>
      </c>
      <c r="D141" s="11" t="s">
        <v>976</v>
      </c>
      <c r="E141" s="12" t="s">
        <v>90</v>
      </c>
      <c r="F141" s="13" t="s">
        <v>977</v>
      </c>
      <c r="G141" s="11" t="s">
        <v>978</v>
      </c>
      <c r="H141" s="11"/>
      <c r="I141" s="14"/>
      <c r="J141" s="14"/>
      <c r="K141" s="14"/>
      <c r="L141" s="15"/>
      <c r="M141" s="14"/>
      <c r="N141" s="15"/>
      <c r="O141" s="14"/>
      <c r="P141" s="15"/>
      <c r="Q141" s="14"/>
      <c r="R141" s="15"/>
      <c r="S141" s="14"/>
      <c r="T141" s="15"/>
      <c r="U141" s="14"/>
      <c r="V141" s="15"/>
      <c r="W141" s="14"/>
      <c r="X141" s="15"/>
      <c r="Y141" s="14"/>
      <c r="Z141" s="15"/>
      <c r="AA141" s="14"/>
      <c r="AB141" s="15"/>
      <c r="AC141" s="14"/>
      <c r="AD141" s="15"/>
      <c r="AE141" s="14"/>
      <c r="AF141" s="15"/>
      <c r="AG141" s="15"/>
      <c r="AH141" s="15"/>
      <c r="AI141" s="14"/>
      <c r="AJ141" s="14"/>
      <c r="AK141" s="17"/>
    </row>
    <row r="142" customFormat="false" ht="28.5" hidden="false" customHeight="true" outlineLevel="0" collapsed="false">
      <c r="A142" s="11" t="n">
        <v>140</v>
      </c>
      <c r="B142" s="11" t="str">
        <f aca="false">IF(I142="Y",IF(COUNTIF(I$3:I142,"Y")&lt;=20,"pilot",IF(COUNTIF(I$3:I142,"Y")&lt;=40,"dev",IF(COUNTIF(I$3:I142,"Y")&lt;=120,"test","extra"))),"")</f>
        <v/>
      </c>
      <c r="C142" s="11" t="str">
        <f aca="false">IF(I142="Y",IF(COUNTA(K142,Q142,W142,AC142,AE142)=5,"done","in progress"),IF(I142="N","excluded",""))</f>
        <v/>
      </c>
      <c r="D142" s="11" t="s">
        <v>979</v>
      </c>
      <c r="E142" s="12" t="s">
        <v>90</v>
      </c>
      <c r="F142" s="13" t="s">
        <v>980</v>
      </c>
      <c r="G142" s="11" t="s">
        <v>193</v>
      </c>
      <c r="H142" s="11"/>
      <c r="I142" s="14"/>
      <c r="J142" s="14"/>
      <c r="K142" s="14"/>
      <c r="L142" s="15"/>
      <c r="M142" s="14"/>
      <c r="N142" s="15"/>
      <c r="O142" s="14"/>
      <c r="P142" s="15"/>
      <c r="Q142" s="14"/>
      <c r="R142" s="15"/>
      <c r="S142" s="14"/>
      <c r="T142" s="15"/>
      <c r="U142" s="14"/>
      <c r="V142" s="15"/>
      <c r="W142" s="14"/>
      <c r="X142" s="15"/>
      <c r="Y142" s="14"/>
      <c r="Z142" s="15"/>
      <c r="AA142" s="14"/>
      <c r="AB142" s="15"/>
      <c r="AC142" s="14"/>
      <c r="AD142" s="15"/>
      <c r="AE142" s="14"/>
      <c r="AF142" s="15"/>
      <c r="AG142" s="15"/>
      <c r="AH142" s="15"/>
      <c r="AI142" s="14"/>
      <c r="AJ142" s="14"/>
      <c r="AK142" s="17"/>
    </row>
    <row r="143" customFormat="false" ht="42.75" hidden="false" customHeight="true" outlineLevel="0" collapsed="false">
      <c r="A143" s="11" t="n">
        <v>141</v>
      </c>
      <c r="B143" s="11" t="str">
        <f aca="false">IF(I143="Y",IF(COUNTIF(I$3:I143,"Y")&lt;=20,"pilot",IF(COUNTIF(I$3:I143,"Y")&lt;=40,"dev",IF(COUNTIF(I$3:I143,"Y")&lt;=120,"test","extra"))),"")</f>
        <v/>
      </c>
      <c r="C143" s="11" t="str">
        <f aca="false">IF(I143="Y",IF(COUNTA(K143,Q143,W143,AC143,AE143)=5,"done","in progress"),IF(I143="N","excluded",""))</f>
        <v/>
      </c>
      <c r="D143" s="11" t="s">
        <v>981</v>
      </c>
      <c r="E143" s="12" t="s">
        <v>90</v>
      </c>
      <c r="F143" s="13" t="s">
        <v>982</v>
      </c>
      <c r="G143" s="11" t="s">
        <v>983</v>
      </c>
      <c r="H143" s="11"/>
      <c r="I143" s="14"/>
      <c r="J143" s="14"/>
      <c r="K143" s="14"/>
      <c r="L143" s="15"/>
      <c r="M143" s="14"/>
      <c r="N143" s="15"/>
      <c r="O143" s="14"/>
      <c r="P143" s="15"/>
      <c r="Q143" s="14"/>
      <c r="R143" s="15"/>
      <c r="S143" s="14"/>
      <c r="T143" s="15"/>
      <c r="U143" s="14"/>
      <c r="V143" s="15"/>
      <c r="W143" s="14"/>
      <c r="X143" s="15"/>
      <c r="Y143" s="14"/>
      <c r="Z143" s="15"/>
      <c r="AA143" s="14"/>
      <c r="AB143" s="15"/>
      <c r="AC143" s="14"/>
      <c r="AD143" s="15"/>
      <c r="AE143" s="14"/>
      <c r="AF143" s="15"/>
      <c r="AG143" s="15"/>
      <c r="AH143" s="15"/>
      <c r="AI143" s="14"/>
      <c r="AJ143" s="14"/>
      <c r="AK143" s="17"/>
    </row>
    <row r="144" customFormat="false" ht="42.75" hidden="false" customHeight="true" outlineLevel="0" collapsed="false">
      <c r="A144" s="11" t="n">
        <v>142</v>
      </c>
      <c r="B144" s="11" t="str">
        <f aca="false">IF(I144="Y",IF(COUNTIF(I$3:I144,"Y")&lt;=20,"pilot",IF(COUNTIF(I$3:I144,"Y")&lt;=40,"dev",IF(COUNTIF(I$3:I144,"Y")&lt;=120,"test","extra"))),"")</f>
        <v/>
      </c>
      <c r="C144" s="11" t="str">
        <f aca="false">IF(I144="Y",IF(COUNTA(K144,Q144,W144,AC144,AE144)=5,"done","in progress"),IF(I144="N","excluded",""))</f>
        <v/>
      </c>
      <c r="D144" s="11" t="s">
        <v>984</v>
      </c>
      <c r="E144" s="12" t="s">
        <v>90</v>
      </c>
      <c r="F144" s="13" t="s">
        <v>985</v>
      </c>
      <c r="G144" s="11" t="s">
        <v>986</v>
      </c>
      <c r="H144" s="11"/>
      <c r="I144" s="14"/>
      <c r="J144" s="14"/>
      <c r="K144" s="14"/>
      <c r="L144" s="15"/>
      <c r="M144" s="14"/>
      <c r="N144" s="15"/>
      <c r="O144" s="14"/>
      <c r="P144" s="15"/>
      <c r="Q144" s="14"/>
      <c r="R144" s="15"/>
      <c r="S144" s="14"/>
      <c r="T144" s="15"/>
      <c r="U144" s="14"/>
      <c r="V144" s="15"/>
      <c r="W144" s="14"/>
      <c r="X144" s="15"/>
      <c r="Y144" s="14"/>
      <c r="Z144" s="15"/>
      <c r="AA144" s="14"/>
      <c r="AB144" s="15"/>
      <c r="AC144" s="14"/>
      <c r="AD144" s="15"/>
      <c r="AE144" s="14"/>
      <c r="AF144" s="15"/>
      <c r="AG144" s="15"/>
      <c r="AH144" s="15"/>
      <c r="AI144" s="14"/>
      <c r="AJ144" s="14"/>
      <c r="AK144" s="17"/>
    </row>
    <row r="145" customFormat="false" ht="42.75" hidden="false" customHeight="true" outlineLevel="0" collapsed="false">
      <c r="A145" s="11" t="n">
        <v>143</v>
      </c>
      <c r="B145" s="11" t="str">
        <f aca="false">IF(I145="Y",IF(COUNTIF(I$3:I145,"Y")&lt;=20,"pilot",IF(COUNTIF(I$3:I145,"Y")&lt;=40,"dev",IF(COUNTIF(I$3:I145,"Y")&lt;=120,"test","extra"))),"")</f>
        <v/>
      </c>
      <c r="C145" s="11" t="str">
        <f aca="false">IF(I145="Y",IF(COUNTA(K145,Q145,W145,AC145,AE145)=5,"done","in progress"),IF(I145="N","excluded",""))</f>
        <v/>
      </c>
      <c r="D145" s="11" t="s">
        <v>987</v>
      </c>
      <c r="E145" s="12" t="s">
        <v>90</v>
      </c>
      <c r="F145" s="13" t="s">
        <v>988</v>
      </c>
      <c r="G145" s="11" t="s">
        <v>989</v>
      </c>
      <c r="H145" s="11"/>
      <c r="I145" s="14"/>
      <c r="J145" s="14"/>
      <c r="K145" s="14"/>
      <c r="L145" s="15"/>
      <c r="M145" s="14"/>
      <c r="N145" s="15"/>
      <c r="O145" s="14"/>
      <c r="P145" s="15"/>
      <c r="Q145" s="14"/>
      <c r="R145" s="15"/>
      <c r="S145" s="14"/>
      <c r="T145" s="15"/>
      <c r="U145" s="14"/>
      <c r="V145" s="15"/>
      <c r="W145" s="14"/>
      <c r="X145" s="15"/>
      <c r="Y145" s="14"/>
      <c r="Z145" s="15"/>
      <c r="AA145" s="14"/>
      <c r="AB145" s="15"/>
      <c r="AC145" s="14"/>
      <c r="AD145" s="15"/>
      <c r="AE145" s="14"/>
      <c r="AF145" s="15"/>
      <c r="AG145" s="15"/>
      <c r="AH145" s="15"/>
      <c r="AI145" s="14"/>
      <c r="AJ145" s="14"/>
      <c r="AK145" s="17"/>
    </row>
    <row r="146" customFormat="false" ht="57" hidden="false" customHeight="true" outlineLevel="0" collapsed="false">
      <c r="A146" s="11" t="n">
        <v>144</v>
      </c>
      <c r="B146" s="11" t="str">
        <f aca="false">IF(I146="Y",IF(COUNTIF(I$3:I146,"Y")&lt;=20,"pilot",IF(COUNTIF(I$3:I146,"Y")&lt;=40,"dev",IF(COUNTIF(I$3:I146,"Y")&lt;=120,"test","extra"))),"")</f>
        <v/>
      </c>
      <c r="C146" s="11" t="str">
        <f aca="false">IF(I146="Y",IF(COUNTA(K146,Q146,W146,AC146,AE146)=5,"done","in progress"),IF(I146="N","excluded",""))</f>
        <v/>
      </c>
      <c r="D146" s="11" t="s">
        <v>990</v>
      </c>
      <c r="E146" s="12" t="s">
        <v>90</v>
      </c>
      <c r="F146" s="13" t="s">
        <v>991</v>
      </c>
      <c r="G146" s="11" t="s">
        <v>306</v>
      </c>
      <c r="H146" s="11"/>
      <c r="I146" s="14"/>
      <c r="J146" s="14"/>
      <c r="K146" s="14"/>
      <c r="L146" s="15"/>
      <c r="M146" s="14"/>
      <c r="N146" s="15"/>
      <c r="O146" s="14"/>
      <c r="P146" s="15"/>
      <c r="Q146" s="14"/>
      <c r="R146" s="15"/>
      <c r="S146" s="14"/>
      <c r="T146" s="15"/>
      <c r="U146" s="14"/>
      <c r="V146" s="15"/>
      <c r="W146" s="14"/>
      <c r="X146" s="15"/>
      <c r="Y146" s="14"/>
      <c r="Z146" s="15"/>
      <c r="AA146" s="14"/>
      <c r="AB146" s="15"/>
      <c r="AC146" s="14"/>
      <c r="AD146" s="15"/>
      <c r="AE146" s="14"/>
      <c r="AF146" s="15"/>
      <c r="AG146" s="15"/>
      <c r="AH146" s="15"/>
      <c r="AI146" s="14"/>
      <c r="AJ146" s="14"/>
      <c r="AK146" s="17"/>
    </row>
    <row r="147" customFormat="false" ht="42.75" hidden="false" customHeight="true" outlineLevel="0" collapsed="false">
      <c r="A147" s="11" t="n">
        <v>145</v>
      </c>
      <c r="B147" s="11" t="str">
        <f aca="false">IF(I147="Y",IF(COUNTIF(I$3:I147,"Y")&lt;=20,"pilot",IF(COUNTIF(I$3:I147,"Y")&lt;=40,"dev",IF(COUNTIF(I$3:I147,"Y")&lt;=120,"test","extra"))),"")</f>
        <v/>
      </c>
      <c r="C147" s="11" t="str">
        <f aca="false">IF(I147="Y",IF(COUNTA(K147,Q147,W147,AC147,AE147)=5,"done","in progress"),IF(I147="N","excluded",""))</f>
        <v/>
      </c>
      <c r="D147" s="11" t="s">
        <v>992</v>
      </c>
      <c r="E147" s="12" t="s">
        <v>90</v>
      </c>
      <c r="F147" s="13" t="s">
        <v>993</v>
      </c>
      <c r="G147" s="11" t="s">
        <v>306</v>
      </c>
      <c r="H147" s="11"/>
      <c r="I147" s="14"/>
      <c r="J147" s="14"/>
      <c r="K147" s="14"/>
      <c r="L147" s="15"/>
      <c r="M147" s="14"/>
      <c r="N147" s="15"/>
      <c r="O147" s="14"/>
      <c r="P147" s="15"/>
      <c r="Q147" s="14"/>
      <c r="R147" s="15"/>
      <c r="S147" s="14"/>
      <c r="T147" s="15"/>
      <c r="U147" s="14"/>
      <c r="V147" s="15"/>
      <c r="W147" s="14"/>
      <c r="X147" s="15"/>
      <c r="Y147" s="14"/>
      <c r="Z147" s="15"/>
      <c r="AA147" s="14"/>
      <c r="AB147" s="15"/>
      <c r="AC147" s="14"/>
      <c r="AD147" s="15"/>
      <c r="AE147" s="14"/>
      <c r="AF147" s="15"/>
      <c r="AG147" s="15"/>
      <c r="AH147" s="15"/>
      <c r="AI147" s="14"/>
      <c r="AJ147" s="14"/>
      <c r="AK147" s="17"/>
    </row>
    <row r="148" customFormat="false" ht="42.75" hidden="false" customHeight="true" outlineLevel="0" collapsed="false">
      <c r="A148" s="11" t="n">
        <v>146</v>
      </c>
      <c r="B148" s="11" t="str">
        <f aca="false">IF(I148="Y",IF(COUNTIF(I$3:I148,"Y")&lt;=20,"pilot",IF(COUNTIF(I$3:I148,"Y")&lt;=40,"dev",IF(COUNTIF(I$3:I148,"Y")&lt;=120,"test","extra"))),"")</f>
        <v/>
      </c>
      <c r="C148" s="11" t="str">
        <f aca="false">IF(I148="Y",IF(COUNTA(K148,Q148,W148,AC148,AE148)=5,"done","in progress"),IF(I148="N","excluded",""))</f>
        <v/>
      </c>
      <c r="D148" s="11" t="s">
        <v>994</v>
      </c>
      <c r="E148" s="12" t="s">
        <v>90</v>
      </c>
      <c r="F148" s="13" t="s">
        <v>995</v>
      </c>
      <c r="G148" s="11" t="s">
        <v>996</v>
      </c>
      <c r="H148" s="11"/>
      <c r="I148" s="14"/>
      <c r="J148" s="14"/>
      <c r="K148" s="14"/>
      <c r="L148" s="15"/>
      <c r="M148" s="14"/>
      <c r="N148" s="15"/>
      <c r="O148" s="14"/>
      <c r="P148" s="15"/>
      <c r="Q148" s="14"/>
      <c r="R148" s="15"/>
      <c r="S148" s="14"/>
      <c r="T148" s="15"/>
      <c r="U148" s="14"/>
      <c r="V148" s="15"/>
      <c r="W148" s="14"/>
      <c r="X148" s="15"/>
      <c r="Y148" s="14"/>
      <c r="Z148" s="15"/>
      <c r="AA148" s="14"/>
      <c r="AB148" s="15"/>
      <c r="AC148" s="14"/>
      <c r="AD148" s="15"/>
      <c r="AE148" s="14"/>
      <c r="AF148" s="15"/>
      <c r="AG148" s="15"/>
      <c r="AH148" s="15"/>
      <c r="AI148" s="14"/>
      <c r="AJ148" s="14"/>
      <c r="AK148" s="17"/>
    </row>
    <row r="149" customFormat="false" ht="57" hidden="false" customHeight="true" outlineLevel="0" collapsed="false">
      <c r="A149" s="11" t="n">
        <v>147</v>
      </c>
      <c r="B149" s="11" t="str">
        <f aca="false">IF(I149="Y",IF(COUNTIF(I$3:I149,"Y")&lt;=20,"pilot",IF(COUNTIF(I$3:I149,"Y")&lt;=40,"dev",IF(COUNTIF(I$3:I149,"Y")&lt;=120,"test","extra"))),"")</f>
        <v/>
      </c>
      <c r="C149" s="11" t="str">
        <f aca="false">IF(I149="Y",IF(COUNTA(K149,Q149,W149,AC149,AE149)=5,"done","in progress"),IF(I149="N","excluded",""))</f>
        <v/>
      </c>
      <c r="D149" s="11" t="s">
        <v>997</v>
      </c>
      <c r="E149" s="12" t="s">
        <v>90</v>
      </c>
      <c r="F149" s="13" t="s">
        <v>998</v>
      </c>
      <c r="G149" s="11" t="s">
        <v>999</v>
      </c>
      <c r="H149" s="11"/>
      <c r="I149" s="14"/>
      <c r="J149" s="14"/>
      <c r="K149" s="14"/>
      <c r="L149" s="15"/>
      <c r="M149" s="14"/>
      <c r="N149" s="15"/>
      <c r="O149" s="14"/>
      <c r="P149" s="15"/>
      <c r="Q149" s="14"/>
      <c r="R149" s="15"/>
      <c r="S149" s="14"/>
      <c r="T149" s="15"/>
      <c r="U149" s="14"/>
      <c r="V149" s="15"/>
      <c r="W149" s="14"/>
      <c r="X149" s="15"/>
      <c r="Y149" s="14"/>
      <c r="Z149" s="15"/>
      <c r="AA149" s="14"/>
      <c r="AB149" s="15"/>
      <c r="AC149" s="14"/>
      <c r="AD149" s="15"/>
      <c r="AE149" s="14"/>
      <c r="AF149" s="15"/>
      <c r="AG149" s="15"/>
      <c r="AH149" s="15"/>
      <c r="AI149" s="14"/>
      <c r="AJ149" s="14"/>
      <c r="AK149" s="17"/>
    </row>
    <row r="150" customFormat="false" ht="42.75" hidden="false" customHeight="true" outlineLevel="0" collapsed="false">
      <c r="A150" s="11" t="n">
        <v>148</v>
      </c>
      <c r="B150" s="11" t="str">
        <f aca="false">IF(I150="Y",IF(COUNTIF(I$3:I150,"Y")&lt;=20,"pilot",IF(COUNTIF(I$3:I150,"Y")&lt;=40,"dev",IF(COUNTIF(I$3:I150,"Y")&lt;=120,"test","extra"))),"")</f>
        <v/>
      </c>
      <c r="C150" s="11" t="str">
        <f aca="false">IF(I150="Y",IF(COUNTA(K150,Q150,W150,AC150,AE150)=5,"done","in progress"),IF(I150="N","excluded",""))</f>
        <v/>
      </c>
      <c r="D150" s="11" t="s">
        <v>1000</v>
      </c>
      <c r="E150" s="12" t="s">
        <v>90</v>
      </c>
      <c r="F150" s="13" t="s">
        <v>1001</v>
      </c>
      <c r="G150" s="11" t="s">
        <v>168</v>
      </c>
      <c r="H150" s="11"/>
      <c r="I150" s="14"/>
      <c r="J150" s="14"/>
      <c r="K150" s="14"/>
      <c r="L150" s="15"/>
      <c r="M150" s="14"/>
      <c r="N150" s="15"/>
      <c r="O150" s="14"/>
      <c r="P150" s="15"/>
      <c r="Q150" s="14"/>
      <c r="R150" s="15"/>
      <c r="S150" s="14"/>
      <c r="T150" s="15"/>
      <c r="U150" s="14"/>
      <c r="V150" s="15"/>
      <c r="W150" s="14"/>
      <c r="X150" s="15"/>
      <c r="Y150" s="14"/>
      <c r="Z150" s="15"/>
      <c r="AA150" s="14"/>
      <c r="AB150" s="15"/>
      <c r="AC150" s="14"/>
      <c r="AD150" s="15"/>
      <c r="AE150" s="14"/>
      <c r="AF150" s="15"/>
      <c r="AG150" s="15"/>
      <c r="AH150" s="15"/>
      <c r="AI150" s="14"/>
      <c r="AJ150" s="14"/>
      <c r="AK150" s="17"/>
    </row>
    <row r="151" customFormat="false" ht="42.75" hidden="false" customHeight="true" outlineLevel="0" collapsed="false">
      <c r="A151" s="11" t="n">
        <v>149</v>
      </c>
      <c r="B151" s="11" t="str">
        <f aca="false">IF(I151="Y",IF(COUNTIF(I$3:I151,"Y")&lt;=20,"pilot",IF(COUNTIF(I$3:I151,"Y")&lt;=40,"dev",IF(COUNTIF(I$3:I151,"Y")&lt;=120,"test","extra"))),"")</f>
        <v/>
      </c>
      <c r="C151" s="11" t="str">
        <f aca="false">IF(I151="Y",IF(COUNTA(K151,Q151,W151,AC151,AE151)=5,"done","in progress"),IF(I151="N","excluded",""))</f>
        <v/>
      </c>
      <c r="D151" s="11" t="s">
        <v>1002</v>
      </c>
      <c r="E151" s="12" t="s">
        <v>90</v>
      </c>
      <c r="F151" s="13" t="s">
        <v>1003</v>
      </c>
      <c r="G151" s="11" t="s">
        <v>306</v>
      </c>
      <c r="H151" s="11"/>
      <c r="I151" s="14"/>
      <c r="J151" s="14"/>
      <c r="K151" s="14"/>
      <c r="L151" s="15"/>
      <c r="M151" s="14"/>
      <c r="N151" s="15"/>
      <c r="O151" s="14"/>
      <c r="P151" s="15"/>
      <c r="Q151" s="14"/>
      <c r="R151" s="15"/>
      <c r="S151" s="14"/>
      <c r="T151" s="15"/>
      <c r="U151" s="14"/>
      <c r="V151" s="15"/>
      <c r="W151" s="14"/>
      <c r="X151" s="15"/>
      <c r="Y151" s="14"/>
      <c r="Z151" s="15"/>
      <c r="AA151" s="14"/>
      <c r="AB151" s="15"/>
      <c r="AC151" s="14"/>
      <c r="AD151" s="15"/>
      <c r="AE151" s="14"/>
      <c r="AF151" s="15"/>
      <c r="AG151" s="15"/>
      <c r="AH151" s="15"/>
      <c r="AI151" s="14"/>
      <c r="AJ151" s="14"/>
      <c r="AK151" s="17"/>
    </row>
    <row r="152" customFormat="false" ht="42.75" hidden="false" customHeight="true" outlineLevel="0" collapsed="false">
      <c r="A152" s="11" t="n">
        <v>150</v>
      </c>
      <c r="B152" s="11" t="str">
        <f aca="false">IF(I152="Y",IF(COUNTIF(I$3:I152,"Y")&lt;=20,"pilot",IF(COUNTIF(I$3:I152,"Y")&lt;=40,"dev",IF(COUNTIF(I$3:I152,"Y")&lt;=120,"test","extra"))),"")</f>
        <v/>
      </c>
      <c r="C152" s="11" t="str">
        <f aca="false">IF(I152="Y",IF(COUNTA(K152,Q152,W152,AC152,AE152)=5,"done","in progress"),IF(I152="N","excluded",""))</f>
        <v/>
      </c>
      <c r="D152" s="11" t="s">
        <v>1004</v>
      </c>
      <c r="E152" s="12" t="s">
        <v>90</v>
      </c>
      <c r="F152" s="13" t="s">
        <v>1005</v>
      </c>
      <c r="G152" s="11" t="s">
        <v>1006</v>
      </c>
      <c r="H152" s="11"/>
      <c r="I152" s="14"/>
      <c r="J152" s="14"/>
      <c r="K152" s="14"/>
      <c r="L152" s="15"/>
      <c r="M152" s="14"/>
      <c r="N152" s="15"/>
      <c r="O152" s="14"/>
      <c r="P152" s="15"/>
      <c r="Q152" s="14"/>
      <c r="R152" s="15"/>
      <c r="S152" s="14"/>
      <c r="T152" s="15"/>
      <c r="U152" s="14"/>
      <c r="V152" s="15"/>
      <c r="W152" s="14"/>
      <c r="X152" s="15"/>
      <c r="Y152" s="14"/>
      <c r="Z152" s="15"/>
      <c r="AA152" s="14"/>
      <c r="AB152" s="15"/>
      <c r="AC152" s="14"/>
      <c r="AD152" s="15"/>
      <c r="AE152" s="14"/>
      <c r="AF152" s="15"/>
      <c r="AG152" s="15"/>
      <c r="AH152" s="15"/>
      <c r="AI152" s="14"/>
      <c r="AJ152" s="14"/>
      <c r="AK152" s="17"/>
    </row>
    <row r="153" customFormat="false" ht="28.5" hidden="false" customHeight="true" outlineLevel="0" collapsed="false">
      <c r="A153" s="11" t="n">
        <v>151</v>
      </c>
      <c r="B153" s="11" t="str">
        <f aca="false">IF(I153="Y",IF(COUNTIF(I$3:I153,"Y")&lt;=20,"pilot",IF(COUNTIF(I$3:I153,"Y")&lt;=40,"dev",IF(COUNTIF(I$3:I153,"Y")&lt;=120,"test","extra"))),"")</f>
        <v/>
      </c>
      <c r="C153" s="11" t="str">
        <f aca="false">IF(I153="Y",IF(COUNTA(K153,Q153,W153,AC153,AE153)=5,"done","in progress"),IF(I153="N","excluded",""))</f>
        <v/>
      </c>
      <c r="D153" s="11" t="s">
        <v>1007</v>
      </c>
      <c r="E153" s="12" t="s">
        <v>90</v>
      </c>
      <c r="F153" s="13" t="s">
        <v>1008</v>
      </c>
      <c r="G153" s="11" t="s">
        <v>1009</v>
      </c>
      <c r="H153" s="11"/>
      <c r="I153" s="14"/>
      <c r="J153" s="14"/>
      <c r="K153" s="14"/>
      <c r="L153" s="15"/>
      <c r="M153" s="14"/>
      <c r="N153" s="15"/>
      <c r="O153" s="14"/>
      <c r="P153" s="15"/>
      <c r="Q153" s="14"/>
      <c r="R153" s="15"/>
      <c r="S153" s="14"/>
      <c r="T153" s="15"/>
      <c r="U153" s="14"/>
      <c r="V153" s="15"/>
      <c r="W153" s="14"/>
      <c r="X153" s="15"/>
      <c r="Y153" s="14"/>
      <c r="Z153" s="15"/>
      <c r="AA153" s="14"/>
      <c r="AB153" s="15"/>
      <c r="AC153" s="14"/>
      <c r="AD153" s="15"/>
      <c r="AE153" s="14"/>
      <c r="AF153" s="15"/>
      <c r="AG153" s="15"/>
      <c r="AH153" s="15"/>
      <c r="AI153" s="14"/>
      <c r="AJ153" s="14"/>
      <c r="AK153" s="17"/>
    </row>
    <row r="154" customFormat="false" ht="42.75" hidden="false" customHeight="true" outlineLevel="0" collapsed="false">
      <c r="A154" s="11" t="n">
        <v>152</v>
      </c>
      <c r="B154" s="11" t="str">
        <f aca="false">IF(I154="Y",IF(COUNTIF(I$3:I154,"Y")&lt;=20,"pilot",IF(COUNTIF(I$3:I154,"Y")&lt;=40,"dev",IF(COUNTIF(I$3:I154,"Y")&lt;=120,"test","extra"))),"")</f>
        <v/>
      </c>
      <c r="C154" s="11" t="str">
        <f aca="false">IF(I154="Y",IF(COUNTA(K154,Q154,W154,AC154,AE154)=5,"done","in progress"),IF(I154="N","excluded",""))</f>
        <v/>
      </c>
      <c r="D154" s="11" t="s">
        <v>1010</v>
      </c>
      <c r="E154" s="12" t="s">
        <v>90</v>
      </c>
      <c r="F154" s="13" t="s">
        <v>1011</v>
      </c>
      <c r="G154" s="11" t="s">
        <v>145</v>
      </c>
      <c r="H154" s="11"/>
      <c r="I154" s="14"/>
      <c r="J154" s="14"/>
      <c r="K154" s="14"/>
      <c r="L154" s="15"/>
      <c r="M154" s="14"/>
      <c r="N154" s="15"/>
      <c r="O154" s="14"/>
      <c r="P154" s="15"/>
      <c r="Q154" s="14"/>
      <c r="R154" s="15"/>
      <c r="S154" s="14"/>
      <c r="T154" s="15"/>
      <c r="U154" s="14"/>
      <c r="V154" s="15"/>
      <c r="W154" s="14"/>
      <c r="X154" s="15"/>
      <c r="Y154" s="14"/>
      <c r="Z154" s="15"/>
      <c r="AA154" s="14"/>
      <c r="AB154" s="15"/>
      <c r="AC154" s="14"/>
      <c r="AD154" s="15"/>
      <c r="AE154" s="14"/>
      <c r="AF154" s="15"/>
      <c r="AG154" s="15"/>
      <c r="AH154" s="15"/>
      <c r="AI154" s="14"/>
      <c r="AJ154" s="14"/>
      <c r="AK154" s="17"/>
    </row>
    <row r="155" customFormat="false" ht="42.75" hidden="false" customHeight="true" outlineLevel="0" collapsed="false">
      <c r="A155" s="11" t="n">
        <v>153</v>
      </c>
      <c r="B155" s="11" t="str">
        <f aca="false">IF(I155="Y",IF(COUNTIF(I$3:I155,"Y")&lt;=20,"pilot",IF(COUNTIF(I$3:I155,"Y")&lt;=40,"dev",IF(COUNTIF(I$3:I155,"Y")&lt;=120,"test","extra"))),"")</f>
        <v/>
      </c>
      <c r="C155" s="11" t="str">
        <f aca="false">IF(I155="Y",IF(COUNTA(K155,Q155,W155,AC155,AE155)=5,"done","in progress"),IF(I155="N","excluded",""))</f>
        <v/>
      </c>
      <c r="D155" s="11" t="s">
        <v>1012</v>
      </c>
      <c r="E155" s="12" t="s">
        <v>90</v>
      </c>
      <c r="F155" s="13" t="s">
        <v>1013</v>
      </c>
      <c r="G155" s="11" t="s">
        <v>508</v>
      </c>
      <c r="H155" s="11"/>
      <c r="I155" s="14"/>
      <c r="J155" s="14"/>
      <c r="K155" s="14"/>
      <c r="L155" s="15"/>
      <c r="M155" s="14"/>
      <c r="N155" s="15"/>
      <c r="O155" s="14"/>
      <c r="P155" s="15"/>
      <c r="Q155" s="14"/>
      <c r="R155" s="15"/>
      <c r="S155" s="14"/>
      <c r="T155" s="15"/>
      <c r="U155" s="14"/>
      <c r="V155" s="15"/>
      <c r="W155" s="14"/>
      <c r="X155" s="15"/>
      <c r="Y155" s="14"/>
      <c r="Z155" s="15"/>
      <c r="AA155" s="14"/>
      <c r="AB155" s="15"/>
      <c r="AC155" s="14"/>
      <c r="AD155" s="15"/>
      <c r="AE155" s="14"/>
      <c r="AF155" s="15"/>
      <c r="AG155" s="15"/>
      <c r="AH155" s="15"/>
      <c r="AI155" s="14"/>
      <c r="AJ155" s="14"/>
      <c r="AK155" s="17"/>
    </row>
    <row r="156" customFormat="false" ht="42.75" hidden="false" customHeight="true" outlineLevel="0" collapsed="false">
      <c r="A156" s="11" t="n">
        <v>154</v>
      </c>
      <c r="B156" s="11" t="str">
        <f aca="false">IF(I156="Y",IF(COUNTIF(I$3:I156,"Y")&lt;=20,"pilot",IF(COUNTIF(I$3:I156,"Y")&lt;=40,"dev",IF(COUNTIF(I$3:I156,"Y")&lt;=120,"test","extra"))),"")</f>
        <v/>
      </c>
      <c r="C156" s="11" t="str">
        <f aca="false">IF(I156="Y",IF(COUNTA(K156,Q156,W156,AC156,AE156)=5,"done","in progress"),IF(I156="N","excluded",""))</f>
        <v/>
      </c>
      <c r="D156" s="11" t="s">
        <v>1014</v>
      </c>
      <c r="E156" s="12" t="s">
        <v>90</v>
      </c>
      <c r="F156" s="13" t="s">
        <v>1015</v>
      </c>
      <c r="G156" s="11" t="s">
        <v>136</v>
      </c>
      <c r="H156" s="11"/>
      <c r="I156" s="14"/>
      <c r="J156" s="14"/>
      <c r="K156" s="14"/>
      <c r="L156" s="15"/>
      <c r="M156" s="14"/>
      <c r="N156" s="15"/>
      <c r="O156" s="14"/>
      <c r="P156" s="15"/>
      <c r="Q156" s="14"/>
      <c r="R156" s="15"/>
      <c r="S156" s="14"/>
      <c r="T156" s="15"/>
      <c r="U156" s="14"/>
      <c r="V156" s="15"/>
      <c r="W156" s="14"/>
      <c r="X156" s="15"/>
      <c r="Y156" s="14"/>
      <c r="Z156" s="15"/>
      <c r="AA156" s="14"/>
      <c r="AB156" s="15"/>
      <c r="AC156" s="14"/>
      <c r="AD156" s="15"/>
      <c r="AE156" s="14"/>
      <c r="AF156" s="15"/>
      <c r="AG156" s="15"/>
      <c r="AH156" s="15"/>
      <c r="AI156" s="14"/>
      <c r="AJ156" s="14"/>
      <c r="AK156" s="17"/>
    </row>
    <row r="157" customFormat="false" ht="28.5" hidden="false" customHeight="true" outlineLevel="0" collapsed="false">
      <c r="A157" s="11" t="n">
        <v>155</v>
      </c>
      <c r="B157" s="11" t="str">
        <f aca="false">IF(I157="Y",IF(COUNTIF(I$3:I157,"Y")&lt;=20,"pilot",IF(COUNTIF(I$3:I157,"Y")&lt;=40,"dev",IF(COUNTIF(I$3:I157,"Y")&lt;=120,"test","extra"))),"")</f>
        <v/>
      </c>
      <c r="C157" s="11" t="str">
        <f aca="false">IF(I157="Y",IF(COUNTA(K157,Q157,W157,AC157,AE157)=5,"done","in progress"),IF(I157="N","excluded",""))</f>
        <v/>
      </c>
      <c r="D157" s="11" t="s">
        <v>1016</v>
      </c>
      <c r="E157" s="12" t="s">
        <v>90</v>
      </c>
      <c r="F157" s="13" t="s">
        <v>1017</v>
      </c>
      <c r="G157" s="11" t="s">
        <v>1018</v>
      </c>
      <c r="H157" s="11"/>
      <c r="I157" s="14"/>
      <c r="J157" s="14"/>
      <c r="K157" s="14"/>
      <c r="L157" s="15"/>
      <c r="M157" s="14"/>
      <c r="N157" s="15"/>
      <c r="O157" s="14"/>
      <c r="P157" s="15"/>
      <c r="Q157" s="14"/>
      <c r="R157" s="15"/>
      <c r="S157" s="14"/>
      <c r="T157" s="15"/>
      <c r="U157" s="14"/>
      <c r="V157" s="15"/>
      <c r="W157" s="14"/>
      <c r="X157" s="15"/>
      <c r="Y157" s="14"/>
      <c r="Z157" s="15"/>
      <c r="AA157" s="14"/>
      <c r="AB157" s="15"/>
      <c r="AC157" s="14"/>
      <c r="AD157" s="15"/>
      <c r="AE157" s="14"/>
      <c r="AF157" s="15"/>
      <c r="AG157" s="15"/>
      <c r="AH157" s="15"/>
      <c r="AI157" s="14"/>
      <c r="AJ157" s="14"/>
      <c r="AK157" s="17"/>
    </row>
    <row r="158" customFormat="false" ht="42.75" hidden="false" customHeight="true" outlineLevel="0" collapsed="false">
      <c r="A158" s="11" t="n">
        <v>156</v>
      </c>
      <c r="B158" s="11" t="str">
        <f aca="false">IF(I158="Y",IF(COUNTIF(I$3:I158,"Y")&lt;=20,"pilot",IF(COUNTIF(I$3:I158,"Y")&lt;=40,"dev",IF(COUNTIF(I$3:I158,"Y")&lt;=120,"test","extra"))),"")</f>
        <v/>
      </c>
      <c r="C158" s="11" t="str">
        <f aca="false">IF(I158="Y",IF(COUNTA(K158,Q158,W158,AC158,AE158)=5,"done","in progress"),IF(I158="N","excluded",""))</f>
        <v/>
      </c>
      <c r="D158" s="11" t="s">
        <v>1019</v>
      </c>
      <c r="E158" s="12" t="s">
        <v>90</v>
      </c>
      <c r="F158" s="13" t="s">
        <v>1020</v>
      </c>
      <c r="G158" s="11" t="s">
        <v>193</v>
      </c>
      <c r="H158" s="11"/>
      <c r="I158" s="14"/>
      <c r="J158" s="14"/>
      <c r="K158" s="14"/>
      <c r="L158" s="15"/>
      <c r="M158" s="14"/>
      <c r="N158" s="15"/>
      <c r="O158" s="14"/>
      <c r="P158" s="15"/>
      <c r="Q158" s="14"/>
      <c r="R158" s="15"/>
      <c r="S158" s="14"/>
      <c r="T158" s="15"/>
      <c r="U158" s="14"/>
      <c r="V158" s="15"/>
      <c r="W158" s="14"/>
      <c r="X158" s="15"/>
      <c r="Y158" s="14"/>
      <c r="Z158" s="15"/>
      <c r="AA158" s="14"/>
      <c r="AB158" s="15"/>
      <c r="AC158" s="14"/>
      <c r="AD158" s="15"/>
      <c r="AE158" s="14"/>
      <c r="AF158" s="15"/>
      <c r="AG158" s="15"/>
      <c r="AH158" s="15"/>
      <c r="AI158" s="14"/>
      <c r="AJ158" s="14"/>
      <c r="AK158" s="17"/>
    </row>
    <row r="159" customFormat="false" ht="42.75" hidden="false" customHeight="true" outlineLevel="0" collapsed="false">
      <c r="A159" s="11" t="n">
        <v>157</v>
      </c>
      <c r="B159" s="11" t="str">
        <f aca="false">IF(I159="Y",IF(COUNTIF(I$3:I159,"Y")&lt;=20,"pilot",IF(COUNTIF(I$3:I159,"Y")&lt;=40,"dev",IF(COUNTIF(I$3:I159,"Y")&lt;=120,"test","extra"))),"")</f>
        <v/>
      </c>
      <c r="C159" s="11" t="str">
        <f aca="false">IF(I159="Y",IF(COUNTA(K159,Q159,W159,AC159,AE159)=5,"done","in progress"),IF(I159="N","excluded",""))</f>
        <v/>
      </c>
      <c r="D159" s="11" t="s">
        <v>1021</v>
      </c>
      <c r="E159" s="12" t="s">
        <v>90</v>
      </c>
      <c r="F159" s="13" t="s">
        <v>1022</v>
      </c>
      <c r="G159" s="11" t="s">
        <v>1023</v>
      </c>
      <c r="H159" s="11"/>
      <c r="I159" s="14"/>
      <c r="J159" s="14"/>
      <c r="K159" s="14"/>
      <c r="L159" s="15"/>
      <c r="M159" s="14"/>
      <c r="N159" s="15"/>
      <c r="O159" s="14"/>
      <c r="P159" s="15"/>
      <c r="Q159" s="14"/>
      <c r="R159" s="15"/>
      <c r="S159" s="14"/>
      <c r="T159" s="15"/>
      <c r="U159" s="14"/>
      <c r="V159" s="15"/>
      <c r="W159" s="14"/>
      <c r="X159" s="15"/>
      <c r="Y159" s="14"/>
      <c r="Z159" s="15"/>
      <c r="AA159" s="14"/>
      <c r="AB159" s="15"/>
      <c r="AC159" s="14"/>
      <c r="AD159" s="15"/>
      <c r="AE159" s="14"/>
      <c r="AF159" s="15"/>
      <c r="AG159" s="15"/>
      <c r="AH159" s="15"/>
      <c r="AI159" s="14"/>
      <c r="AJ159" s="14"/>
      <c r="AK159" s="17"/>
    </row>
    <row r="160" customFormat="false" ht="42.75" hidden="false" customHeight="true" outlineLevel="0" collapsed="false">
      <c r="A160" s="11" t="n">
        <v>158</v>
      </c>
      <c r="B160" s="11" t="str">
        <f aca="false">IF(I160="Y",IF(COUNTIF(I$3:I160,"Y")&lt;=20,"pilot",IF(COUNTIF(I$3:I160,"Y")&lt;=40,"dev",IF(COUNTIF(I$3:I160,"Y")&lt;=120,"test","extra"))),"")</f>
        <v/>
      </c>
      <c r="C160" s="11" t="str">
        <f aca="false">IF(I160="Y",IF(COUNTA(K160,Q160,W160,AC160,AE160)=5,"done","in progress"),IF(I160="N","excluded",""))</f>
        <v/>
      </c>
      <c r="D160" s="11" t="s">
        <v>1024</v>
      </c>
      <c r="E160" s="12" t="s">
        <v>90</v>
      </c>
      <c r="F160" s="13" t="s">
        <v>1025</v>
      </c>
      <c r="G160" s="11" t="s">
        <v>306</v>
      </c>
      <c r="H160" s="11"/>
      <c r="I160" s="14"/>
      <c r="J160" s="14"/>
      <c r="K160" s="14"/>
      <c r="L160" s="15"/>
      <c r="M160" s="14"/>
      <c r="N160" s="15"/>
      <c r="O160" s="14"/>
      <c r="P160" s="15"/>
      <c r="Q160" s="14"/>
      <c r="R160" s="15"/>
      <c r="S160" s="14"/>
      <c r="T160" s="15"/>
      <c r="U160" s="14"/>
      <c r="V160" s="15"/>
      <c r="W160" s="14"/>
      <c r="X160" s="15"/>
      <c r="Y160" s="14"/>
      <c r="Z160" s="15"/>
      <c r="AA160" s="14"/>
      <c r="AB160" s="15"/>
      <c r="AC160" s="14"/>
      <c r="AD160" s="15"/>
      <c r="AE160" s="14"/>
      <c r="AF160" s="15"/>
      <c r="AG160" s="15"/>
      <c r="AH160" s="15"/>
      <c r="AI160" s="14"/>
      <c r="AJ160" s="14"/>
      <c r="AK160" s="17"/>
    </row>
    <row r="161" customFormat="false" ht="28.5" hidden="false" customHeight="true" outlineLevel="0" collapsed="false">
      <c r="A161" s="11" t="n">
        <v>159</v>
      </c>
      <c r="B161" s="11" t="str">
        <f aca="false">IF(I161="Y",IF(COUNTIF(I$3:I161,"Y")&lt;=20,"pilot",IF(COUNTIF(I$3:I161,"Y")&lt;=40,"dev",IF(COUNTIF(I$3:I161,"Y")&lt;=120,"test","extra"))),"")</f>
        <v/>
      </c>
      <c r="C161" s="11" t="str">
        <f aca="false">IF(I161="Y",IF(COUNTA(K161,Q161,W161,AC161,AE161)=5,"done","in progress"),IF(I161="N","excluded",""))</f>
        <v/>
      </c>
      <c r="D161" s="11" t="s">
        <v>1026</v>
      </c>
      <c r="E161" s="12" t="s">
        <v>90</v>
      </c>
      <c r="F161" s="13" t="s">
        <v>1027</v>
      </c>
      <c r="G161" s="11" t="s">
        <v>1028</v>
      </c>
      <c r="H161" s="11" t="s">
        <v>1029</v>
      </c>
      <c r="I161" s="14"/>
      <c r="J161" s="14"/>
      <c r="K161" s="14"/>
      <c r="L161" s="15"/>
      <c r="M161" s="14"/>
      <c r="N161" s="15"/>
      <c r="O161" s="14"/>
      <c r="P161" s="15"/>
      <c r="Q161" s="14"/>
      <c r="R161" s="15"/>
      <c r="S161" s="14"/>
      <c r="T161" s="15"/>
      <c r="U161" s="14"/>
      <c r="V161" s="15"/>
      <c r="W161" s="14"/>
      <c r="X161" s="15"/>
      <c r="Y161" s="14"/>
      <c r="Z161" s="15"/>
      <c r="AA161" s="14"/>
      <c r="AB161" s="15"/>
      <c r="AC161" s="14"/>
      <c r="AD161" s="15"/>
      <c r="AE161" s="14"/>
      <c r="AF161" s="15"/>
      <c r="AG161" s="15"/>
      <c r="AH161" s="15"/>
      <c r="AI161" s="14"/>
      <c r="AJ161" s="14"/>
      <c r="AK161" s="17"/>
    </row>
    <row r="162" customFormat="false" ht="42.75" hidden="false" customHeight="true" outlineLevel="0" collapsed="false">
      <c r="A162" s="11" t="n">
        <v>160</v>
      </c>
      <c r="B162" s="11" t="str">
        <f aca="false">IF(I162="Y",IF(COUNTIF(I$3:I162,"Y")&lt;=20,"pilot",IF(COUNTIF(I$3:I162,"Y")&lt;=40,"dev",IF(COUNTIF(I$3:I162,"Y")&lt;=120,"test","extra"))),"")</f>
        <v/>
      </c>
      <c r="C162" s="11" t="str">
        <f aca="false">IF(I162="Y",IF(COUNTA(K162,Q162,W162,AC162,AE162)=5,"done","in progress"),IF(I162="N","excluded",""))</f>
        <v/>
      </c>
      <c r="D162" s="11" t="s">
        <v>1030</v>
      </c>
      <c r="E162" s="12" t="s">
        <v>90</v>
      </c>
      <c r="F162" s="13" t="s">
        <v>1031</v>
      </c>
      <c r="G162" s="11" t="s">
        <v>136</v>
      </c>
      <c r="H162" s="11"/>
      <c r="I162" s="14"/>
      <c r="J162" s="14"/>
      <c r="K162" s="14"/>
      <c r="L162" s="15"/>
      <c r="M162" s="14"/>
      <c r="N162" s="15"/>
      <c r="O162" s="14"/>
      <c r="P162" s="15"/>
      <c r="Q162" s="14"/>
      <c r="R162" s="15"/>
      <c r="S162" s="14"/>
      <c r="T162" s="15"/>
      <c r="U162" s="14"/>
      <c r="V162" s="15"/>
      <c r="W162" s="14"/>
      <c r="X162" s="15"/>
      <c r="Y162" s="14"/>
      <c r="Z162" s="15"/>
      <c r="AA162" s="14"/>
      <c r="AB162" s="15"/>
      <c r="AC162" s="14"/>
      <c r="AD162" s="15"/>
      <c r="AE162" s="14"/>
      <c r="AF162" s="15"/>
      <c r="AG162" s="15"/>
      <c r="AH162" s="15"/>
      <c r="AI162" s="14"/>
      <c r="AJ162" s="14"/>
      <c r="AK162" s="17"/>
    </row>
    <row r="163" customFormat="false" ht="28.5" hidden="false" customHeight="true" outlineLevel="0" collapsed="false">
      <c r="A163" s="11" t="n">
        <v>161</v>
      </c>
      <c r="B163" s="11" t="str">
        <f aca="false">IF(I163="Y",IF(COUNTIF(I$3:I163,"Y")&lt;=20,"pilot",IF(COUNTIF(I$3:I163,"Y")&lt;=40,"dev",IF(COUNTIF(I$3:I163,"Y")&lt;=120,"test","extra"))),"")</f>
        <v/>
      </c>
      <c r="C163" s="11" t="str">
        <f aca="false">IF(I163="Y",IF(COUNTA(K163,Q163,W163,AC163,AE163)=5,"done","in progress"),IF(I163="N","excluded",""))</f>
        <v/>
      </c>
      <c r="D163" s="11" t="s">
        <v>1032</v>
      </c>
      <c r="E163" s="12" t="s">
        <v>90</v>
      </c>
      <c r="F163" s="13" t="s">
        <v>1033</v>
      </c>
      <c r="G163" s="11" t="s">
        <v>1034</v>
      </c>
      <c r="H163" s="11"/>
      <c r="I163" s="14"/>
      <c r="J163" s="14"/>
      <c r="K163" s="14"/>
      <c r="L163" s="15"/>
      <c r="M163" s="14"/>
      <c r="N163" s="15"/>
      <c r="O163" s="14"/>
      <c r="P163" s="15"/>
      <c r="Q163" s="14"/>
      <c r="R163" s="15"/>
      <c r="S163" s="14"/>
      <c r="T163" s="15"/>
      <c r="U163" s="14"/>
      <c r="V163" s="15"/>
      <c r="W163" s="14"/>
      <c r="X163" s="15"/>
      <c r="Y163" s="14"/>
      <c r="Z163" s="15"/>
      <c r="AA163" s="14"/>
      <c r="AB163" s="15"/>
      <c r="AC163" s="14"/>
      <c r="AD163" s="15"/>
      <c r="AE163" s="14"/>
      <c r="AF163" s="15"/>
      <c r="AG163" s="15"/>
      <c r="AH163" s="15"/>
      <c r="AI163" s="14"/>
      <c r="AJ163" s="14"/>
      <c r="AK163" s="17"/>
    </row>
    <row r="164" customFormat="false" ht="42.75" hidden="false" customHeight="true" outlineLevel="0" collapsed="false">
      <c r="A164" s="11" t="n">
        <v>162</v>
      </c>
      <c r="B164" s="11" t="str">
        <f aca="false">IF(I164="Y",IF(COUNTIF(I$3:I164,"Y")&lt;=20,"pilot",IF(COUNTIF(I$3:I164,"Y")&lt;=40,"dev",IF(COUNTIF(I$3:I164,"Y")&lt;=120,"test","extra"))),"")</f>
        <v/>
      </c>
      <c r="C164" s="11" t="str">
        <f aca="false">IF(I164="Y",IF(COUNTA(K164,Q164,W164,AC164,AE164)=5,"done","in progress"),IF(I164="N","excluded",""))</f>
        <v/>
      </c>
      <c r="D164" s="11" t="s">
        <v>1035</v>
      </c>
      <c r="E164" s="12" t="s">
        <v>90</v>
      </c>
      <c r="F164" s="13" t="s">
        <v>1036</v>
      </c>
      <c r="G164" s="11" t="s">
        <v>145</v>
      </c>
      <c r="H164" s="11"/>
      <c r="I164" s="14"/>
      <c r="J164" s="14"/>
      <c r="K164" s="14"/>
      <c r="L164" s="15"/>
      <c r="M164" s="14"/>
      <c r="N164" s="15"/>
      <c r="O164" s="14"/>
      <c r="P164" s="15"/>
      <c r="Q164" s="14"/>
      <c r="R164" s="15"/>
      <c r="S164" s="14"/>
      <c r="T164" s="15"/>
      <c r="U164" s="14"/>
      <c r="V164" s="15"/>
      <c r="W164" s="14"/>
      <c r="X164" s="15"/>
      <c r="Y164" s="14"/>
      <c r="Z164" s="15"/>
      <c r="AA164" s="14"/>
      <c r="AB164" s="15"/>
      <c r="AC164" s="14"/>
      <c r="AD164" s="15"/>
      <c r="AE164" s="14"/>
      <c r="AF164" s="15"/>
      <c r="AG164" s="15"/>
      <c r="AH164" s="15"/>
      <c r="AI164" s="14"/>
      <c r="AJ164" s="14"/>
      <c r="AK164" s="17"/>
    </row>
    <row r="165" customFormat="false" ht="28.5" hidden="false" customHeight="true" outlineLevel="0" collapsed="false">
      <c r="A165" s="11" t="n">
        <v>163</v>
      </c>
      <c r="B165" s="11" t="str">
        <f aca="false">IF(I165="Y",IF(COUNTIF(I$3:I165,"Y")&lt;=20,"pilot",IF(COUNTIF(I$3:I165,"Y")&lt;=40,"dev",IF(COUNTIF(I$3:I165,"Y")&lt;=120,"test","extra"))),"")</f>
        <v/>
      </c>
      <c r="C165" s="11" t="str">
        <f aca="false">IF(I165="Y",IF(COUNTA(K165,Q165,W165,AC165,AE165)=5,"done","in progress"),IF(I165="N","excluded",""))</f>
        <v/>
      </c>
      <c r="D165" s="11" t="s">
        <v>1037</v>
      </c>
      <c r="E165" s="12" t="s">
        <v>90</v>
      </c>
      <c r="F165" s="13" t="s">
        <v>1038</v>
      </c>
      <c r="G165" s="11" t="s">
        <v>630</v>
      </c>
      <c r="H165" s="11"/>
      <c r="I165" s="14"/>
      <c r="J165" s="14"/>
      <c r="K165" s="14"/>
      <c r="L165" s="15"/>
      <c r="M165" s="14"/>
      <c r="N165" s="15"/>
      <c r="O165" s="14"/>
      <c r="P165" s="15"/>
      <c r="Q165" s="14"/>
      <c r="R165" s="15"/>
      <c r="S165" s="14"/>
      <c r="T165" s="15"/>
      <c r="U165" s="14"/>
      <c r="V165" s="15"/>
      <c r="W165" s="14"/>
      <c r="X165" s="15"/>
      <c r="Y165" s="14"/>
      <c r="Z165" s="15"/>
      <c r="AA165" s="14"/>
      <c r="AB165" s="15"/>
      <c r="AC165" s="14"/>
      <c r="AD165" s="15"/>
      <c r="AE165" s="14"/>
      <c r="AF165" s="15"/>
      <c r="AG165" s="15"/>
      <c r="AH165" s="15"/>
      <c r="AI165" s="14"/>
      <c r="AJ165" s="14"/>
      <c r="AK165" s="17"/>
    </row>
    <row r="166" customFormat="false" ht="42.75" hidden="false" customHeight="true" outlineLevel="0" collapsed="false">
      <c r="A166" s="11" t="n">
        <v>164</v>
      </c>
      <c r="B166" s="11" t="str">
        <f aca="false">IF(I166="Y",IF(COUNTIF(I$3:I166,"Y")&lt;=20,"pilot",IF(COUNTIF(I$3:I166,"Y")&lt;=40,"dev",IF(COUNTIF(I$3:I166,"Y")&lt;=120,"test","extra"))),"")</f>
        <v/>
      </c>
      <c r="C166" s="11" t="str">
        <f aca="false">IF(I166="Y",IF(COUNTA(K166,Q166,W166,AC166,AE166)=5,"done","in progress"),IF(I166="N","excluded",""))</f>
        <v/>
      </c>
      <c r="D166" s="11" t="s">
        <v>1039</v>
      </c>
      <c r="E166" s="12" t="s">
        <v>90</v>
      </c>
      <c r="F166" s="13" t="s">
        <v>1040</v>
      </c>
      <c r="G166" s="11" t="s">
        <v>145</v>
      </c>
      <c r="H166" s="11"/>
      <c r="I166" s="14"/>
      <c r="J166" s="14"/>
      <c r="K166" s="14"/>
      <c r="L166" s="15"/>
      <c r="M166" s="14"/>
      <c r="N166" s="15"/>
      <c r="O166" s="14"/>
      <c r="P166" s="15"/>
      <c r="Q166" s="14"/>
      <c r="R166" s="15"/>
      <c r="S166" s="14"/>
      <c r="T166" s="15"/>
      <c r="U166" s="14"/>
      <c r="V166" s="15"/>
      <c r="W166" s="14"/>
      <c r="X166" s="15"/>
      <c r="Y166" s="14"/>
      <c r="Z166" s="15"/>
      <c r="AA166" s="14"/>
      <c r="AB166" s="15"/>
      <c r="AC166" s="14"/>
      <c r="AD166" s="15"/>
      <c r="AE166" s="14"/>
      <c r="AF166" s="15"/>
      <c r="AG166" s="15"/>
      <c r="AH166" s="15"/>
      <c r="AI166" s="14"/>
      <c r="AJ166" s="14"/>
      <c r="AK166" s="17"/>
    </row>
    <row r="167" customFormat="false" ht="42.75" hidden="false" customHeight="true" outlineLevel="0" collapsed="false">
      <c r="A167" s="11" t="n">
        <v>165</v>
      </c>
      <c r="B167" s="11" t="str">
        <f aca="false">IF(I167="Y",IF(COUNTIF(I$3:I167,"Y")&lt;=20,"pilot",IF(COUNTIF(I$3:I167,"Y")&lt;=40,"dev",IF(COUNTIF(I$3:I167,"Y")&lt;=120,"test","extra"))),"")</f>
        <v/>
      </c>
      <c r="C167" s="11" t="str">
        <f aca="false">IF(I167="Y",IF(COUNTA(K167,Q167,W167,AC167,AE167)=5,"done","in progress"),IF(I167="N","excluded",""))</f>
        <v/>
      </c>
      <c r="D167" s="11" t="s">
        <v>1041</v>
      </c>
      <c r="E167" s="12" t="s">
        <v>90</v>
      </c>
      <c r="F167" s="13" t="s">
        <v>1042</v>
      </c>
      <c r="G167" s="11" t="s">
        <v>1043</v>
      </c>
      <c r="H167" s="11"/>
      <c r="I167" s="14"/>
      <c r="J167" s="14"/>
      <c r="K167" s="14"/>
      <c r="L167" s="15"/>
      <c r="M167" s="14"/>
      <c r="N167" s="15"/>
      <c r="O167" s="14"/>
      <c r="P167" s="15"/>
      <c r="Q167" s="14"/>
      <c r="R167" s="15"/>
      <c r="S167" s="14"/>
      <c r="T167" s="15"/>
      <c r="U167" s="14"/>
      <c r="V167" s="15"/>
      <c r="W167" s="14"/>
      <c r="X167" s="15"/>
      <c r="Y167" s="14"/>
      <c r="Z167" s="15"/>
      <c r="AA167" s="14"/>
      <c r="AB167" s="15"/>
      <c r="AC167" s="14"/>
      <c r="AD167" s="15"/>
      <c r="AE167" s="14"/>
      <c r="AF167" s="15"/>
      <c r="AG167" s="15"/>
      <c r="AH167" s="15"/>
      <c r="AI167" s="14"/>
      <c r="AJ167" s="14"/>
      <c r="AK167" s="17"/>
    </row>
    <row r="168" customFormat="false" ht="42.75" hidden="false" customHeight="true" outlineLevel="0" collapsed="false">
      <c r="A168" s="11" t="n">
        <v>166</v>
      </c>
      <c r="B168" s="11" t="str">
        <f aca="false">IF(I168="Y",IF(COUNTIF(I$3:I168,"Y")&lt;=20,"pilot",IF(COUNTIF(I$3:I168,"Y")&lt;=40,"dev",IF(COUNTIF(I$3:I168,"Y")&lt;=120,"test","extra"))),"")</f>
        <v/>
      </c>
      <c r="C168" s="11" t="str">
        <f aca="false">IF(I168="Y",IF(COUNTA(K168,Q168,W168,AC168,AE168)=5,"done","in progress"),IF(I168="N","excluded",""))</f>
        <v/>
      </c>
      <c r="D168" s="11" t="s">
        <v>1044</v>
      </c>
      <c r="E168" s="12" t="s">
        <v>90</v>
      </c>
      <c r="F168" s="13" t="s">
        <v>1045</v>
      </c>
      <c r="G168" s="11" t="s">
        <v>118</v>
      </c>
      <c r="H168" s="11"/>
      <c r="I168" s="14"/>
      <c r="J168" s="14"/>
      <c r="K168" s="14"/>
      <c r="L168" s="15"/>
      <c r="M168" s="14"/>
      <c r="N168" s="15"/>
      <c r="O168" s="14"/>
      <c r="P168" s="15"/>
      <c r="Q168" s="14"/>
      <c r="R168" s="15"/>
      <c r="S168" s="14"/>
      <c r="T168" s="15"/>
      <c r="U168" s="14"/>
      <c r="V168" s="15"/>
      <c r="W168" s="14"/>
      <c r="X168" s="15"/>
      <c r="Y168" s="14"/>
      <c r="Z168" s="15"/>
      <c r="AA168" s="14"/>
      <c r="AB168" s="15"/>
      <c r="AC168" s="14"/>
      <c r="AD168" s="15"/>
      <c r="AE168" s="14"/>
      <c r="AF168" s="15"/>
      <c r="AG168" s="15"/>
      <c r="AH168" s="15"/>
      <c r="AI168" s="14"/>
      <c r="AJ168" s="14"/>
      <c r="AK168" s="17"/>
    </row>
    <row r="169" customFormat="false" ht="42.75" hidden="false" customHeight="true" outlineLevel="0" collapsed="false">
      <c r="A169" s="11" t="n">
        <v>167</v>
      </c>
      <c r="B169" s="11" t="str">
        <f aca="false">IF(I169="Y",IF(COUNTIF(I$3:I169,"Y")&lt;=20,"pilot",IF(COUNTIF(I$3:I169,"Y")&lt;=40,"dev",IF(COUNTIF(I$3:I169,"Y")&lt;=120,"test","extra"))),"")</f>
        <v/>
      </c>
      <c r="C169" s="11" t="str">
        <f aca="false">IF(I169="Y",IF(COUNTA(K169,Q169,W169,AC169,AE169)=5,"done","in progress"),IF(I169="N","excluded",""))</f>
        <v/>
      </c>
      <c r="D169" s="11" t="s">
        <v>1046</v>
      </c>
      <c r="E169" s="12" t="s">
        <v>90</v>
      </c>
      <c r="F169" s="13" t="s">
        <v>1047</v>
      </c>
      <c r="G169" s="11" t="s">
        <v>118</v>
      </c>
      <c r="H169" s="11"/>
      <c r="I169" s="14"/>
      <c r="J169" s="14"/>
      <c r="K169" s="14"/>
      <c r="L169" s="15"/>
      <c r="M169" s="14"/>
      <c r="N169" s="15"/>
      <c r="O169" s="14"/>
      <c r="P169" s="15"/>
      <c r="Q169" s="14"/>
      <c r="R169" s="15"/>
      <c r="S169" s="14"/>
      <c r="T169" s="15"/>
      <c r="U169" s="14"/>
      <c r="V169" s="15"/>
      <c r="W169" s="14"/>
      <c r="X169" s="15"/>
      <c r="Y169" s="14"/>
      <c r="Z169" s="15"/>
      <c r="AA169" s="14"/>
      <c r="AB169" s="15"/>
      <c r="AC169" s="14"/>
      <c r="AD169" s="15"/>
      <c r="AE169" s="14"/>
      <c r="AF169" s="15"/>
      <c r="AG169" s="15"/>
      <c r="AH169" s="15"/>
      <c r="AI169" s="14"/>
      <c r="AJ169" s="14"/>
      <c r="AK169" s="17"/>
    </row>
    <row r="170" customFormat="false" ht="57" hidden="false" customHeight="true" outlineLevel="0" collapsed="false">
      <c r="A170" s="11" t="n">
        <v>168</v>
      </c>
      <c r="B170" s="11" t="str">
        <f aca="false">IF(I170="Y",IF(COUNTIF(I$3:I170,"Y")&lt;=20,"pilot",IF(COUNTIF(I$3:I170,"Y")&lt;=40,"dev",IF(COUNTIF(I$3:I170,"Y")&lt;=120,"test","extra"))),"")</f>
        <v/>
      </c>
      <c r="C170" s="11" t="str">
        <f aca="false">IF(I170="Y",IF(COUNTA(K170,Q170,W170,AC170,AE170)=5,"done","in progress"),IF(I170="N","excluded",""))</f>
        <v/>
      </c>
      <c r="D170" s="11" t="s">
        <v>1048</v>
      </c>
      <c r="E170" s="12" t="s">
        <v>90</v>
      </c>
      <c r="F170" s="13" t="s">
        <v>1049</v>
      </c>
      <c r="G170" s="11" t="s">
        <v>1050</v>
      </c>
      <c r="H170" s="11"/>
      <c r="I170" s="14"/>
      <c r="J170" s="14"/>
      <c r="K170" s="14"/>
      <c r="L170" s="15"/>
      <c r="M170" s="14"/>
      <c r="N170" s="15"/>
      <c r="O170" s="14"/>
      <c r="P170" s="15"/>
      <c r="Q170" s="14"/>
      <c r="R170" s="15"/>
      <c r="S170" s="14"/>
      <c r="T170" s="15"/>
      <c r="U170" s="14"/>
      <c r="V170" s="15"/>
      <c r="W170" s="14"/>
      <c r="X170" s="15"/>
      <c r="Y170" s="14"/>
      <c r="Z170" s="15"/>
      <c r="AA170" s="14"/>
      <c r="AB170" s="15"/>
      <c r="AC170" s="14"/>
      <c r="AD170" s="15"/>
      <c r="AE170" s="14"/>
      <c r="AF170" s="15"/>
      <c r="AG170" s="15"/>
      <c r="AH170" s="15"/>
      <c r="AI170" s="14"/>
      <c r="AJ170" s="14"/>
      <c r="AK170" s="17"/>
    </row>
    <row r="171" customFormat="false" ht="42.75" hidden="false" customHeight="true" outlineLevel="0" collapsed="false">
      <c r="A171" s="11" t="n">
        <v>169</v>
      </c>
      <c r="B171" s="11" t="str">
        <f aca="false">IF(I171="Y",IF(COUNTIF(I$3:I171,"Y")&lt;=20,"pilot",IF(COUNTIF(I$3:I171,"Y")&lt;=40,"dev",IF(COUNTIF(I$3:I171,"Y")&lt;=120,"test","extra"))),"")</f>
        <v/>
      </c>
      <c r="C171" s="11" t="str">
        <f aca="false">IF(I171="Y",IF(COUNTA(K171,Q171,W171,AC171,AE171)=5,"done","in progress"),IF(I171="N","excluded",""))</f>
        <v/>
      </c>
      <c r="D171" s="11" t="s">
        <v>1051</v>
      </c>
      <c r="E171" s="12" t="s">
        <v>90</v>
      </c>
      <c r="F171" s="13" t="s">
        <v>1052</v>
      </c>
      <c r="G171" s="11" t="s">
        <v>983</v>
      </c>
      <c r="H171" s="11"/>
      <c r="I171" s="14"/>
      <c r="J171" s="14"/>
      <c r="K171" s="14"/>
      <c r="L171" s="15"/>
      <c r="M171" s="14"/>
      <c r="N171" s="15"/>
      <c r="O171" s="14"/>
      <c r="P171" s="15"/>
      <c r="Q171" s="14"/>
      <c r="R171" s="15"/>
      <c r="S171" s="14"/>
      <c r="T171" s="15"/>
      <c r="U171" s="14"/>
      <c r="V171" s="15"/>
      <c r="W171" s="14"/>
      <c r="X171" s="15"/>
      <c r="Y171" s="14"/>
      <c r="Z171" s="15"/>
      <c r="AA171" s="14"/>
      <c r="AB171" s="15"/>
      <c r="AC171" s="14"/>
      <c r="AD171" s="15"/>
      <c r="AE171" s="14"/>
      <c r="AF171" s="15"/>
      <c r="AG171" s="15"/>
      <c r="AH171" s="15"/>
      <c r="AI171" s="14"/>
      <c r="AJ171" s="14"/>
      <c r="AK171" s="17"/>
    </row>
    <row r="172" customFormat="false" ht="28.5" hidden="false" customHeight="true" outlineLevel="0" collapsed="false">
      <c r="A172" s="11" t="n">
        <v>170</v>
      </c>
      <c r="B172" s="11" t="str">
        <f aca="false">IF(I172="Y",IF(COUNTIF(I$3:I172,"Y")&lt;=20,"pilot",IF(COUNTIF(I$3:I172,"Y")&lt;=40,"dev",IF(COUNTIF(I$3:I172,"Y")&lt;=120,"test","extra"))),"")</f>
        <v/>
      </c>
      <c r="C172" s="11" t="str">
        <f aca="false">IF(I172="Y",IF(COUNTA(K172,Q172,W172,AC172,AE172)=5,"done","in progress"),IF(I172="N","excluded",""))</f>
        <v/>
      </c>
      <c r="D172" s="11" t="s">
        <v>1053</v>
      </c>
      <c r="E172" s="12" t="s">
        <v>90</v>
      </c>
      <c r="F172" s="13" t="s">
        <v>1054</v>
      </c>
      <c r="G172" s="11" t="s">
        <v>168</v>
      </c>
      <c r="H172" s="11"/>
      <c r="I172" s="14"/>
      <c r="J172" s="14"/>
      <c r="K172" s="14"/>
      <c r="L172" s="15"/>
      <c r="M172" s="14"/>
      <c r="N172" s="15"/>
      <c r="O172" s="14"/>
      <c r="P172" s="15"/>
      <c r="Q172" s="14"/>
      <c r="R172" s="15"/>
      <c r="S172" s="14"/>
      <c r="T172" s="15"/>
      <c r="U172" s="14"/>
      <c r="V172" s="15"/>
      <c r="W172" s="14"/>
      <c r="X172" s="15"/>
      <c r="Y172" s="14"/>
      <c r="Z172" s="15"/>
      <c r="AA172" s="14"/>
      <c r="AB172" s="15"/>
      <c r="AC172" s="14"/>
      <c r="AD172" s="15"/>
      <c r="AE172" s="14"/>
      <c r="AF172" s="15"/>
      <c r="AG172" s="15"/>
      <c r="AH172" s="15"/>
      <c r="AI172" s="14"/>
      <c r="AJ172" s="14"/>
      <c r="AK172" s="17"/>
    </row>
    <row r="173" customFormat="false" ht="42.75" hidden="false" customHeight="true" outlineLevel="0" collapsed="false">
      <c r="A173" s="11" t="n">
        <v>171</v>
      </c>
      <c r="B173" s="11" t="str">
        <f aca="false">IF(I173="Y",IF(COUNTIF(I$3:I173,"Y")&lt;=20,"pilot",IF(COUNTIF(I$3:I173,"Y")&lt;=40,"dev",IF(COUNTIF(I$3:I173,"Y")&lt;=120,"test","extra"))),"")</f>
        <v/>
      </c>
      <c r="C173" s="11" t="str">
        <f aca="false">IF(I173="Y",IF(COUNTA(K173,Q173,W173,AC173,AE173)=5,"done","in progress"),IF(I173="N","excluded",""))</f>
        <v/>
      </c>
      <c r="D173" s="11" t="s">
        <v>1055</v>
      </c>
      <c r="E173" s="12" t="s">
        <v>90</v>
      </c>
      <c r="F173" s="13" t="s">
        <v>1056</v>
      </c>
      <c r="G173" s="11" t="s">
        <v>1057</v>
      </c>
      <c r="H173" s="11"/>
      <c r="I173" s="14"/>
      <c r="J173" s="14"/>
      <c r="K173" s="14"/>
      <c r="L173" s="15"/>
      <c r="M173" s="14"/>
      <c r="N173" s="15"/>
      <c r="O173" s="14"/>
      <c r="P173" s="15"/>
      <c r="Q173" s="14"/>
      <c r="R173" s="15"/>
      <c r="S173" s="14"/>
      <c r="T173" s="15"/>
      <c r="U173" s="14"/>
      <c r="V173" s="15"/>
      <c r="W173" s="14"/>
      <c r="X173" s="15"/>
      <c r="Y173" s="14"/>
      <c r="Z173" s="15"/>
      <c r="AA173" s="14"/>
      <c r="AB173" s="15"/>
      <c r="AC173" s="14"/>
      <c r="AD173" s="15"/>
      <c r="AE173" s="14"/>
      <c r="AF173" s="15"/>
      <c r="AG173" s="15"/>
      <c r="AH173" s="15"/>
      <c r="AI173" s="14"/>
      <c r="AJ173" s="14"/>
      <c r="AK173" s="17"/>
    </row>
    <row r="174" customFormat="false" ht="42.75" hidden="false" customHeight="true" outlineLevel="0" collapsed="false">
      <c r="A174" s="11" t="n">
        <v>172</v>
      </c>
      <c r="B174" s="11" t="str">
        <f aca="false">IF(I174="Y",IF(COUNTIF(I$3:I174,"Y")&lt;=20,"pilot",IF(COUNTIF(I$3:I174,"Y")&lt;=40,"dev",IF(COUNTIF(I$3:I174,"Y")&lt;=120,"test","extra"))),"")</f>
        <v/>
      </c>
      <c r="C174" s="11" t="str">
        <f aca="false">IF(I174="Y",IF(COUNTA(K174,Q174,W174,AC174,AE174)=5,"done","in progress"),IF(I174="N","excluded",""))</f>
        <v/>
      </c>
      <c r="D174" s="11" t="s">
        <v>1058</v>
      </c>
      <c r="E174" s="12" t="s">
        <v>90</v>
      </c>
      <c r="F174" s="13" t="s">
        <v>1059</v>
      </c>
      <c r="G174" s="11" t="s">
        <v>1060</v>
      </c>
      <c r="H174" s="11"/>
      <c r="I174" s="14"/>
      <c r="J174" s="14"/>
      <c r="K174" s="14"/>
      <c r="L174" s="15"/>
      <c r="M174" s="14"/>
      <c r="N174" s="15"/>
      <c r="O174" s="14"/>
      <c r="P174" s="15"/>
      <c r="Q174" s="14"/>
      <c r="R174" s="15"/>
      <c r="S174" s="14"/>
      <c r="T174" s="15"/>
      <c r="U174" s="14"/>
      <c r="V174" s="15"/>
      <c r="W174" s="14"/>
      <c r="X174" s="15"/>
      <c r="Y174" s="14"/>
      <c r="Z174" s="15"/>
      <c r="AA174" s="14"/>
      <c r="AB174" s="15"/>
      <c r="AC174" s="14"/>
      <c r="AD174" s="15"/>
      <c r="AE174" s="14"/>
      <c r="AF174" s="15"/>
      <c r="AG174" s="15"/>
      <c r="AH174" s="15"/>
      <c r="AI174" s="14"/>
      <c r="AJ174" s="14"/>
      <c r="AK174" s="17"/>
    </row>
    <row r="175" customFormat="false" ht="57" hidden="false" customHeight="true" outlineLevel="0" collapsed="false">
      <c r="A175" s="11" t="n">
        <v>173</v>
      </c>
      <c r="B175" s="11" t="str">
        <f aca="false">IF(I175="Y",IF(COUNTIF(I$3:I175,"Y")&lt;=20,"pilot",IF(COUNTIF(I$3:I175,"Y")&lt;=40,"dev",IF(COUNTIF(I$3:I175,"Y")&lt;=120,"test","extra"))),"")</f>
        <v/>
      </c>
      <c r="C175" s="11" t="str">
        <f aca="false">IF(I175="Y",IF(COUNTA(K175,Q175,W175,AC175,AE175)=5,"done","in progress"),IF(I175="N","excluded",""))</f>
        <v/>
      </c>
      <c r="D175" s="11" t="s">
        <v>1061</v>
      </c>
      <c r="E175" s="12" t="s">
        <v>90</v>
      </c>
      <c r="F175" s="13" t="s">
        <v>1062</v>
      </c>
      <c r="G175" s="11" t="s">
        <v>999</v>
      </c>
      <c r="H175" s="11"/>
      <c r="I175" s="14"/>
      <c r="J175" s="14"/>
      <c r="K175" s="14"/>
      <c r="L175" s="15"/>
      <c r="M175" s="14"/>
      <c r="N175" s="15"/>
      <c r="O175" s="14"/>
      <c r="P175" s="15"/>
      <c r="Q175" s="14"/>
      <c r="R175" s="15"/>
      <c r="S175" s="14"/>
      <c r="T175" s="15"/>
      <c r="U175" s="14"/>
      <c r="V175" s="15"/>
      <c r="W175" s="14"/>
      <c r="X175" s="15"/>
      <c r="Y175" s="14"/>
      <c r="Z175" s="15"/>
      <c r="AA175" s="14"/>
      <c r="AB175" s="15"/>
      <c r="AC175" s="14"/>
      <c r="AD175" s="15"/>
      <c r="AE175" s="14"/>
      <c r="AF175" s="15"/>
      <c r="AG175" s="15"/>
      <c r="AH175" s="15"/>
      <c r="AI175" s="14"/>
      <c r="AJ175" s="14"/>
      <c r="AK175" s="17"/>
    </row>
    <row r="176" customFormat="false" ht="42.75" hidden="false" customHeight="true" outlineLevel="0" collapsed="false">
      <c r="A176" s="11" t="n">
        <v>174</v>
      </c>
      <c r="B176" s="11" t="str">
        <f aca="false">IF(I176="Y",IF(COUNTIF(I$3:I176,"Y")&lt;=20,"pilot",IF(COUNTIF(I$3:I176,"Y")&lt;=40,"dev",IF(COUNTIF(I$3:I176,"Y")&lt;=120,"test","extra"))),"")</f>
        <v/>
      </c>
      <c r="C176" s="11" t="str">
        <f aca="false">IF(I176="Y",IF(COUNTA(K176,Q176,W176,AC176,AE176)=5,"done","in progress"),IF(I176="N","excluded",""))</f>
        <v/>
      </c>
      <c r="D176" s="11" t="s">
        <v>1063</v>
      </c>
      <c r="E176" s="12" t="s">
        <v>90</v>
      </c>
      <c r="F176" s="13" t="s">
        <v>1064</v>
      </c>
      <c r="G176" s="11" t="s">
        <v>168</v>
      </c>
      <c r="H176" s="11"/>
      <c r="I176" s="14"/>
      <c r="J176" s="14"/>
      <c r="K176" s="14"/>
      <c r="L176" s="15"/>
      <c r="M176" s="14"/>
      <c r="N176" s="15"/>
      <c r="O176" s="14"/>
      <c r="P176" s="15"/>
      <c r="Q176" s="14"/>
      <c r="R176" s="15"/>
      <c r="S176" s="14"/>
      <c r="T176" s="15"/>
      <c r="U176" s="14"/>
      <c r="V176" s="15"/>
      <c r="W176" s="14"/>
      <c r="X176" s="15"/>
      <c r="Y176" s="14"/>
      <c r="Z176" s="15"/>
      <c r="AA176" s="14"/>
      <c r="AB176" s="15"/>
      <c r="AC176" s="14"/>
      <c r="AD176" s="15"/>
      <c r="AE176" s="14"/>
      <c r="AF176" s="15"/>
      <c r="AG176" s="15"/>
      <c r="AH176" s="15"/>
      <c r="AI176" s="14"/>
      <c r="AJ176" s="14"/>
      <c r="AK176" s="17"/>
    </row>
    <row r="177" customFormat="false" ht="28.5" hidden="false" customHeight="true" outlineLevel="0" collapsed="false">
      <c r="A177" s="11" t="n">
        <v>175</v>
      </c>
      <c r="B177" s="11" t="str">
        <f aca="false">IF(I177="Y",IF(COUNTIF(I$3:I177,"Y")&lt;=20,"pilot",IF(COUNTIF(I$3:I177,"Y")&lt;=40,"dev",IF(COUNTIF(I$3:I177,"Y")&lt;=120,"test","extra"))),"")</f>
        <v/>
      </c>
      <c r="C177" s="11" t="str">
        <f aca="false">IF(I177="Y",IF(COUNTA(K177,Q177,W177,AC177,AE177)=5,"done","in progress"),IF(I177="N","excluded",""))</f>
        <v/>
      </c>
      <c r="D177" s="11" t="s">
        <v>1065</v>
      </c>
      <c r="E177" s="12" t="s">
        <v>90</v>
      </c>
      <c r="F177" s="13" t="s">
        <v>1066</v>
      </c>
      <c r="G177" s="11" t="s">
        <v>1057</v>
      </c>
      <c r="H177" s="11"/>
      <c r="I177" s="14"/>
      <c r="J177" s="14"/>
      <c r="K177" s="14"/>
      <c r="L177" s="15"/>
      <c r="M177" s="14"/>
      <c r="N177" s="15"/>
      <c r="O177" s="14"/>
      <c r="P177" s="15"/>
      <c r="Q177" s="14"/>
      <c r="R177" s="15"/>
      <c r="S177" s="14"/>
      <c r="T177" s="15"/>
      <c r="U177" s="14"/>
      <c r="V177" s="15"/>
      <c r="W177" s="14"/>
      <c r="X177" s="15"/>
      <c r="Y177" s="14"/>
      <c r="Z177" s="15"/>
      <c r="AA177" s="14"/>
      <c r="AB177" s="15"/>
      <c r="AC177" s="14"/>
      <c r="AD177" s="15"/>
      <c r="AE177" s="14"/>
      <c r="AF177" s="15"/>
      <c r="AG177" s="15"/>
      <c r="AH177" s="15"/>
      <c r="AI177" s="14"/>
      <c r="AJ177" s="14"/>
      <c r="AK177" s="17"/>
    </row>
    <row r="178" customFormat="false" ht="57" hidden="false" customHeight="true" outlineLevel="0" collapsed="false">
      <c r="A178" s="11" t="n">
        <v>176</v>
      </c>
      <c r="B178" s="11" t="str">
        <f aca="false">IF(I178="Y",IF(COUNTIF(I$3:I178,"Y")&lt;=20,"pilot",IF(COUNTIF(I$3:I178,"Y")&lt;=40,"dev",IF(COUNTIF(I$3:I178,"Y")&lt;=120,"test","extra"))),"")</f>
        <v/>
      </c>
      <c r="C178" s="11" t="str">
        <f aca="false">IF(I178="Y",IF(COUNTA(K178,Q178,W178,AC178,AE178)=5,"done","in progress"),IF(I178="N","excluded",""))</f>
        <v/>
      </c>
      <c r="D178" s="11" t="s">
        <v>1067</v>
      </c>
      <c r="E178" s="12" t="s">
        <v>90</v>
      </c>
      <c r="F178" s="13" t="s">
        <v>1068</v>
      </c>
      <c r="G178" s="11" t="s">
        <v>125</v>
      </c>
      <c r="H178" s="11"/>
      <c r="I178" s="14"/>
      <c r="J178" s="14"/>
      <c r="K178" s="14"/>
      <c r="L178" s="15"/>
      <c r="M178" s="14"/>
      <c r="N178" s="15"/>
      <c r="O178" s="14"/>
      <c r="P178" s="15"/>
      <c r="Q178" s="14"/>
      <c r="R178" s="15"/>
      <c r="S178" s="14"/>
      <c r="T178" s="15"/>
      <c r="U178" s="14"/>
      <c r="V178" s="15"/>
      <c r="W178" s="14"/>
      <c r="X178" s="15"/>
      <c r="Y178" s="14"/>
      <c r="Z178" s="15"/>
      <c r="AA178" s="14"/>
      <c r="AB178" s="15"/>
      <c r="AC178" s="14"/>
      <c r="AD178" s="15"/>
      <c r="AE178" s="14"/>
      <c r="AF178" s="15"/>
      <c r="AG178" s="15"/>
      <c r="AH178" s="15"/>
      <c r="AI178" s="14"/>
      <c r="AJ178" s="14"/>
      <c r="AK178" s="17"/>
    </row>
    <row r="179" customFormat="false" ht="42.75" hidden="false" customHeight="true" outlineLevel="0" collapsed="false">
      <c r="A179" s="11" t="n">
        <v>177</v>
      </c>
      <c r="B179" s="11" t="str">
        <f aca="false">IF(I179="Y",IF(COUNTIF(I$3:I179,"Y")&lt;=20,"pilot",IF(COUNTIF(I$3:I179,"Y")&lt;=40,"dev",IF(COUNTIF(I$3:I179,"Y")&lt;=120,"test","extra"))),"")</f>
        <v/>
      </c>
      <c r="C179" s="11" t="str">
        <f aca="false">IF(I179="Y",IF(COUNTA(K179,Q179,W179,AC179,AE179)=5,"done","in progress"),IF(I179="N","excluded",""))</f>
        <v/>
      </c>
      <c r="D179" s="11" t="s">
        <v>1069</v>
      </c>
      <c r="E179" s="12" t="s">
        <v>90</v>
      </c>
      <c r="F179" s="13" t="s">
        <v>1070</v>
      </c>
      <c r="G179" s="11" t="s">
        <v>1071</v>
      </c>
      <c r="H179" s="11"/>
      <c r="I179" s="14"/>
      <c r="J179" s="14"/>
      <c r="K179" s="14"/>
      <c r="L179" s="15"/>
      <c r="M179" s="14"/>
      <c r="N179" s="15"/>
      <c r="O179" s="14"/>
      <c r="P179" s="15"/>
      <c r="Q179" s="14"/>
      <c r="R179" s="15"/>
      <c r="S179" s="14"/>
      <c r="T179" s="15"/>
      <c r="U179" s="14"/>
      <c r="V179" s="15"/>
      <c r="W179" s="14"/>
      <c r="X179" s="15"/>
      <c r="Y179" s="14"/>
      <c r="Z179" s="15"/>
      <c r="AA179" s="14"/>
      <c r="AB179" s="15"/>
      <c r="AC179" s="14"/>
      <c r="AD179" s="15"/>
      <c r="AE179" s="14"/>
      <c r="AF179" s="15"/>
      <c r="AG179" s="15"/>
      <c r="AH179" s="15"/>
      <c r="AI179" s="14"/>
      <c r="AJ179" s="14"/>
      <c r="AK179" s="17"/>
    </row>
    <row r="180" customFormat="false" ht="42.75" hidden="false" customHeight="true" outlineLevel="0" collapsed="false">
      <c r="A180" s="11" t="n">
        <v>178</v>
      </c>
      <c r="B180" s="11" t="str">
        <f aca="false">IF(I180="Y",IF(COUNTIF(I$3:I180,"Y")&lt;=20,"pilot",IF(COUNTIF(I$3:I180,"Y")&lt;=40,"dev",IF(COUNTIF(I$3:I180,"Y")&lt;=120,"test","extra"))),"")</f>
        <v/>
      </c>
      <c r="C180" s="11" t="str">
        <f aca="false">IF(I180="Y",IF(COUNTA(K180,Q180,W180,AC180,AE180)=5,"done","in progress"),IF(I180="N","excluded",""))</f>
        <v/>
      </c>
      <c r="D180" s="11" t="s">
        <v>1072</v>
      </c>
      <c r="E180" s="12" t="s">
        <v>90</v>
      </c>
      <c r="F180" s="13" t="s">
        <v>1073</v>
      </c>
      <c r="G180" s="11" t="s">
        <v>136</v>
      </c>
      <c r="H180" s="11"/>
      <c r="I180" s="14"/>
      <c r="J180" s="14"/>
      <c r="K180" s="14"/>
      <c r="L180" s="15"/>
      <c r="M180" s="14"/>
      <c r="N180" s="15"/>
      <c r="O180" s="14"/>
      <c r="P180" s="15"/>
      <c r="Q180" s="14"/>
      <c r="R180" s="15"/>
      <c r="S180" s="14"/>
      <c r="T180" s="15"/>
      <c r="U180" s="14"/>
      <c r="V180" s="15"/>
      <c r="W180" s="14"/>
      <c r="X180" s="15"/>
      <c r="Y180" s="14"/>
      <c r="Z180" s="15"/>
      <c r="AA180" s="14"/>
      <c r="AB180" s="15"/>
      <c r="AC180" s="14"/>
      <c r="AD180" s="15"/>
      <c r="AE180" s="14"/>
      <c r="AF180" s="15"/>
      <c r="AG180" s="15"/>
      <c r="AH180" s="15"/>
      <c r="AI180" s="14"/>
      <c r="AJ180" s="14"/>
      <c r="AK180" s="17"/>
    </row>
    <row r="181" customFormat="false" ht="28.5" hidden="false" customHeight="true" outlineLevel="0" collapsed="false">
      <c r="A181" s="11" t="n">
        <v>179</v>
      </c>
      <c r="B181" s="11" t="str">
        <f aca="false">IF(I181="Y",IF(COUNTIF(I$3:I181,"Y")&lt;=20,"pilot",IF(COUNTIF(I$3:I181,"Y")&lt;=40,"dev",IF(COUNTIF(I$3:I181,"Y")&lt;=120,"test","extra"))),"")</f>
        <v/>
      </c>
      <c r="C181" s="11" t="str">
        <f aca="false">IF(I181="Y",IF(COUNTA(K181,Q181,W181,AC181,AE181)=5,"done","in progress"),IF(I181="N","excluded",""))</f>
        <v/>
      </c>
      <c r="D181" s="11" t="s">
        <v>1074</v>
      </c>
      <c r="E181" s="12" t="s">
        <v>90</v>
      </c>
      <c r="F181" s="13" t="s">
        <v>1075</v>
      </c>
      <c r="G181" s="11" t="s">
        <v>125</v>
      </c>
      <c r="H181" s="11"/>
      <c r="I181" s="14"/>
      <c r="J181" s="14"/>
      <c r="K181" s="14"/>
      <c r="L181" s="15"/>
      <c r="M181" s="14"/>
      <c r="N181" s="15"/>
      <c r="O181" s="14"/>
      <c r="P181" s="15"/>
      <c r="Q181" s="14"/>
      <c r="R181" s="15"/>
      <c r="S181" s="14"/>
      <c r="T181" s="15"/>
      <c r="U181" s="14"/>
      <c r="V181" s="15"/>
      <c r="W181" s="14"/>
      <c r="X181" s="15"/>
      <c r="Y181" s="14"/>
      <c r="Z181" s="15"/>
      <c r="AA181" s="14"/>
      <c r="AB181" s="15"/>
      <c r="AC181" s="14"/>
      <c r="AD181" s="15"/>
      <c r="AE181" s="14"/>
      <c r="AF181" s="15"/>
      <c r="AG181" s="15"/>
      <c r="AH181" s="15"/>
      <c r="AI181" s="14"/>
      <c r="AJ181" s="14"/>
      <c r="AK181" s="17"/>
    </row>
    <row r="182" customFormat="false" ht="42.75" hidden="false" customHeight="true" outlineLevel="0" collapsed="false">
      <c r="A182" s="11" t="n">
        <v>180</v>
      </c>
      <c r="B182" s="11" t="str">
        <f aca="false">IF(I182="Y",IF(COUNTIF(I$3:I182,"Y")&lt;=20,"pilot",IF(COUNTIF(I$3:I182,"Y")&lt;=40,"dev",IF(COUNTIF(I$3:I182,"Y")&lt;=120,"test","extra"))),"")</f>
        <v/>
      </c>
      <c r="C182" s="11" t="str">
        <f aca="false">IF(I182="Y",IF(COUNTA(K182,Q182,W182,AC182,AE182)=5,"done","in progress"),IF(I182="N","excluded",""))</f>
        <v/>
      </c>
      <c r="D182" s="11" t="s">
        <v>1076</v>
      </c>
      <c r="E182" s="12" t="s">
        <v>90</v>
      </c>
      <c r="F182" s="13" t="s">
        <v>1077</v>
      </c>
      <c r="G182" s="11" t="s">
        <v>168</v>
      </c>
      <c r="H182" s="11"/>
      <c r="I182" s="14"/>
      <c r="J182" s="14"/>
      <c r="K182" s="14"/>
      <c r="L182" s="15"/>
      <c r="M182" s="14"/>
      <c r="N182" s="15"/>
      <c r="O182" s="14"/>
      <c r="P182" s="15"/>
      <c r="Q182" s="14"/>
      <c r="R182" s="15"/>
      <c r="S182" s="14"/>
      <c r="T182" s="15"/>
      <c r="U182" s="14"/>
      <c r="V182" s="15"/>
      <c r="W182" s="14"/>
      <c r="X182" s="15"/>
      <c r="Y182" s="14"/>
      <c r="Z182" s="15"/>
      <c r="AA182" s="14"/>
      <c r="AB182" s="15"/>
      <c r="AC182" s="14"/>
      <c r="AD182" s="15"/>
      <c r="AE182" s="14"/>
      <c r="AF182" s="15"/>
      <c r="AG182" s="15"/>
      <c r="AH182" s="15"/>
      <c r="AI182" s="14"/>
      <c r="AJ182" s="14"/>
      <c r="AK182" s="17"/>
    </row>
    <row r="183" customFormat="false" ht="57" hidden="false" customHeight="true" outlineLevel="0" collapsed="false">
      <c r="A183" s="11" t="n">
        <v>181</v>
      </c>
      <c r="B183" s="11" t="str">
        <f aca="false">IF(I183="Y",IF(COUNTIF(I$3:I183,"Y")&lt;=20,"pilot",IF(COUNTIF(I$3:I183,"Y")&lt;=40,"dev",IF(COUNTIF(I$3:I183,"Y")&lt;=120,"test","extra"))),"")</f>
        <v/>
      </c>
      <c r="C183" s="11" t="str">
        <f aca="false">IF(I183="Y",IF(COUNTA(K183,Q183,W183,AC183,AE183)=5,"done","in progress"),IF(I183="N","excluded",""))</f>
        <v/>
      </c>
      <c r="D183" s="11" t="s">
        <v>1078</v>
      </c>
      <c r="E183" s="12" t="s">
        <v>90</v>
      </c>
      <c r="F183" s="13" t="s">
        <v>1079</v>
      </c>
      <c r="G183" s="11" t="s">
        <v>724</v>
      </c>
      <c r="H183" s="11"/>
      <c r="I183" s="14"/>
      <c r="J183" s="14"/>
      <c r="K183" s="14"/>
      <c r="L183" s="15"/>
      <c r="M183" s="14"/>
      <c r="N183" s="15"/>
      <c r="O183" s="14"/>
      <c r="P183" s="15"/>
      <c r="Q183" s="14"/>
      <c r="R183" s="15"/>
      <c r="S183" s="14"/>
      <c r="T183" s="15"/>
      <c r="U183" s="14"/>
      <c r="V183" s="15"/>
      <c r="W183" s="14"/>
      <c r="X183" s="15"/>
      <c r="Y183" s="14"/>
      <c r="Z183" s="15"/>
      <c r="AA183" s="14"/>
      <c r="AB183" s="15"/>
      <c r="AC183" s="14"/>
      <c r="AD183" s="15"/>
      <c r="AE183" s="14"/>
      <c r="AF183" s="15"/>
      <c r="AG183" s="15"/>
      <c r="AH183" s="15"/>
      <c r="AI183" s="14"/>
      <c r="AJ183" s="14"/>
      <c r="AK183" s="17"/>
    </row>
    <row r="184" customFormat="false" ht="42.75" hidden="false" customHeight="true" outlineLevel="0" collapsed="false">
      <c r="A184" s="11" t="n">
        <v>182</v>
      </c>
      <c r="B184" s="11" t="str">
        <f aca="false">IF(I184="Y",IF(COUNTIF(I$3:I184,"Y")&lt;=20,"pilot",IF(COUNTIF(I$3:I184,"Y")&lt;=40,"dev",IF(COUNTIF(I$3:I184,"Y")&lt;=120,"test","extra"))),"")</f>
        <v/>
      </c>
      <c r="C184" s="11" t="str">
        <f aca="false">IF(I184="Y",IF(COUNTA(K184,Q184,W184,AC184,AE184)=5,"done","in progress"),IF(I184="N","excluded",""))</f>
        <v/>
      </c>
      <c r="D184" s="11" t="s">
        <v>1080</v>
      </c>
      <c r="E184" s="12" t="s">
        <v>90</v>
      </c>
      <c r="F184" s="13" t="s">
        <v>1081</v>
      </c>
      <c r="G184" s="11" t="s">
        <v>1082</v>
      </c>
      <c r="H184" s="11"/>
      <c r="I184" s="14"/>
      <c r="J184" s="14"/>
      <c r="K184" s="14"/>
      <c r="L184" s="15"/>
      <c r="M184" s="14"/>
      <c r="N184" s="15"/>
      <c r="O184" s="14"/>
      <c r="P184" s="15"/>
      <c r="Q184" s="14"/>
      <c r="R184" s="15"/>
      <c r="S184" s="14"/>
      <c r="T184" s="15"/>
      <c r="U184" s="14"/>
      <c r="V184" s="15"/>
      <c r="W184" s="14"/>
      <c r="X184" s="15"/>
      <c r="Y184" s="14"/>
      <c r="Z184" s="15"/>
      <c r="AA184" s="14"/>
      <c r="AB184" s="15"/>
      <c r="AC184" s="14"/>
      <c r="AD184" s="15"/>
      <c r="AE184" s="14"/>
      <c r="AF184" s="15"/>
      <c r="AG184" s="15"/>
      <c r="AH184" s="15"/>
      <c r="AI184" s="14"/>
      <c r="AJ184" s="14"/>
      <c r="AK184" s="17"/>
    </row>
    <row r="185" customFormat="false" ht="57" hidden="false" customHeight="true" outlineLevel="0" collapsed="false">
      <c r="A185" s="11" t="n">
        <v>183</v>
      </c>
      <c r="B185" s="11" t="str">
        <f aca="false">IF(I185="Y",IF(COUNTIF(I$3:I185,"Y")&lt;=20,"pilot",IF(COUNTIF(I$3:I185,"Y")&lt;=40,"dev",IF(COUNTIF(I$3:I185,"Y")&lt;=120,"test","extra"))),"")</f>
        <v/>
      </c>
      <c r="C185" s="11" t="str">
        <f aca="false">IF(I185="Y",IF(COUNTA(K185,Q185,W185,AC185,AE185)=5,"done","in progress"),IF(I185="N","excluded",""))</f>
        <v/>
      </c>
      <c r="D185" s="11" t="s">
        <v>1083</v>
      </c>
      <c r="E185" s="12" t="s">
        <v>90</v>
      </c>
      <c r="F185" s="13" t="s">
        <v>1084</v>
      </c>
      <c r="G185" s="11" t="s">
        <v>235</v>
      </c>
      <c r="H185" s="11"/>
      <c r="I185" s="14"/>
      <c r="J185" s="14"/>
      <c r="K185" s="14"/>
      <c r="L185" s="15"/>
      <c r="M185" s="14"/>
      <c r="N185" s="15"/>
      <c r="O185" s="14"/>
      <c r="P185" s="15"/>
      <c r="Q185" s="14"/>
      <c r="R185" s="15"/>
      <c r="S185" s="14"/>
      <c r="T185" s="15"/>
      <c r="U185" s="14"/>
      <c r="V185" s="15"/>
      <c r="W185" s="14"/>
      <c r="X185" s="15"/>
      <c r="Y185" s="14"/>
      <c r="Z185" s="15"/>
      <c r="AA185" s="14"/>
      <c r="AB185" s="15"/>
      <c r="AC185" s="14"/>
      <c r="AD185" s="15"/>
      <c r="AE185" s="14"/>
      <c r="AF185" s="15"/>
      <c r="AG185" s="15"/>
      <c r="AH185" s="15"/>
      <c r="AI185" s="14"/>
      <c r="AJ185" s="14"/>
      <c r="AK185" s="17"/>
    </row>
    <row r="186" customFormat="false" ht="28.5" hidden="false" customHeight="true" outlineLevel="0" collapsed="false">
      <c r="A186" s="11" t="n">
        <v>184</v>
      </c>
      <c r="B186" s="11" t="str">
        <f aca="false">IF(I186="Y",IF(COUNTIF(I$3:I186,"Y")&lt;=20,"pilot",IF(COUNTIF(I$3:I186,"Y")&lt;=40,"dev",IF(COUNTIF(I$3:I186,"Y")&lt;=120,"test","extra"))),"")</f>
        <v/>
      </c>
      <c r="C186" s="11" t="str">
        <f aca="false">IF(I186="Y",IF(COUNTA(K186,Q186,W186,AC186,AE186)=5,"done","in progress"),IF(I186="N","excluded",""))</f>
        <v/>
      </c>
      <c r="D186" s="11" t="s">
        <v>1085</v>
      </c>
      <c r="E186" s="12" t="s">
        <v>90</v>
      </c>
      <c r="F186" s="13" t="s">
        <v>1086</v>
      </c>
      <c r="G186" s="11" t="s">
        <v>476</v>
      </c>
      <c r="H186" s="11"/>
      <c r="I186" s="14"/>
      <c r="J186" s="14"/>
      <c r="K186" s="14"/>
      <c r="L186" s="15"/>
      <c r="M186" s="14"/>
      <c r="N186" s="15"/>
      <c r="O186" s="14"/>
      <c r="P186" s="15"/>
      <c r="Q186" s="14"/>
      <c r="R186" s="15"/>
      <c r="S186" s="14"/>
      <c r="T186" s="15"/>
      <c r="U186" s="14"/>
      <c r="V186" s="15"/>
      <c r="W186" s="14"/>
      <c r="X186" s="15"/>
      <c r="Y186" s="14"/>
      <c r="Z186" s="15"/>
      <c r="AA186" s="14"/>
      <c r="AB186" s="15"/>
      <c r="AC186" s="14"/>
      <c r="AD186" s="15"/>
      <c r="AE186" s="14"/>
      <c r="AF186" s="15"/>
      <c r="AG186" s="15"/>
      <c r="AH186" s="15"/>
      <c r="AI186" s="14"/>
      <c r="AJ186" s="14"/>
      <c r="AK186" s="17"/>
    </row>
    <row r="187" customFormat="false" ht="42.75" hidden="false" customHeight="true" outlineLevel="0" collapsed="false">
      <c r="A187" s="11" t="n">
        <v>185</v>
      </c>
      <c r="B187" s="11" t="str">
        <f aca="false">IF(I187="Y",IF(COUNTIF(I$3:I187,"Y")&lt;=20,"pilot",IF(COUNTIF(I$3:I187,"Y")&lt;=40,"dev",IF(COUNTIF(I$3:I187,"Y")&lt;=120,"test","extra"))),"")</f>
        <v/>
      </c>
      <c r="C187" s="11" t="str">
        <f aca="false">IF(I187="Y",IF(COUNTA(K187,Q187,W187,AC187,AE187)=5,"done","in progress"),IF(I187="N","excluded",""))</f>
        <v/>
      </c>
      <c r="D187" s="11" t="s">
        <v>1087</v>
      </c>
      <c r="E187" s="12" t="s">
        <v>90</v>
      </c>
      <c r="F187" s="13" t="s">
        <v>1088</v>
      </c>
      <c r="G187" s="11" t="s">
        <v>1089</v>
      </c>
      <c r="H187" s="11"/>
      <c r="I187" s="14"/>
      <c r="J187" s="14"/>
      <c r="K187" s="14"/>
      <c r="L187" s="15"/>
      <c r="M187" s="14"/>
      <c r="N187" s="15"/>
      <c r="O187" s="14"/>
      <c r="P187" s="15"/>
      <c r="Q187" s="14"/>
      <c r="R187" s="15"/>
      <c r="S187" s="14"/>
      <c r="T187" s="15"/>
      <c r="U187" s="14"/>
      <c r="V187" s="15"/>
      <c r="W187" s="14"/>
      <c r="X187" s="15"/>
      <c r="Y187" s="14"/>
      <c r="Z187" s="15"/>
      <c r="AA187" s="14"/>
      <c r="AB187" s="15"/>
      <c r="AC187" s="14"/>
      <c r="AD187" s="15"/>
      <c r="AE187" s="14"/>
      <c r="AF187" s="15"/>
      <c r="AG187" s="15"/>
      <c r="AH187" s="15"/>
      <c r="AI187" s="14"/>
      <c r="AJ187" s="14"/>
      <c r="AK187" s="17"/>
    </row>
    <row r="188" customFormat="false" ht="42.75" hidden="false" customHeight="true" outlineLevel="0" collapsed="false">
      <c r="A188" s="11" t="n">
        <v>186</v>
      </c>
      <c r="B188" s="11" t="str">
        <f aca="false">IF(I188="Y",IF(COUNTIF(I$3:I188,"Y")&lt;=20,"pilot",IF(COUNTIF(I$3:I188,"Y")&lt;=40,"dev",IF(COUNTIF(I$3:I188,"Y")&lt;=120,"test","extra"))),"")</f>
        <v/>
      </c>
      <c r="C188" s="11" t="str">
        <f aca="false">IF(I188="Y",IF(COUNTA(K188,Q188,W188,AC188,AE188)=5,"done","in progress"),IF(I188="N","excluded",""))</f>
        <v/>
      </c>
      <c r="D188" s="11" t="s">
        <v>1090</v>
      </c>
      <c r="E188" s="12" t="s">
        <v>90</v>
      </c>
      <c r="F188" s="13" t="s">
        <v>1091</v>
      </c>
      <c r="G188" s="11" t="s">
        <v>1050</v>
      </c>
      <c r="H188" s="11"/>
      <c r="I188" s="14"/>
      <c r="J188" s="14"/>
      <c r="K188" s="14"/>
      <c r="L188" s="15"/>
      <c r="M188" s="14"/>
      <c r="N188" s="15"/>
      <c r="O188" s="14"/>
      <c r="P188" s="15"/>
      <c r="Q188" s="14"/>
      <c r="R188" s="15"/>
      <c r="S188" s="14"/>
      <c r="T188" s="15"/>
      <c r="U188" s="14"/>
      <c r="V188" s="15"/>
      <c r="W188" s="14"/>
      <c r="X188" s="15"/>
      <c r="Y188" s="14"/>
      <c r="Z188" s="15"/>
      <c r="AA188" s="14"/>
      <c r="AB188" s="15"/>
      <c r="AC188" s="14"/>
      <c r="AD188" s="15"/>
      <c r="AE188" s="14"/>
      <c r="AF188" s="15"/>
      <c r="AG188" s="15"/>
      <c r="AH188" s="15"/>
      <c r="AI188" s="14"/>
      <c r="AJ188" s="14"/>
      <c r="AK188" s="17"/>
    </row>
    <row r="189" customFormat="false" ht="28.5" hidden="false" customHeight="true" outlineLevel="0" collapsed="false">
      <c r="A189" s="11" t="n">
        <v>187</v>
      </c>
      <c r="B189" s="11" t="str">
        <f aca="false">IF(I189="Y",IF(COUNTIF(I$3:I189,"Y")&lt;=20,"pilot",IF(COUNTIF(I$3:I189,"Y")&lt;=40,"dev",IF(COUNTIF(I$3:I189,"Y")&lt;=120,"test","extra"))),"")</f>
        <v/>
      </c>
      <c r="C189" s="11" t="str">
        <f aca="false">IF(I189="Y",IF(COUNTA(K189,Q189,W189,AC189,AE189)=5,"done","in progress"),IF(I189="N","excluded",""))</f>
        <v/>
      </c>
      <c r="D189" s="11" t="s">
        <v>1092</v>
      </c>
      <c r="E189" s="12" t="s">
        <v>90</v>
      </c>
      <c r="F189" s="13" t="s">
        <v>1093</v>
      </c>
      <c r="G189" s="11" t="s">
        <v>424</v>
      </c>
      <c r="H189" s="11"/>
      <c r="I189" s="14"/>
      <c r="J189" s="14"/>
      <c r="K189" s="14"/>
      <c r="L189" s="15"/>
      <c r="M189" s="14"/>
      <c r="N189" s="15"/>
      <c r="O189" s="14"/>
      <c r="P189" s="15"/>
      <c r="Q189" s="14"/>
      <c r="R189" s="15"/>
      <c r="S189" s="14"/>
      <c r="T189" s="15"/>
      <c r="U189" s="14"/>
      <c r="V189" s="15"/>
      <c r="W189" s="14"/>
      <c r="X189" s="15"/>
      <c r="Y189" s="14"/>
      <c r="Z189" s="15"/>
      <c r="AA189" s="14"/>
      <c r="AB189" s="15"/>
      <c r="AC189" s="14"/>
      <c r="AD189" s="15"/>
      <c r="AE189" s="14"/>
      <c r="AF189" s="15"/>
      <c r="AG189" s="15"/>
      <c r="AH189" s="15"/>
      <c r="AI189" s="14"/>
      <c r="AJ189" s="14"/>
      <c r="AK189" s="17"/>
    </row>
    <row r="190" customFormat="false" ht="42.75" hidden="false" customHeight="true" outlineLevel="0" collapsed="false">
      <c r="A190" s="11" t="n">
        <v>188</v>
      </c>
      <c r="B190" s="11" t="str">
        <f aca="false">IF(I190="Y",IF(COUNTIF(I$3:I190,"Y")&lt;=20,"pilot",IF(COUNTIF(I$3:I190,"Y")&lt;=40,"dev",IF(COUNTIF(I$3:I190,"Y")&lt;=120,"test","extra"))),"")</f>
        <v/>
      </c>
      <c r="C190" s="11" t="str">
        <f aca="false">IF(I190="Y",IF(COUNTA(K190,Q190,W190,AC190,AE190)=5,"done","in progress"),IF(I190="N","excluded",""))</f>
        <v/>
      </c>
      <c r="D190" s="11" t="s">
        <v>1094</v>
      </c>
      <c r="E190" s="12" t="s">
        <v>90</v>
      </c>
      <c r="F190" s="13" t="s">
        <v>1095</v>
      </c>
      <c r="G190" s="11" t="s">
        <v>705</v>
      </c>
      <c r="H190" s="11"/>
      <c r="I190" s="14"/>
      <c r="J190" s="14"/>
      <c r="K190" s="14"/>
      <c r="L190" s="15"/>
      <c r="M190" s="14"/>
      <c r="N190" s="15"/>
      <c r="O190" s="14"/>
      <c r="P190" s="15"/>
      <c r="Q190" s="14"/>
      <c r="R190" s="15"/>
      <c r="S190" s="14"/>
      <c r="T190" s="15"/>
      <c r="U190" s="14"/>
      <c r="V190" s="15"/>
      <c r="W190" s="14"/>
      <c r="X190" s="15"/>
      <c r="Y190" s="14"/>
      <c r="Z190" s="15"/>
      <c r="AA190" s="14"/>
      <c r="AB190" s="15"/>
      <c r="AC190" s="14"/>
      <c r="AD190" s="15"/>
      <c r="AE190" s="14"/>
      <c r="AF190" s="15"/>
      <c r="AG190" s="15"/>
      <c r="AH190" s="15"/>
      <c r="AI190" s="14"/>
      <c r="AJ190" s="14"/>
      <c r="AK190" s="17"/>
    </row>
    <row r="191" customFormat="false" ht="42.75" hidden="false" customHeight="true" outlineLevel="0" collapsed="false">
      <c r="A191" s="11" t="n">
        <v>189</v>
      </c>
      <c r="B191" s="11" t="str">
        <f aca="false">IF(I191="Y",IF(COUNTIF(I$3:I191,"Y")&lt;=20,"pilot",IF(COUNTIF(I$3:I191,"Y")&lt;=40,"dev",IF(COUNTIF(I$3:I191,"Y")&lt;=120,"test","extra"))),"")</f>
        <v/>
      </c>
      <c r="C191" s="11" t="str">
        <f aca="false">IF(I191="Y",IF(COUNTA(K191,Q191,W191,AC191,AE191)=5,"done","in progress"),IF(I191="N","excluded",""))</f>
        <v/>
      </c>
      <c r="D191" s="11" t="s">
        <v>1096</v>
      </c>
      <c r="E191" s="12" t="s">
        <v>90</v>
      </c>
      <c r="F191" s="13" t="s">
        <v>1097</v>
      </c>
      <c r="G191" s="11" t="s">
        <v>168</v>
      </c>
      <c r="H191" s="11"/>
      <c r="I191" s="14"/>
      <c r="J191" s="14"/>
      <c r="K191" s="14"/>
      <c r="L191" s="15"/>
      <c r="M191" s="14"/>
      <c r="N191" s="15"/>
      <c r="O191" s="14"/>
      <c r="P191" s="15"/>
      <c r="Q191" s="14"/>
      <c r="R191" s="15"/>
      <c r="S191" s="14"/>
      <c r="T191" s="15"/>
      <c r="U191" s="14"/>
      <c r="V191" s="15"/>
      <c r="W191" s="14"/>
      <c r="X191" s="15"/>
      <c r="Y191" s="14"/>
      <c r="Z191" s="15"/>
      <c r="AA191" s="14"/>
      <c r="AB191" s="15"/>
      <c r="AC191" s="14"/>
      <c r="AD191" s="15"/>
      <c r="AE191" s="14"/>
      <c r="AF191" s="15"/>
      <c r="AG191" s="15"/>
      <c r="AH191" s="15"/>
      <c r="AI191" s="14"/>
      <c r="AJ191" s="14"/>
      <c r="AK191" s="17"/>
    </row>
    <row r="192" customFormat="false" ht="42.75" hidden="false" customHeight="true" outlineLevel="0" collapsed="false">
      <c r="A192" s="11" t="n">
        <v>190</v>
      </c>
      <c r="B192" s="11" t="str">
        <f aca="false">IF(I192="Y",IF(COUNTIF(I$3:I192,"Y")&lt;=20,"pilot",IF(COUNTIF(I$3:I192,"Y")&lt;=40,"dev",IF(COUNTIF(I$3:I192,"Y")&lt;=120,"test","extra"))),"")</f>
        <v/>
      </c>
      <c r="C192" s="11" t="str">
        <f aca="false">IF(I192="Y",IF(COUNTA(K192,Q192,W192,AC192,AE192)=5,"done","in progress"),IF(I192="N","excluded",""))</f>
        <v/>
      </c>
      <c r="D192" s="11" t="s">
        <v>1098</v>
      </c>
      <c r="E192" s="12" t="s">
        <v>90</v>
      </c>
      <c r="F192" s="13" t="s">
        <v>1099</v>
      </c>
      <c r="G192" s="11" t="s">
        <v>125</v>
      </c>
      <c r="H192" s="11"/>
      <c r="I192" s="14"/>
      <c r="J192" s="14"/>
      <c r="K192" s="14"/>
      <c r="L192" s="15"/>
      <c r="M192" s="14"/>
      <c r="N192" s="15"/>
      <c r="O192" s="14"/>
      <c r="P192" s="15"/>
      <c r="Q192" s="14"/>
      <c r="R192" s="15"/>
      <c r="S192" s="14"/>
      <c r="T192" s="15"/>
      <c r="U192" s="14"/>
      <c r="V192" s="15"/>
      <c r="W192" s="14"/>
      <c r="X192" s="15"/>
      <c r="Y192" s="14"/>
      <c r="Z192" s="15"/>
      <c r="AA192" s="14"/>
      <c r="AB192" s="15"/>
      <c r="AC192" s="14"/>
      <c r="AD192" s="15"/>
      <c r="AE192" s="14"/>
      <c r="AF192" s="15"/>
      <c r="AG192" s="15"/>
      <c r="AH192" s="15"/>
      <c r="AI192" s="14"/>
      <c r="AJ192" s="14"/>
      <c r="AK192" s="17"/>
    </row>
    <row r="193" customFormat="false" ht="42.75" hidden="false" customHeight="true" outlineLevel="0" collapsed="false">
      <c r="A193" s="11" t="n">
        <v>191</v>
      </c>
      <c r="B193" s="11" t="str">
        <f aca="false">IF(I193="Y",IF(COUNTIF(I$3:I193,"Y")&lt;=20,"pilot",IF(COUNTIF(I$3:I193,"Y")&lt;=40,"dev",IF(COUNTIF(I$3:I193,"Y")&lt;=120,"test","extra"))),"")</f>
        <v/>
      </c>
      <c r="C193" s="11" t="str">
        <f aca="false">IF(I193="Y",IF(COUNTA(K193,Q193,W193,AC193,AE193)=5,"done","in progress"),IF(I193="N","excluded",""))</f>
        <v/>
      </c>
      <c r="D193" s="11" t="s">
        <v>1100</v>
      </c>
      <c r="E193" s="12" t="s">
        <v>90</v>
      </c>
      <c r="F193" s="13" t="s">
        <v>1101</v>
      </c>
      <c r="G193" s="11" t="s">
        <v>651</v>
      </c>
      <c r="H193" s="11"/>
      <c r="I193" s="14"/>
      <c r="J193" s="14"/>
      <c r="K193" s="14"/>
      <c r="L193" s="15"/>
      <c r="M193" s="14"/>
      <c r="N193" s="15"/>
      <c r="O193" s="14"/>
      <c r="P193" s="15"/>
      <c r="Q193" s="14"/>
      <c r="R193" s="15"/>
      <c r="S193" s="14"/>
      <c r="T193" s="15"/>
      <c r="U193" s="14"/>
      <c r="V193" s="15"/>
      <c r="W193" s="14"/>
      <c r="X193" s="15"/>
      <c r="Y193" s="14"/>
      <c r="Z193" s="15"/>
      <c r="AA193" s="14"/>
      <c r="AB193" s="15"/>
      <c r="AC193" s="14"/>
      <c r="AD193" s="15"/>
      <c r="AE193" s="14"/>
      <c r="AF193" s="15"/>
      <c r="AG193" s="15"/>
      <c r="AH193" s="15"/>
      <c r="AI193" s="14"/>
      <c r="AJ193" s="14"/>
      <c r="AK193" s="17"/>
    </row>
    <row r="194" customFormat="false" ht="42.75" hidden="false" customHeight="true" outlineLevel="0" collapsed="false">
      <c r="A194" s="11" t="n">
        <v>192</v>
      </c>
      <c r="B194" s="11" t="str">
        <f aca="false">IF(I194="Y",IF(COUNTIF(I$3:I194,"Y")&lt;=20,"pilot",IF(COUNTIF(I$3:I194,"Y")&lt;=40,"dev",IF(COUNTIF(I$3:I194,"Y")&lt;=120,"test","extra"))),"")</f>
        <v/>
      </c>
      <c r="C194" s="11" t="str">
        <f aca="false">IF(I194="Y",IF(COUNTA(K194,Q194,W194,AC194,AE194)=5,"done","in progress"),IF(I194="N","excluded",""))</f>
        <v/>
      </c>
      <c r="D194" s="11" t="s">
        <v>1102</v>
      </c>
      <c r="E194" s="12" t="s">
        <v>90</v>
      </c>
      <c r="F194" s="13" t="s">
        <v>1103</v>
      </c>
      <c r="G194" s="11" t="s">
        <v>193</v>
      </c>
      <c r="H194" s="11"/>
      <c r="I194" s="14"/>
      <c r="J194" s="14"/>
      <c r="K194" s="14"/>
      <c r="L194" s="15"/>
      <c r="M194" s="14"/>
      <c r="N194" s="15"/>
      <c r="O194" s="14"/>
      <c r="P194" s="15"/>
      <c r="Q194" s="14"/>
      <c r="R194" s="15"/>
      <c r="S194" s="14"/>
      <c r="T194" s="15"/>
      <c r="U194" s="14"/>
      <c r="V194" s="15"/>
      <c r="W194" s="14"/>
      <c r="X194" s="15"/>
      <c r="Y194" s="14"/>
      <c r="Z194" s="15"/>
      <c r="AA194" s="14"/>
      <c r="AB194" s="15"/>
      <c r="AC194" s="14"/>
      <c r="AD194" s="15"/>
      <c r="AE194" s="14"/>
      <c r="AF194" s="15"/>
      <c r="AG194" s="15"/>
      <c r="AH194" s="15"/>
      <c r="AI194" s="14"/>
      <c r="AJ194" s="14"/>
      <c r="AK194" s="17"/>
    </row>
    <row r="195" customFormat="false" ht="42.75" hidden="false" customHeight="true" outlineLevel="0" collapsed="false">
      <c r="A195" s="11" t="n">
        <v>193</v>
      </c>
      <c r="B195" s="11" t="str">
        <f aca="false">IF(I195="Y",IF(COUNTIF(I$3:I195,"Y")&lt;=20,"pilot",IF(COUNTIF(I$3:I195,"Y")&lt;=40,"dev",IF(COUNTIF(I$3:I195,"Y")&lt;=120,"test","extra"))),"")</f>
        <v/>
      </c>
      <c r="C195" s="11" t="str">
        <f aca="false">IF(I195="Y",IF(COUNTA(K195,Q195,W195,AC195,AE195)=5,"done","in progress"),IF(I195="N","excluded",""))</f>
        <v/>
      </c>
      <c r="D195" s="11" t="s">
        <v>1104</v>
      </c>
      <c r="E195" s="12" t="s">
        <v>90</v>
      </c>
      <c r="F195" s="13" t="s">
        <v>1105</v>
      </c>
      <c r="G195" s="11" t="s">
        <v>288</v>
      </c>
      <c r="H195" s="11"/>
      <c r="I195" s="14"/>
      <c r="J195" s="14"/>
      <c r="K195" s="14"/>
      <c r="L195" s="15"/>
      <c r="M195" s="14"/>
      <c r="N195" s="15"/>
      <c r="O195" s="14"/>
      <c r="P195" s="15"/>
      <c r="Q195" s="14"/>
      <c r="R195" s="15"/>
      <c r="S195" s="14"/>
      <c r="T195" s="15"/>
      <c r="U195" s="14"/>
      <c r="V195" s="15"/>
      <c r="W195" s="14"/>
      <c r="X195" s="15"/>
      <c r="Y195" s="14"/>
      <c r="Z195" s="15"/>
      <c r="AA195" s="14"/>
      <c r="AB195" s="15"/>
      <c r="AC195" s="14"/>
      <c r="AD195" s="15"/>
      <c r="AE195" s="14"/>
      <c r="AF195" s="15"/>
      <c r="AG195" s="15"/>
      <c r="AH195" s="15"/>
      <c r="AI195" s="14"/>
      <c r="AJ195" s="14"/>
      <c r="AK195" s="17"/>
    </row>
    <row r="196" customFormat="false" ht="57" hidden="false" customHeight="true" outlineLevel="0" collapsed="false">
      <c r="A196" s="11" t="n">
        <v>194</v>
      </c>
      <c r="B196" s="11" t="str">
        <f aca="false">IF(I196="Y",IF(COUNTIF(I$3:I196,"Y")&lt;=20,"pilot",IF(COUNTIF(I$3:I196,"Y")&lt;=40,"dev",IF(COUNTIF(I$3:I196,"Y")&lt;=120,"test","extra"))),"")</f>
        <v/>
      </c>
      <c r="C196" s="11" t="str">
        <f aca="false">IF(I196="Y",IF(COUNTA(K196,Q196,W196,AC196,AE196)=5,"done","in progress"),IF(I196="N","excluded",""))</f>
        <v/>
      </c>
      <c r="D196" s="11" t="s">
        <v>1106</v>
      </c>
      <c r="E196" s="12" t="s">
        <v>90</v>
      </c>
      <c r="F196" s="13" t="s">
        <v>1107</v>
      </c>
      <c r="G196" s="11" t="s">
        <v>520</v>
      </c>
      <c r="H196" s="11" t="s">
        <v>366</v>
      </c>
      <c r="I196" s="14"/>
      <c r="J196" s="14"/>
      <c r="K196" s="14"/>
      <c r="L196" s="15"/>
      <c r="M196" s="14"/>
      <c r="N196" s="15"/>
      <c r="O196" s="14"/>
      <c r="P196" s="15"/>
      <c r="Q196" s="14"/>
      <c r="R196" s="15"/>
      <c r="S196" s="14"/>
      <c r="T196" s="15"/>
      <c r="U196" s="14"/>
      <c r="V196" s="15"/>
      <c r="W196" s="14"/>
      <c r="X196" s="15"/>
      <c r="Y196" s="14"/>
      <c r="Z196" s="15"/>
      <c r="AA196" s="14"/>
      <c r="AB196" s="15"/>
      <c r="AC196" s="14"/>
      <c r="AD196" s="15"/>
      <c r="AE196" s="14"/>
      <c r="AF196" s="15"/>
      <c r="AG196" s="15"/>
      <c r="AH196" s="15"/>
      <c r="AI196" s="14"/>
      <c r="AJ196" s="14"/>
      <c r="AK196" s="17"/>
    </row>
    <row r="197" customFormat="false" ht="28.5" hidden="false" customHeight="true" outlineLevel="0" collapsed="false">
      <c r="A197" s="11" t="n">
        <v>195</v>
      </c>
      <c r="B197" s="11" t="str">
        <f aca="false">IF(I197="Y",IF(COUNTIF(I$3:I197,"Y")&lt;=20,"pilot",IF(COUNTIF(I$3:I197,"Y")&lt;=40,"dev",IF(COUNTIF(I$3:I197,"Y")&lt;=120,"test","extra"))),"")</f>
        <v/>
      </c>
      <c r="C197" s="11" t="str">
        <f aca="false">IF(I197="Y",IF(COUNTA(K197,Q197,W197,AC197,AE197)=5,"done","in progress"),IF(I197="N","excluded",""))</f>
        <v/>
      </c>
      <c r="D197" s="11" t="s">
        <v>1108</v>
      </c>
      <c r="E197" s="12" t="s">
        <v>90</v>
      </c>
      <c r="F197" s="13" t="s">
        <v>1109</v>
      </c>
      <c r="G197" s="11" t="s">
        <v>168</v>
      </c>
      <c r="H197" s="11"/>
      <c r="I197" s="14"/>
      <c r="J197" s="14"/>
      <c r="K197" s="14"/>
      <c r="L197" s="15"/>
      <c r="M197" s="14"/>
      <c r="N197" s="15"/>
      <c r="O197" s="14"/>
      <c r="P197" s="15"/>
      <c r="Q197" s="14"/>
      <c r="R197" s="15"/>
      <c r="S197" s="14"/>
      <c r="T197" s="15"/>
      <c r="U197" s="14"/>
      <c r="V197" s="15"/>
      <c r="W197" s="14"/>
      <c r="X197" s="15"/>
      <c r="Y197" s="14"/>
      <c r="Z197" s="15"/>
      <c r="AA197" s="14"/>
      <c r="AB197" s="15"/>
      <c r="AC197" s="14"/>
      <c r="AD197" s="15"/>
      <c r="AE197" s="14"/>
      <c r="AF197" s="15"/>
      <c r="AG197" s="15"/>
      <c r="AH197" s="15"/>
      <c r="AI197" s="14"/>
      <c r="AJ197" s="14"/>
      <c r="AK197" s="17"/>
    </row>
    <row r="198" customFormat="false" ht="42.75" hidden="false" customHeight="true" outlineLevel="0" collapsed="false">
      <c r="A198" s="11" t="n">
        <v>196</v>
      </c>
      <c r="B198" s="11" t="str">
        <f aca="false">IF(I198="Y",IF(COUNTIF(I$3:I198,"Y")&lt;=20,"pilot",IF(COUNTIF(I$3:I198,"Y")&lt;=40,"dev",IF(COUNTIF(I$3:I198,"Y")&lt;=120,"test","extra"))),"")</f>
        <v/>
      </c>
      <c r="C198" s="11" t="str">
        <f aca="false">IF(I198="Y",IF(COUNTA(K198,Q198,W198,AC198,AE198)=5,"done","in progress"),IF(I198="N","excluded",""))</f>
        <v/>
      </c>
      <c r="D198" s="11" t="s">
        <v>1110</v>
      </c>
      <c r="E198" s="12" t="s">
        <v>90</v>
      </c>
      <c r="F198" s="13" t="s">
        <v>1111</v>
      </c>
      <c r="G198" s="11" t="s">
        <v>92</v>
      </c>
      <c r="H198" s="11"/>
      <c r="I198" s="14"/>
      <c r="J198" s="14"/>
      <c r="K198" s="14"/>
      <c r="L198" s="15"/>
      <c r="M198" s="14"/>
      <c r="N198" s="15"/>
      <c r="O198" s="14"/>
      <c r="P198" s="15"/>
      <c r="Q198" s="14"/>
      <c r="R198" s="15"/>
      <c r="S198" s="14"/>
      <c r="T198" s="15"/>
      <c r="U198" s="14"/>
      <c r="V198" s="15"/>
      <c r="W198" s="14"/>
      <c r="X198" s="15"/>
      <c r="Y198" s="14"/>
      <c r="Z198" s="15"/>
      <c r="AA198" s="14"/>
      <c r="AB198" s="15"/>
      <c r="AC198" s="14"/>
      <c r="AD198" s="15"/>
      <c r="AE198" s="14"/>
      <c r="AF198" s="15"/>
      <c r="AG198" s="15"/>
      <c r="AH198" s="15"/>
      <c r="AI198" s="14"/>
      <c r="AJ198" s="14"/>
      <c r="AK198" s="17"/>
    </row>
    <row r="199" customFormat="false" ht="28.5" hidden="false" customHeight="true" outlineLevel="0" collapsed="false">
      <c r="A199" s="11" t="n">
        <v>197</v>
      </c>
      <c r="B199" s="11" t="str">
        <f aca="false">IF(I199="Y",IF(COUNTIF(I$3:I199,"Y")&lt;=20,"pilot",IF(COUNTIF(I$3:I199,"Y")&lt;=40,"dev",IF(COUNTIF(I$3:I199,"Y")&lt;=120,"test","extra"))),"")</f>
        <v/>
      </c>
      <c r="C199" s="11" t="str">
        <f aca="false">IF(I199="Y",IF(COUNTA(K199,Q199,W199,AC199,AE199)=5,"done","in progress"),IF(I199="N","excluded",""))</f>
        <v/>
      </c>
      <c r="D199" s="11" t="s">
        <v>1112</v>
      </c>
      <c r="E199" s="12" t="s">
        <v>90</v>
      </c>
      <c r="F199" s="13" t="s">
        <v>1113</v>
      </c>
      <c r="G199" s="11" t="s">
        <v>145</v>
      </c>
      <c r="H199" s="11"/>
      <c r="I199" s="14"/>
      <c r="J199" s="14"/>
      <c r="K199" s="14"/>
      <c r="L199" s="15"/>
      <c r="M199" s="14"/>
      <c r="N199" s="15"/>
      <c r="O199" s="14"/>
      <c r="P199" s="15"/>
      <c r="Q199" s="14"/>
      <c r="R199" s="15"/>
      <c r="S199" s="14"/>
      <c r="T199" s="15"/>
      <c r="U199" s="14"/>
      <c r="V199" s="15"/>
      <c r="W199" s="14"/>
      <c r="X199" s="15"/>
      <c r="Y199" s="14"/>
      <c r="Z199" s="15"/>
      <c r="AA199" s="14"/>
      <c r="AB199" s="15"/>
      <c r="AC199" s="14"/>
      <c r="AD199" s="15"/>
      <c r="AE199" s="14"/>
      <c r="AF199" s="15"/>
      <c r="AG199" s="15"/>
      <c r="AH199" s="15"/>
      <c r="AI199" s="14"/>
      <c r="AJ199" s="14"/>
      <c r="AK199" s="17"/>
    </row>
    <row r="200" customFormat="false" ht="42.75" hidden="false" customHeight="true" outlineLevel="0" collapsed="false">
      <c r="A200" s="11" t="n">
        <v>198</v>
      </c>
      <c r="B200" s="11" t="str">
        <f aca="false">IF(I200="Y",IF(COUNTIF(I$3:I200,"Y")&lt;=20,"pilot",IF(COUNTIF(I$3:I200,"Y")&lt;=40,"dev",IF(COUNTIF(I$3:I200,"Y")&lt;=120,"test","extra"))),"")</f>
        <v/>
      </c>
      <c r="C200" s="11" t="str">
        <f aca="false">IF(I200="Y",IF(COUNTA(K200,Q200,W200,AC200,AE200)=5,"done","in progress"),IF(I200="N","excluded",""))</f>
        <v/>
      </c>
      <c r="D200" s="11" t="s">
        <v>1114</v>
      </c>
      <c r="E200" s="12" t="s">
        <v>90</v>
      </c>
      <c r="F200" s="13" t="s">
        <v>1115</v>
      </c>
      <c r="G200" s="11" t="s">
        <v>118</v>
      </c>
      <c r="H200" s="11"/>
      <c r="I200" s="14"/>
      <c r="J200" s="14"/>
      <c r="K200" s="14"/>
      <c r="L200" s="15"/>
      <c r="M200" s="14"/>
      <c r="N200" s="15"/>
      <c r="O200" s="14"/>
      <c r="P200" s="15"/>
      <c r="Q200" s="14"/>
      <c r="R200" s="15"/>
      <c r="S200" s="14"/>
      <c r="T200" s="15"/>
      <c r="U200" s="14"/>
      <c r="V200" s="15"/>
      <c r="W200" s="14"/>
      <c r="X200" s="15"/>
      <c r="Y200" s="14"/>
      <c r="Z200" s="15"/>
      <c r="AA200" s="14"/>
      <c r="AB200" s="15"/>
      <c r="AC200" s="14"/>
      <c r="AD200" s="15"/>
      <c r="AE200" s="14"/>
      <c r="AF200" s="15"/>
      <c r="AG200" s="15"/>
      <c r="AH200" s="15"/>
      <c r="AI200" s="14"/>
      <c r="AJ200" s="14"/>
      <c r="AK200" s="17"/>
    </row>
    <row r="201" customFormat="false" ht="42.75" hidden="false" customHeight="true" outlineLevel="0" collapsed="false">
      <c r="A201" s="11" t="n">
        <v>199</v>
      </c>
      <c r="B201" s="11" t="str">
        <f aca="false">IF(I201="Y",IF(COUNTIF(I$3:I201,"Y")&lt;=20,"pilot",IF(COUNTIF(I$3:I201,"Y")&lt;=40,"dev",IF(COUNTIF(I$3:I201,"Y")&lt;=120,"test","extra"))),"")</f>
        <v/>
      </c>
      <c r="C201" s="11" t="str">
        <f aca="false">IF(I201="Y",IF(COUNTA(K201,Q201,W201,AC201,AE201)=5,"done","in progress"),IF(I201="N","excluded",""))</f>
        <v/>
      </c>
      <c r="D201" s="11" t="s">
        <v>1116</v>
      </c>
      <c r="E201" s="12" t="s">
        <v>90</v>
      </c>
      <c r="F201" s="13" t="s">
        <v>1117</v>
      </c>
      <c r="G201" s="11" t="s">
        <v>193</v>
      </c>
      <c r="H201" s="11"/>
      <c r="I201" s="14"/>
      <c r="J201" s="14"/>
      <c r="K201" s="14"/>
      <c r="L201" s="15"/>
      <c r="M201" s="14"/>
      <c r="N201" s="15"/>
      <c r="O201" s="14"/>
      <c r="P201" s="15"/>
      <c r="Q201" s="14"/>
      <c r="R201" s="15"/>
      <c r="S201" s="14"/>
      <c r="T201" s="15"/>
      <c r="U201" s="14"/>
      <c r="V201" s="15"/>
      <c r="W201" s="14"/>
      <c r="X201" s="15"/>
      <c r="Y201" s="14"/>
      <c r="Z201" s="15"/>
      <c r="AA201" s="14"/>
      <c r="AB201" s="15"/>
      <c r="AC201" s="14"/>
      <c r="AD201" s="15"/>
      <c r="AE201" s="14"/>
      <c r="AF201" s="15"/>
      <c r="AG201" s="15"/>
      <c r="AH201" s="15"/>
      <c r="AI201" s="14"/>
      <c r="AJ201" s="14"/>
      <c r="AK201" s="17"/>
    </row>
    <row r="202" customFormat="false" ht="28.5" hidden="false" customHeight="true" outlineLevel="0" collapsed="false">
      <c r="A202" s="11" t="n">
        <v>200</v>
      </c>
      <c r="B202" s="11" t="str">
        <f aca="false">IF(I202="Y",IF(COUNTIF(I$3:I202,"Y")&lt;=20,"pilot",IF(COUNTIF(I$3:I202,"Y")&lt;=40,"dev",IF(COUNTIF(I$3:I202,"Y")&lt;=120,"test","extra"))),"")</f>
        <v/>
      </c>
      <c r="C202" s="11" t="str">
        <f aca="false">IF(I202="Y",IF(COUNTA(K202,Q202,W202,AC202,AE202)=5,"done","in progress"),IF(I202="N","excluded",""))</f>
        <v/>
      </c>
      <c r="D202" s="11" t="s">
        <v>1118</v>
      </c>
      <c r="E202" s="12" t="s">
        <v>90</v>
      </c>
      <c r="F202" s="13" t="s">
        <v>1119</v>
      </c>
      <c r="G202" s="11" t="s">
        <v>424</v>
      </c>
      <c r="H202" s="11"/>
      <c r="I202" s="14"/>
      <c r="J202" s="14"/>
      <c r="K202" s="14"/>
      <c r="L202" s="15"/>
      <c r="M202" s="14"/>
      <c r="N202" s="15"/>
      <c r="O202" s="14"/>
      <c r="P202" s="15"/>
      <c r="Q202" s="14"/>
      <c r="R202" s="15"/>
      <c r="S202" s="14"/>
      <c r="T202" s="15"/>
      <c r="U202" s="14"/>
      <c r="V202" s="15"/>
      <c r="W202" s="14"/>
      <c r="X202" s="15"/>
      <c r="Y202" s="14"/>
      <c r="Z202" s="15"/>
      <c r="AA202" s="14"/>
      <c r="AB202" s="15"/>
      <c r="AC202" s="14"/>
      <c r="AD202" s="15"/>
      <c r="AE202" s="14"/>
      <c r="AF202" s="15"/>
      <c r="AG202" s="15"/>
      <c r="AH202" s="15"/>
      <c r="AI202" s="14"/>
      <c r="AJ202" s="14"/>
      <c r="AK202" s="17"/>
    </row>
    <row r="203" customFormat="false" ht="42.75" hidden="false" customHeight="true" outlineLevel="0" collapsed="false">
      <c r="A203" s="11" t="n">
        <v>201</v>
      </c>
      <c r="B203" s="11" t="str">
        <f aca="false">IF(I203="Y",IF(COUNTIF(I$3:I203,"Y")&lt;=20,"pilot",IF(COUNTIF(I$3:I203,"Y")&lt;=40,"dev",IF(COUNTIF(I$3:I203,"Y")&lt;=120,"test","extra"))),"")</f>
        <v/>
      </c>
      <c r="C203" s="11" t="str">
        <f aca="false">IF(I203="Y",IF(COUNTA(K203,Q203,W203,AC203,AE203)=5,"done","in progress"),IF(I203="N","excluded",""))</f>
        <v/>
      </c>
      <c r="D203" s="11" t="s">
        <v>1120</v>
      </c>
      <c r="E203" s="12" t="s">
        <v>90</v>
      </c>
      <c r="F203" s="13" t="s">
        <v>1121</v>
      </c>
      <c r="G203" s="11" t="s">
        <v>1122</v>
      </c>
      <c r="H203" s="11"/>
      <c r="I203" s="14"/>
      <c r="J203" s="14"/>
      <c r="K203" s="14"/>
      <c r="L203" s="15"/>
      <c r="M203" s="14"/>
      <c r="N203" s="15"/>
      <c r="O203" s="14"/>
      <c r="P203" s="15"/>
      <c r="Q203" s="14"/>
      <c r="R203" s="15"/>
      <c r="S203" s="14"/>
      <c r="T203" s="15"/>
      <c r="U203" s="14"/>
      <c r="V203" s="15"/>
      <c r="W203" s="14"/>
      <c r="X203" s="15"/>
      <c r="Y203" s="14"/>
      <c r="Z203" s="15"/>
      <c r="AA203" s="14"/>
      <c r="AB203" s="15"/>
      <c r="AC203" s="14"/>
      <c r="AD203" s="15"/>
      <c r="AE203" s="14"/>
      <c r="AF203" s="15"/>
      <c r="AG203" s="15"/>
      <c r="AH203" s="15"/>
      <c r="AI203" s="14"/>
      <c r="AJ203" s="14"/>
      <c r="AK203" s="17"/>
    </row>
    <row r="204" customFormat="false" ht="42.75" hidden="false" customHeight="true" outlineLevel="0" collapsed="false">
      <c r="A204" s="11" t="n">
        <v>202</v>
      </c>
      <c r="B204" s="11" t="str">
        <f aca="false">IF(I204="Y",IF(COUNTIF(I$3:I204,"Y")&lt;=20,"pilot",IF(COUNTIF(I$3:I204,"Y")&lt;=40,"dev",IF(COUNTIF(I$3:I204,"Y")&lt;=120,"test","extra"))),"")</f>
        <v/>
      </c>
      <c r="C204" s="11" t="str">
        <f aca="false">IF(I204="Y",IF(COUNTA(K204,Q204,W204,AC204,AE204)=5,"done","in progress"),IF(I204="N","excluded",""))</f>
        <v/>
      </c>
      <c r="D204" s="11" t="s">
        <v>1123</v>
      </c>
      <c r="E204" s="12" t="s">
        <v>90</v>
      </c>
      <c r="F204" s="13" t="s">
        <v>1124</v>
      </c>
      <c r="G204" s="11" t="s">
        <v>168</v>
      </c>
      <c r="H204" s="11"/>
      <c r="I204" s="14"/>
      <c r="J204" s="14"/>
      <c r="K204" s="14"/>
      <c r="L204" s="15"/>
      <c r="M204" s="14"/>
      <c r="N204" s="15"/>
      <c r="O204" s="14"/>
      <c r="P204" s="15"/>
      <c r="Q204" s="14"/>
      <c r="R204" s="15"/>
      <c r="S204" s="14"/>
      <c r="T204" s="15"/>
      <c r="U204" s="14"/>
      <c r="V204" s="15"/>
      <c r="W204" s="14"/>
      <c r="X204" s="15"/>
      <c r="Y204" s="14"/>
      <c r="Z204" s="15"/>
      <c r="AA204" s="14"/>
      <c r="AB204" s="15"/>
      <c r="AC204" s="14"/>
      <c r="AD204" s="15"/>
      <c r="AE204" s="14"/>
      <c r="AF204" s="15"/>
      <c r="AG204" s="15"/>
      <c r="AH204" s="15"/>
      <c r="AI204" s="14"/>
      <c r="AJ204" s="14"/>
      <c r="AK204" s="17"/>
    </row>
    <row r="205" customFormat="false" ht="42.75" hidden="false" customHeight="true" outlineLevel="0" collapsed="false">
      <c r="A205" s="11" t="n">
        <v>203</v>
      </c>
      <c r="B205" s="11" t="str">
        <f aca="false">IF(I205="Y",IF(COUNTIF(I$3:I205,"Y")&lt;=20,"pilot",IF(COUNTIF(I$3:I205,"Y")&lt;=40,"dev",IF(COUNTIF(I$3:I205,"Y")&lt;=120,"test","extra"))),"")</f>
        <v/>
      </c>
      <c r="C205" s="11" t="str">
        <f aca="false">IF(I205="Y",IF(COUNTA(K205,Q205,W205,AC205,AE205)=5,"done","in progress"),IF(I205="N","excluded",""))</f>
        <v/>
      </c>
      <c r="D205" s="11" t="s">
        <v>1125</v>
      </c>
      <c r="E205" s="12" t="s">
        <v>90</v>
      </c>
      <c r="F205" s="13" t="s">
        <v>1126</v>
      </c>
      <c r="G205" s="11" t="s">
        <v>193</v>
      </c>
      <c r="H205" s="11"/>
      <c r="I205" s="14"/>
      <c r="J205" s="14"/>
      <c r="K205" s="14"/>
      <c r="L205" s="15"/>
      <c r="M205" s="14"/>
      <c r="N205" s="15"/>
      <c r="O205" s="14"/>
      <c r="P205" s="15"/>
      <c r="Q205" s="14"/>
      <c r="R205" s="15"/>
      <c r="S205" s="14"/>
      <c r="T205" s="15"/>
      <c r="U205" s="14"/>
      <c r="V205" s="15"/>
      <c r="W205" s="14"/>
      <c r="X205" s="15"/>
      <c r="Y205" s="14"/>
      <c r="Z205" s="15"/>
      <c r="AA205" s="14"/>
      <c r="AB205" s="15"/>
      <c r="AC205" s="14"/>
      <c r="AD205" s="15"/>
      <c r="AE205" s="14"/>
      <c r="AF205" s="15"/>
      <c r="AG205" s="15"/>
      <c r="AH205" s="15"/>
      <c r="AI205" s="14"/>
      <c r="AJ205" s="14"/>
      <c r="AK205" s="17"/>
    </row>
    <row r="206" customFormat="false" ht="42.75" hidden="false" customHeight="true" outlineLevel="0" collapsed="false">
      <c r="A206" s="11" t="n">
        <v>204</v>
      </c>
      <c r="B206" s="11" t="str">
        <f aca="false">IF(I206="Y",IF(COUNTIF(I$3:I206,"Y")&lt;=20,"pilot",IF(COUNTIF(I$3:I206,"Y")&lt;=40,"dev",IF(COUNTIF(I$3:I206,"Y")&lt;=120,"test","extra"))),"")</f>
        <v/>
      </c>
      <c r="C206" s="11" t="str">
        <f aca="false">IF(I206="Y",IF(COUNTA(K206,Q206,W206,AC206,AE206)=5,"done","in progress"),IF(I206="N","excluded",""))</f>
        <v/>
      </c>
      <c r="D206" s="11" t="s">
        <v>1127</v>
      </c>
      <c r="E206" s="12" t="s">
        <v>90</v>
      </c>
      <c r="F206" s="13" t="s">
        <v>1128</v>
      </c>
      <c r="G206" s="11" t="s">
        <v>393</v>
      </c>
      <c r="H206" s="11"/>
      <c r="I206" s="14"/>
      <c r="J206" s="14"/>
      <c r="K206" s="14"/>
      <c r="L206" s="15"/>
      <c r="M206" s="14"/>
      <c r="N206" s="15"/>
      <c r="O206" s="14"/>
      <c r="P206" s="15"/>
      <c r="Q206" s="14"/>
      <c r="R206" s="15"/>
      <c r="S206" s="14"/>
      <c r="T206" s="15"/>
      <c r="U206" s="14"/>
      <c r="V206" s="15"/>
      <c r="W206" s="14"/>
      <c r="X206" s="15"/>
      <c r="Y206" s="14"/>
      <c r="Z206" s="15"/>
      <c r="AA206" s="14"/>
      <c r="AB206" s="15"/>
      <c r="AC206" s="14"/>
      <c r="AD206" s="15"/>
      <c r="AE206" s="14"/>
      <c r="AF206" s="15"/>
      <c r="AG206" s="15"/>
      <c r="AH206" s="15"/>
      <c r="AI206" s="14"/>
      <c r="AJ206" s="14"/>
      <c r="AK206" s="17"/>
    </row>
    <row r="207" customFormat="false" ht="42.75" hidden="false" customHeight="true" outlineLevel="0" collapsed="false">
      <c r="A207" s="11" t="n">
        <v>205</v>
      </c>
      <c r="B207" s="11" t="str">
        <f aca="false">IF(I207="Y",IF(COUNTIF(I$3:I207,"Y")&lt;=20,"pilot",IF(COUNTIF(I$3:I207,"Y")&lt;=40,"dev",IF(COUNTIF(I$3:I207,"Y")&lt;=120,"test","extra"))),"")</f>
        <v/>
      </c>
      <c r="C207" s="11" t="str">
        <f aca="false">IF(I207="Y",IF(COUNTA(K207,Q207,W207,AC207,AE207)=5,"done","in progress"),IF(I207="N","excluded",""))</f>
        <v/>
      </c>
      <c r="D207" s="11" t="s">
        <v>1129</v>
      </c>
      <c r="E207" s="12" t="s">
        <v>90</v>
      </c>
      <c r="F207" s="13" t="s">
        <v>1130</v>
      </c>
      <c r="G207" s="11" t="s">
        <v>1043</v>
      </c>
      <c r="H207" s="11"/>
      <c r="I207" s="14"/>
      <c r="J207" s="14"/>
      <c r="K207" s="14"/>
      <c r="L207" s="15"/>
      <c r="M207" s="14"/>
      <c r="N207" s="15"/>
      <c r="O207" s="14"/>
      <c r="P207" s="15"/>
      <c r="Q207" s="14"/>
      <c r="R207" s="15"/>
      <c r="S207" s="14"/>
      <c r="T207" s="15"/>
      <c r="U207" s="14"/>
      <c r="V207" s="15"/>
      <c r="W207" s="14"/>
      <c r="X207" s="15"/>
      <c r="Y207" s="14"/>
      <c r="Z207" s="15"/>
      <c r="AA207" s="14"/>
      <c r="AB207" s="15"/>
      <c r="AC207" s="14"/>
      <c r="AD207" s="15"/>
      <c r="AE207" s="14"/>
      <c r="AF207" s="15"/>
      <c r="AG207" s="15"/>
      <c r="AH207" s="15"/>
      <c r="AI207" s="14"/>
      <c r="AJ207" s="14"/>
      <c r="AK207" s="17"/>
    </row>
    <row r="208" customFormat="false" ht="42.75" hidden="false" customHeight="true" outlineLevel="0" collapsed="false">
      <c r="A208" s="11" t="n">
        <v>206</v>
      </c>
      <c r="B208" s="11" t="str">
        <f aca="false">IF(I208="Y",IF(COUNTIF(I$3:I208,"Y")&lt;=20,"pilot",IF(COUNTIF(I$3:I208,"Y")&lt;=40,"dev",IF(COUNTIF(I$3:I208,"Y")&lt;=120,"test","extra"))),"")</f>
        <v/>
      </c>
      <c r="C208" s="11" t="str">
        <f aca="false">IF(I208="Y",IF(COUNTA(K208,Q208,W208,AC208,AE208)=5,"done","in progress"),IF(I208="N","excluded",""))</f>
        <v/>
      </c>
      <c r="D208" s="11" t="s">
        <v>1131</v>
      </c>
      <c r="E208" s="12" t="s">
        <v>90</v>
      </c>
      <c r="F208" s="13" t="s">
        <v>1132</v>
      </c>
      <c r="G208" s="11" t="s">
        <v>972</v>
      </c>
      <c r="H208" s="11"/>
      <c r="I208" s="14"/>
      <c r="J208" s="14"/>
      <c r="K208" s="14"/>
      <c r="L208" s="15"/>
      <c r="M208" s="14"/>
      <c r="N208" s="15"/>
      <c r="O208" s="14"/>
      <c r="P208" s="15"/>
      <c r="Q208" s="14"/>
      <c r="R208" s="15"/>
      <c r="S208" s="14"/>
      <c r="T208" s="15"/>
      <c r="U208" s="14"/>
      <c r="V208" s="15"/>
      <c r="W208" s="14"/>
      <c r="X208" s="15"/>
      <c r="Y208" s="14"/>
      <c r="Z208" s="15"/>
      <c r="AA208" s="14"/>
      <c r="AB208" s="15"/>
      <c r="AC208" s="14"/>
      <c r="AD208" s="15"/>
      <c r="AE208" s="14"/>
      <c r="AF208" s="15"/>
      <c r="AG208" s="15"/>
      <c r="AH208" s="15"/>
      <c r="AI208" s="14"/>
      <c r="AJ208" s="14"/>
      <c r="AK208" s="17"/>
    </row>
    <row r="209" customFormat="false" ht="42.75" hidden="false" customHeight="true" outlineLevel="0" collapsed="false">
      <c r="A209" s="11" t="n">
        <v>207</v>
      </c>
      <c r="B209" s="11" t="str">
        <f aca="false">IF(I209="Y",IF(COUNTIF(I$3:I209,"Y")&lt;=20,"pilot",IF(COUNTIF(I$3:I209,"Y")&lt;=40,"dev",IF(COUNTIF(I$3:I209,"Y")&lt;=120,"test","extra"))),"")</f>
        <v/>
      </c>
      <c r="C209" s="11" t="str">
        <f aca="false">IF(I209="Y",IF(COUNTA(K209,Q209,W209,AC209,AE209)=5,"done","in progress"),IF(I209="N","excluded",""))</f>
        <v/>
      </c>
      <c r="D209" s="11" t="s">
        <v>1133</v>
      </c>
      <c r="E209" s="12" t="s">
        <v>90</v>
      </c>
      <c r="F209" s="13" t="s">
        <v>1134</v>
      </c>
      <c r="G209" s="11" t="s">
        <v>1135</v>
      </c>
      <c r="H209" s="11"/>
      <c r="I209" s="14"/>
      <c r="J209" s="14"/>
      <c r="K209" s="14"/>
      <c r="L209" s="15"/>
      <c r="M209" s="14"/>
      <c r="N209" s="15"/>
      <c r="O209" s="14"/>
      <c r="P209" s="15"/>
      <c r="Q209" s="14"/>
      <c r="R209" s="15"/>
      <c r="S209" s="14"/>
      <c r="T209" s="15"/>
      <c r="U209" s="14"/>
      <c r="V209" s="15"/>
      <c r="W209" s="14"/>
      <c r="X209" s="15"/>
      <c r="Y209" s="14"/>
      <c r="Z209" s="15"/>
      <c r="AA209" s="14"/>
      <c r="AB209" s="15"/>
      <c r="AC209" s="14"/>
      <c r="AD209" s="15"/>
      <c r="AE209" s="14"/>
      <c r="AF209" s="15"/>
      <c r="AG209" s="15"/>
      <c r="AH209" s="15"/>
      <c r="AI209" s="14"/>
      <c r="AJ209" s="14"/>
      <c r="AK209" s="17"/>
    </row>
    <row r="210" customFormat="false" ht="57" hidden="false" customHeight="true" outlineLevel="0" collapsed="false">
      <c r="A210" s="11" t="n">
        <v>208</v>
      </c>
      <c r="B210" s="11" t="str">
        <f aca="false">IF(I210="Y",IF(COUNTIF(I$3:I210,"Y")&lt;=20,"pilot",IF(COUNTIF(I$3:I210,"Y")&lt;=40,"dev",IF(COUNTIF(I$3:I210,"Y")&lt;=120,"test","extra"))),"")</f>
        <v/>
      </c>
      <c r="C210" s="11" t="str">
        <f aca="false">IF(I210="Y",IF(COUNTA(K210,Q210,W210,AC210,AE210)=5,"done","in progress"),IF(I210="N","excluded",""))</f>
        <v/>
      </c>
      <c r="D210" s="11" t="s">
        <v>1136</v>
      </c>
      <c r="E210" s="12" t="s">
        <v>90</v>
      </c>
      <c r="F210" s="13" t="s">
        <v>1137</v>
      </c>
      <c r="G210" s="11" t="s">
        <v>724</v>
      </c>
      <c r="H210" s="11"/>
      <c r="I210" s="14"/>
      <c r="J210" s="14"/>
      <c r="K210" s="14"/>
      <c r="L210" s="15"/>
      <c r="M210" s="14"/>
      <c r="N210" s="15"/>
      <c r="O210" s="14"/>
      <c r="P210" s="15"/>
      <c r="Q210" s="14"/>
      <c r="R210" s="15"/>
      <c r="S210" s="14"/>
      <c r="T210" s="15"/>
      <c r="U210" s="14"/>
      <c r="V210" s="15"/>
      <c r="W210" s="14"/>
      <c r="X210" s="15"/>
      <c r="Y210" s="14"/>
      <c r="Z210" s="15"/>
      <c r="AA210" s="14"/>
      <c r="AB210" s="15"/>
      <c r="AC210" s="14"/>
      <c r="AD210" s="15"/>
      <c r="AE210" s="14"/>
      <c r="AF210" s="15"/>
      <c r="AG210" s="15"/>
      <c r="AH210" s="15"/>
      <c r="AI210" s="14"/>
      <c r="AJ210" s="14"/>
      <c r="AK210" s="17"/>
    </row>
    <row r="211" customFormat="false" ht="42.75" hidden="false" customHeight="true" outlineLevel="0" collapsed="false">
      <c r="A211" s="11" t="n">
        <v>209</v>
      </c>
      <c r="B211" s="11" t="str">
        <f aca="false">IF(I211="Y",IF(COUNTIF(I$3:I211,"Y")&lt;=20,"pilot",IF(COUNTIF(I$3:I211,"Y")&lt;=40,"dev",IF(COUNTIF(I$3:I211,"Y")&lt;=120,"test","extra"))),"")</f>
        <v/>
      </c>
      <c r="C211" s="11" t="str">
        <f aca="false">IF(I211="Y",IF(COUNTA(K211,Q211,W211,AC211,AE211)=5,"done","in progress"),IF(I211="N","excluded",""))</f>
        <v/>
      </c>
      <c r="D211" s="11" t="s">
        <v>1138</v>
      </c>
      <c r="E211" s="12" t="s">
        <v>90</v>
      </c>
      <c r="F211" s="13" t="s">
        <v>1139</v>
      </c>
      <c r="G211" s="11" t="s">
        <v>476</v>
      </c>
      <c r="H211" s="11"/>
      <c r="I211" s="14"/>
      <c r="J211" s="14"/>
      <c r="K211" s="14"/>
      <c r="L211" s="15"/>
      <c r="M211" s="14"/>
      <c r="N211" s="15"/>
      <c r="O211" s="14"/>
      <c r="P211" s="15"/>
      <c r="Q211" s="14"/>
      <c r="R211" s="15"/>
      <c r="S211" s="14"/>
      <c r="T211" s="15"/>
      <c r="U211" s="14"/>
      <c r="V211" s="15"/>
      <c r="W211" s="14"/>
      <c r="X211" s="15"/>
      <c r="Y211" s="14"/>
      <c r="Z211" s="15"/>
      <c r="AA211" s="14"/>
      <c r="AB211" s="15"/>
      <c r="AC211" s="14"/>
      <c r="AD211" s="15"/>
      <c r="AE211" s="14"/>
      <c r="AF211" s="15"/>
      <c r="AG211" s="15"/>
      <c r="AH211" s="15"/>
      <c r="AI211" s="14"/>
      <c r="AJ211" s="14"/>
      <c r="AK211" s="17"/>
    </row>
    <row r="212" customFormat="false" ht="57" hidden="false" customHeight="true" outlineLevel="0" collapsed="false">
      <c r="A212" s="11" t="n">
        <v>210</v>
      </c>
      <c r="B212" s="11" t="str">
        <f aca="false">IF(I212="Y",IF(COUNTIF(I$3:I212,"Y")&lt;=20,"pilot",IF(COUNTIF(I$3:I212,"Y")&lt;=40,"dev",IF(COUNTIF(I$3:I212,"Y")&lt;=120,"test","extra"))),"")</f>
        <v/>
      </c>
      <c r="C212" s="11" t="str">
        <f aca="false">IF(I212="Y",IF(COUNTA(K212,Q212,W212,AC212,AE212)=5,"done","in progress"),IF(I212="N","excluded",""))</f>
        <v/>
      </c>
      <c r="D212" s="11" t="s">
        <v>1140</v>
      </c>
      <c r="E212" s="12" t="s">
        <v>90</v>
      </c>
      <c r="F212" s="13" t="s">
        <v>1141</v>
      </c>
      <c r="G212" s="11" t="s">
        <v>235</v>
      </c>
      <c r="H212" s="11"/>
      <c r="I212" s="14"/>
      <c r="J212" s="14"/>
      <c r="K212" s="14"/>
      <c r="L212" s="15"/>
      <c r="M212" s="14"/>
      <c r="N212" s="15"/>
      <c r="O212" s="14"/>
      <c r="P212" s="15"/>
      <c r="Q212" s="14"/>
      <c r="R212" s="15"/>
      <c r="S212" s="14"/>
      <c r="T212" s="15"/>
      <c r="U212" s="14"/>
      <c r="V212" s="15"/>
      <c r="W212" s="14"/>
      <c r="X212" s="15"/>
      <c r="Y212" s="14"/>
      <c r="Z212" s="15"/>
      <c r="AA212" s="14"/>
      <c r="AB212" s="15"/>
      <c r="AC212" s="14"/>
      <c r="AD212" s="15"/>
      <c r="AE212" s="14"/>
      <c r="AF212" s="15"/>
      <c r="AG212" s="15"/>
      <c r="AH212" s="15"/>
      <c r="AI212" s="14"/>
      <c r="AJ212" s="14"/>
      <c r="AK212" s="17"/>
    </row>
    <row r="213" customFormat="false" ht="57" hidden="false" customHeight="true" outlineLevel="0" collapsed="false">
      <c r="A213" s="11" t="n">
        <v>211</v>
      </c>
      <c r="B213" s="11" t="str">
        <f aca="false">IF(I213="Y",IF(COUNTIF(I$3:I213,"Y")&lt;=20,"pilot",IF(COUNTIF(I$3:I213,"Y")&lt;=40,"dev",IF(COUNTIF(I$3:I213,"Y")&lt;=120,"test","extra"))),"")</f>
        <v/>
      </c>
      <c r="C213" s="11" t="str">
        <f aca="false">IF(I213="Y",IF(COUNTA(K213,Q213,W213,AC213,AE213)=5,"done","in progress"),IF(I213="N","excluded",""))</f>
        <v/>
      </c>
      <c r="D213" s="11" t="s">
        <v>1142</v>
      </c>
      <c r="E213" s="12" t="s">
        <v>90</v>
      </c>
      <c r="F213" s="13" t="s">
        <v>1143</v>
      </c>
      <c r="G213" s="11" t="s">
        <v>168</v>
      </c>
      <c r="H213" s="11"/>
      <c r="I213" s="14"/>
      <c r="J213" s="14"/>
      <c r="K213" s="14"/>
      <c r="L213" s="15"/>
      <c r="M213" s="14"/>
      <c r="N213" s="15"/>
      <c r="O213" s="14"/>
      <c r="P213" s="15"/>
      <c r="Q213" s="14"/>
      <c r="R213" s="15"/>
      <c r="S213" s="14"/>
      <c r="T213" s="15"/>
      <c r="U213" s="14"/>
      <c r="V213" s="15"/>
      <c r="W213" s="14"/>
      <c r="X213" s="15"/>
      <c r="Y213" s="14"/>
      <c r="Z213" s="15"/>
      <c r="AA213" s="14"/>
      <c r="AB213" s="15"/>
      <c r="AC213" s="14"/>
      <c r="AD213" s="15"/>
      <c r="AE213" s="14"/>
      <c r="AF213" s="15"/>
      <c r="AG213" s="15"/>
      <c r="AH213" s="15"/>
      <c r="AI213" s="14"/>
      <c r="AJ213" s="14"/>
      <c r="AK213" s="17"/>
    </row>
    <row r="214" customFormat="false" ht="42.75" hidden="false" customHeight="true" outlineLevel="0" collapsed="false">
      <c r="A214" s="11" t="n">
        <v>212</v>
      </c>
      <c r="B214" s="11" t="str">
        <f aca="false">IF(I214="Y",IF(COUNTIF(I$3:I214,"Y")&lt;=20,"pilot",IF(COUNTIF(I$3:I214,"Y")&lt;=40,"dev",IF(COUNTIF(I$3:I214,"Y")&lt;=120,"test","extra"))),"")</f>
        <v/>
      </c>
      <c r="C214" s="11" t="str">
        <f aca="false">IF(I214="Y",IF(COUNTA(K214,Q214,W214,AC214,AE214)=5,"done","in progress"),IF(I214="N","excluded",""))</f>
        <v/>
      </c>
      <c r="D214" s="11" t="s">
        <v>1144</v>
      </c>
      <c r="E214" s="12" t="s">
        <v>90</v>
      </c>
      <c r="F214" s="13" t="s">
        <v>1145</v>
      </c>
      <c r="G214" s="11" t="s">
        <v>1146</v>
      </c>
      <c r="H214" s="11"/>
      <c r="I214" s="14"/>
      <c r="J214" s="14"/>
      <c r="K214" s="14"/>
      <c r="L214" s="15"/>
      <c r="M214" s="14"/>
      <c r="N214" s="15"/>
      <c r="O214" s="14"/>
      <c r="P214" s="15"/>
      <c r="Q214" s="14"/>
      <c r="R214" s="15"/>
      <c r="S214" s="14"/>
      <c r="T214" s="15"/>
      <c r="U214" s="14"/>
      <c r="V214" s="15"/>
      <c r="W214" s="14"/>
      <c r="X214" s="15"/>
      <c r="Y214" s="14"/>
      <c r="Z214" s="15"/>
      <c r="AA214" s="14"/>
      <c r="AB214" s="15"/>
      <c r="AC214" s="14"/>
      <c r="AD214" s="15"/>
      <c r="AE214" s="14"/>
      <c r="AF214" s="15"/>
      <c r="AG214" s="15"/>
      <c r="AH214" s="15"/>
      <c r="AI214" s="14"/>
      <c r="AJ214" s="14"/>
      <c r="AK214" s="17"/>
    </row>
    <row r="215" customFormat="false" ht="42.75" hidden="false" customHeight="true" outlineLevel="0" collapsed="false">
      <c r="A215" s="11" t="n">
        <v>213</v>
      </c>
      <c r="B215" s="11" t="str">
        <f aca="false">IF(I215="Y",IF(COUNTIF(I$3:I215,"Y")&lt;=20,"pilot",IF(COUNTIF(I$3:I215,"Y")&lt;=40,"dev",IF(COUNTIF(I$3:I215,"Y")&lt;=120,"test","extra"))),"")</f>
        <v/>
      </c>
      <c r="C215" s="11" t="str">
        <f aca="false">IF(I215="Y",IF(COUNTA(K215,Q215,W215,AC215,AE215)=5,"done","in progress"),IF(I215="N","excluded",""))</f>
        <v/>
      </c>
      <c r="D215" s="11" t="s">
        <v>1147</v>
      </c>
      <c r="E215" s="12" t="s">
        <v>90</v>
      </c>
      <c r="F215" s="13" t="s">
        <v>1148</v>
      </c>
      <c r="G215" s="11" t="s">
        <v>806</v>
      </c>
      <c r="H215" s="11"/>
      <c r="I215" s="14"/>
      <c r="J215" s="14"/>
      <c r="K215" s="14"/>
      <c r="L215" s="15"/>
      <c r="M215" s="14"/>
      <c r="N215" s="15"/>
      <c r="O215" s="14"/>
      <c r="P215" s="15"/>
      <c r="Q215" s="14"/>
      <c r="R215" s="15"/>
      <c r="S215" s="14"/>
      <c r="T215" s="15"/>
      <c r="U215" s="14"/>
      <c r="V215" s="15"/>
      <c r="W215" s="14"/>
      <c r="X215" s="15"/>
      <c r="Y215" s="14"/>
      <c r="Z215" s="15"/>
      <c r="AA215" s="14"/>
      <c r="AB215" s="15"/>
      <c r="AC215" s="14"/>
      <c r="AD215" s="15"/>
      <c r="AE215" s="14"/>
      <c r="AF215" s="15"/>
      <c r="AG215" s="15"/>
      <c r="AH215" s="15"/>
      <c r="AI215" s="14"/>
      <c r="AJ215" s="14"/>
      <c r="AK215" s="17"/>
    </row>
    <row r="216" customFormat="false" ht="42.75" hidden="false" customHeight="true" outlineLevel="0" collapsed="false">
      <c r="A216" s="11" t="n">
        <v>214</v>
      </c>
      <c r="B216" s="11" t="str">
        <f aca="false">IF(I216="Y",IF(COUNTIF(I$3:I216,"Y")&lt;=20,"pilot",IF(COUNTIF(I$3:I216,"Y")&lt;=40,"dev",IF(COUNTIF(I$3:I216,"Y")&lt;=120,"test","extra"))),"")</f>
        <v/>
      </c>
      <c r="C216" s="11" t="str">
        <f aca="false">IF(I216="Y",IF(COUNTA(K216,Q216,W216,AC216,AE216)=5,"done","in progress"),IF(I216="N","excluded",""))</f>
        <v/>
      </c>
      <c r="D216" s="11" t="s">
        <v>1149</v>
      </c>
      <c r="E216" s="12" t="s">
        <v>90</v>
      </c>
      <c r="F216" s="13" t="s">
        <v>1150</v>
      </c>
      <c r="G216" s="11" t="s">
        <v>1151</v>
      </c>
      <c r="H216" s="11"/>
      <c r="I216" s="14"/>
      <c r="J216" s="14"/>
      <c r="K216" s="14"/>
      <c r="L216" s="15"/>
      <c r="M216" s="14"/>
      <c r="N216" s="15"/>
      <c r="O216" s="14"/>
      <c r="P216" s="15"/>
      <c r="Q216" s="14"/>
      <c r="R216" s="15"/>
      <c r="S216" s="14"/>
      <c r="T216" s="15"/>
      <c r="U216" s="14"/>
      <c r="V216" s="15"/>
      <c r="W216" s="14"/>
      <c r="X216" s="15"/>
      <c r="Y216" s="14"/>
      <c r="Z216" s="15"/>
      <c r="AA216" s="14"/>
      <c r="AB216" s="15"/>
      <c r="AC216" s="14"/>
      <c r="AD216" s="15"/>
      <c r="AE216" s="14"/>
      <c r="AF216" s="15"/>
      <c r="AG216" s="15"/>
      <c r="AH216" s="15"/>
      <c r="AI216" s="14"/>
      <c r="AJ216" s="14"/>
      <c r="AK216" s="17"/>
    </row>
    <row r="217" customFormat="false" ht="42.75" hidden="false" customHeight="true" outlineLevel="0" collapsed="false">
      <c r="A217" s="11" t="n">
        <v>215</v>
      </c>
      <c r="B217" s="11" t="str">
        <f aca="false">IF(I217="Y",IF(COUNTIF(I$3:I217,"Y")&lt;=20,"pilot",IF(COUNTIF(I$3:I217,"Y")&lt;=40,"dev",IF(COUNTIF(I$3:I217,"Y")&lt;=120,"test","extra"))),"")</f>
        <v/>
      </c>
      <c r="C217" s="11" t="str">
        <f aca="false">IF(I217="Y",IF(COUNTA(K217,Q217,W217,AC217,AE217)=5,"done","in progress"),IF(I217="N","excluded",""))</f>
        <v/>
      </c>
      <c r="D217" s="11" t="s">
        <v>1152</v>
      </c>
      <c r="E217" s="12" t="s">
        <v>90</v>
      </c>
      <c r="F217" s="13" t="s">
        <v>1153</v>
      </c>
      <c r="G217" s="11" t="s">
        <v>193</v>
      </c>
      <c r="H217" s="11"/>
      <c r="I217" s="14"/>
      <c r="J217" s="14"/>
      <c r="K217" s="14"/>
      <c r="L217" s="15"/>
      <c r="M217" s="14"/>
      <c r="N217" s="15"/>
      <c r="O217" s="14"/>
      <c r="P217" s="15"/>
      <c r="Q217" s="14"/>
      <c r="R217" s="15"/>
      <c r="S217" s="14"/>
      <c r="T217" s="15"/>
      <c r="U217" s="14"/>
      <c r="V217" s="15"/>
      <c r="W217" s="14"/>
      <c r="X217" s="15"/>
      <c r="Y217" s="14"/>
      <c r="Z217" s="15"/>
      <c r="AA217" s="14"/>
      <c r="AB217" s="15"/>
      <c r="AC217" s="14"/>
      <c r="AD217" s="15"/>
      <c r="AE217" s="14"/>
      <c r="AF217" s="15"/>
      <c r="AG217" s="15"/>
      <c r="AH217" s="15"/>
      <c r="AI217" s="14"/>
      <c r="AJ217" s="14"/>
      <c r="AK217" s="17"/>
    </row>
    <row r="218" customFormat="false" ht="42.75" hidden="false" customHeight="true" outlineLevel="0" collapsed="false">
      <c r="A218" s="11" t="n">
        <v>216</v>
      </c>
      <c r="B218" s="11" t="str">
        <f aca="false">IF(I218="Y",IF(COUNTIF(I$3:I218,"Y")&lt;=20,"pilot",IF(COUNTIF(I$3:I218,"Y")&lt;=40,"dev",IF(COUNTIF(I$3:I218,"Y")&lt;=120,"test","extra"))),"")</f>
        <v/>
      </c>
      <c r="C218" s="11" t="str">
        <f aca="false">IF(I218="Y",IF(COUNTA(K218,Q218,W218,AC218,AE218)=5,"done","in progress"),IF(I218="N","excluded",""))</f>
        <v/>
      </c>
      <c r="D218" s="11" t="s">
        <v>1154</v>
      </c>
      <c r="E218" s="12" t="s">
        <v>90</v>
      </c>
      <c r="F218" s="13" t="s">
        <v>1155</v>
      </c>
      <c r="G218" s="11" t="s">
        <v>1156</v>
      </c>
      <c r="H218" s="11"/>
      <c r="I218" s="14"/>
      <c r="J218" s="14"/>
      <c r="K218" s="14"/>
      <c r="L218" s="15"/>
      <c r="M218" s="14"/>
      <c r="N218" s="15"/>
      <c r="O218" s="14"/>
      <c r="P218" s="15"/>
      <c r="Q218" s="14"/>
      <c r="R218" s="15"/>
      <c r="S218" s="14"/>
      <c r="T218" s="15"/>
      <c r="U218" s="14"/>
      <c r="V218" s="15"/>
      <c r="W218" s="14"/>
      <c r="X218" s="15"/>
      <c r="Y218" s="14"/>
      <c r="Z218" s="15"/>
      <c r="AA218" s="14"/>
      <c r="AB218" s="15"/>
      <c r="AC218" s="14"/>
      <c r="AD218" s="15"/>
      <c r="AE218" s="14"/>
      <c r="AF218" s="15"/>
      <c r="AG218" s="15"/>
      <c r="AH218" s="15"/>
      <c r="AI218" s="14"/>
      <c r="AJ218" s="14"/>
      <c r="AK218" s="17"/>
    </row>
    <row r="219" customFormat="false" ht="28.5" hidden="false" customHeight="true" outlineLevel="0" collapsed="false">
      <c r="A219" s="11" t="n">
        <v>217</v>
      </c>
      <c r="B219" s="11" t="str">
        <f aca="false">IF(I219="Y",IF(COUNTIF(I$3:I219,"Y")&lt;=20,"pilot",IF(COUNTIF(I$3:I219,"Y")&lt;=40,"dev",IF(COUNTIF(I$3:I219,"Y")&lt;=120,"test","extra"))),"")</f>
        <v/>
      </c>
      <c r="C219" s="11" t="str">
        <f aca="false">IF(I219="Y",IF(COUNTA(K219,Q219,W219,AC219,AE219)=5,"done","in progress"),IF(I219="N","excluded",""))</f>
        <v/>
      </c>
      <c r="D219" s="11" t="s">
        <v>1157</v>
      </c>
      <c r="E219" s="12" t="s">
        <v>90</v>
      </c>
      <c r="F219" s="13" t="s">
        <v>1158</v>
      </c>
      <c r="G219" s="11" t="s">
        <v>1159</v>
      </c>
      <c r="H219" s="11"/>
      <c r="I219" s="14"/>
      <c r="J219" s="14"/>
      <c r="K219" s="14"/>
      <c r="L219" s="15"/>
      <c r="M219" s="14"/>
      <c r="N219" s="15"/>
      <c r="O219" s="14"/>
      <c r="P219" s="15"/>
      <c r="Q219" s="14"/>
      <c r="R219" s="15"/>
      <c r="S219" s="14"/>
      <c r="T219" s="15"/>
      <c r="U219" s="14"/>
      <c r="V219" s="15"/>
      <c r="W219" s="14"/>
      <c r="X219" s="15"/>
      <c r="Y219" s="14"/>
      <c r="Z219" s="15"/>
      <c r="AA219" s="14"/>
      <c r="AB219" s="15"/>
      <c r="AC219" s="14"/>
      <c r="AD219" s="15"/>
      <c r="AE219" s="14"/>
      <c r="AF219" s="15"/>
      <c r="AG219" s="15"/>
      <c r="AH219" s="15"/>
      <c r="AI219" s="14"/>
      <c r="AJ219" s="14"/>
      <c r="AK219" s="17"/>
    </row>
    <row r="220" customFormat="false" ht="42.75" hidden="false" customHeight="true" outlineLevel="0" collapsed="false">
      <c r="A220" s="11" t="n">
        <v>218</v>
      </c>
      <c r="B220" s="11" t="str">
        <f aca="false">IF(I220="Y",IF(COUNTIF(I$3:I220,"Y")&lt;=20,"pilot",IF(COUNTIF(I$3:I220,"Y")&lt;=40,"dev",IF(COUNTIF(I$3:I220,"Y")&lt;=120,"test","extra"))),"")</f>
        <v/>
      </c>
      <c r="C220" s="11" t="str">
        <f aca="false">IF(I220="Y",IF(COUNTA(K220,Q220,W220,AC220,AE220)=5,"done","in progress"),IF(I220="N","excluded",""))</f>
        <v/>
      </c>
      <c r="D220" s="11" t="s">
        <v>1160</v>
      </c>
      <c r="E220" s="12" t="s">
        <v>90</v>
      </c>
      <c r="F220" s="13" t="s">
        <v>1161</v>
      </c>
      <c r="G220" s="11" t="s">
        <v>118</v>
      </c>
      <c r="H220" s="11"/>
      <c r="I220" s="14"/>
      <c r="J220" s="14"/>
      <c r="K220" s="14"/>
      <c r="L220" s="15"/>
      <c r="M220" s="14"/>
      <c r="N220" s="15"/>
      <c r="O220" s="14"/>
      <c r="P220" s="15"/>
      <c r="Q220" s="14"/>
      <c r="R220" s="15"/>
      <c r="S220" s="14"/>
      <c r="T220" s="15"/>
      <c r="U220" s="14"/>
      <c r="V220" s="15"/>
      <c r="W220" s="14"/>
      <c r="X220" s="15"/>
      <c r="Y220" s="14"/>
      <c r="Z220" s="15"/>
      <c r="AA220" s="14"/>
      <c r="AB220" s="15"/>
      <c r="AC220" s="14"/>
      <c r="AD220" s="15"/>
      <c r="AE220" s="14"/>
      <c r="AF220" s="15"/>
      <c r="AG220" s="15"/>
      <c r="AH220" s="15"/>
      <c r="AI220" s="14"/>
      <c r="AJ220" s="14"/>
      <c r="AK220" s="17"/>
    </row>
    <row r="221" customFormat="false" ht="57" hidden="false" customHeight="true" outlineLevel="0" collapsed="false">
      <c r="A221" s="11" t="n">
        <v>219</v>
      </c>
      <c r="B221" s="11" t="str">
        <f aca="false">IF(I221="Y",IF(COUNTIF(I$3:I221,"Y")&lt;=20,"pilot",IF(COUNTIF(I$3:I221,"Y")&lt;=40,"dev",IF(COUNTIF(I$3:I221,"Y")&lt;=120,"test","extra"))),"")</f>
        <v/>
      </c>
      <c r="C221" s="11" t="str">
        <f aca="false">IF(I221="Y",IF(COUNTA(K221,Q221,W221,AC221,AE221)=5,"done","in progress"),IF(I221="N","excluded",""))</f>
        <v/>
      </c>
      <c r="D221" s="11" t="s">
        <v>1162</v>
      </c>
      <c r="E221" s="12" t="s">
        <v>90</v>
      </c>
      <c r="F221" s="13" t="s">
        <v>1163</v>
      </c>
      <c r="G221" s="11" t="s">
        <v>168</v>
      </c>
      <c r="H221" s="11"/>
      <c r="I221" s="14"/>
      <c r="J221" s="14"/>
      <c r="K221" s="14"/>
      <c r="L221" s="15"/>
      <c r="M221" s="14"/>
      <c r="N221" s="15"/>
      <c r="O221" s="14"/>
      <c r="P221" s="15"/>
      <c r="Q221" s="14"/>
      <c r="R221" s="15"/>
      <c r="S221" s="14"/>
      <c r="T221" s="15"/>
      <c r="U221" s="14"/>
      <c r="V221" s="15"/>
      <c r="W221" s="14"/>
      <c r="X221" s="15"/>
      <c r="Y221" s="14"/>
      <c r="Z221" s="15"/>
      <c r="AA221" s="14"/>
      <c r="AB221" s="15"/>
      <c r="AC221" s="14"/>
      <c r="AD221" s="15"/>
      <c r="AE221" s="14"/>
      <c r="AF221" s="15"/>
      <c r="AG221" s="15"/>
      <c r="AH221" s="15"/>
      <c r="AI221" s="14"/>
      <c r="AJ221" s="14"/>
      <c r="AK221" s="17"/>
    </row>
    <row r="222" customFormat="false" ht="42.75" hidden="false" customHeight="true" outlineLevel="0" collapsed="false">
      <c r="A222" s="11" t="n">
        <v>220</v>
      </c>
      <c r="B222" s="11" t="str">
        <f aca="false">IF(I222="Y",IF(COUNTIF(I$3:I222,"Y")&lt;=20,"pilot",IF(COUNTIF(I$3:I222,"Y")&lt;=40,"dev",IF(COUNTIF(I$3:I222,"Y")&lt;=120,"test","extra"))),"")</f>
        <v/>
      </c>
      <c r="C222" s="11" t="str">
        <f aca="false">IF(I222="Y",IF(COUNTA(K222,Q222,W222,AC222,AE222)=5,"done","in progress"),IF(I222="N","excluded",""))</f>
        <v/>
      </c>
      <c r="D222" s="11" t="s">
        <v>1164</v>
      </c>
      <c r="E222" s="12" t="s">
        <v>90</v>
      </c>
      <c r="F222" s="13" t="s">
        <v>1165</v>
      </c>
      <c r="G222" s="11" t="s">
        <v>136</v>
      </c>
      <c r="H222" s="11"/>
      <c r="I222" s="14"/>
      <c r="J222" s="14"/>
      <c r="K222" s="14"/>
      <c r="L222" s="15"/>
      <c r="M222" s="14"/>
      <c r="N222" s="15"/>
      <c r="O222" s="14"/>
      <c r="P222" s="15"/>
      <c r="Q222" s="14"/>
      <c r="R222" s="15"/>
      <c r="S222" s="14"/>
      <c r="T222" s="15"/>
      <c r="U222" s="14"/>
      <c r="V222" s="15"/>
      <c r="W222" s="14"/>
      <c r="X222" s="15"/>
      <c r="Y222" s="14"/>
      <c r="Z222" s="15"/>
      <c r="AA222" s="14"/>
      <c r="AB222" s="15"/>
      <c r="AC222" s="14"/>
      <c r="AD222" s="15"/>
      <c r="AE222" s="14"/>
      <c r="AF222" s="15"/>
      <c r="AG222" s="15"/>
      <c r="AH222" s="15"/>
      <c r="AI222" s="14"/>
      <c r="AJ222" s="14"/>
      <c r="AK222" s="17"/>
    </row>
    <row r="223" customFormat="false" ht="28.5" hidden="false" customHeight="true" outlineLevel="0" collapsed="false">
      <c r="A223" s="11" t="n">
        <v>221</v>
      </c>
      <c r="B223" s="11" t="str">
        <f aca="false">IF(I223="Y",IF(COUNTIF(I$3:I223,"Y")&lt;=20,"pilot",IF(COUNTIF(I$3:I223,"Y")&lt;=40,"dev",IF(COUNTIF(I$3:I223,"Y")&lt;=120,"test","extra"))),"")</f>
        <v/>
      </c>
      <c r="C223" s="11" t="str">
        <f aca="false">IF(I223="Y",IF(COUNTA(K223,Q223,W223,AC223,AE223)=5,"done","in progress"),IF(I223="N","excluded",""))</f>
        <v/>
      </c>
      <c r="D223" s="11" t="s">
        <v>1166</v>
      </c>
      <c r="E223" s="12" t="s">
        <v>90</v>
      </c>
      <c r="F223" s="13" t="s">
        <v>1167</v>
      </c>
      <c r="G223" s="11" t="s">
        <v>1168</v>
      </c>
      <c r="H223" s="11"/>
      <c r="I223" s="14"/>
      <c r="J223" s="14"/>
      <c r="K223" s="14"/>
      <c r="L223" s="15"/>
      <c r="M223" s="14"/>
      <c r="N223" s="15"/>
      <c r="O223" s="14"/>
      <c r="P223" s="15"/>
      <c r="Q223" s="14"/>
      <c r="R223" s="15"/>
      <c r="S223" s="14"/>
      <c r="T223" s="15"/>
      <c r="U223" s="14"/>
      <c r="V223" s="15"/>
      <c r="W223" s="14"/>
      <c r="X223" s="15"/>
      <c r="Y223" s="14"/>
      <c r="Z223" s="15"/>
      <c r="AA223" s="14"/>
      <c r="AB223" s="15"/>
      <c r="AC223" s="14"/>
      <c r="AD223" s="15"/>
      <c r="AE223" s="14"/>
      <c r="AF223" s="15"/>
      <c r="AG223" s="15"/>
      <c r="AH223" s="15"/>
      <c r="AI223" s="14"/>
      <c r="AJ223" s="14"/>
      <c r="AK223" s="17"/>
    </row>
    <row r="224" customFormat="false" ht="28.5" hidden="false" customHeight="true" outlineLevel="0" collapsed="false">
      <c r="A224" s="11" t="n">
        <v>222</v>
      </c>
      <c r="B224" s="11" t="str">
        <f aca="false">IF(I224="Y",IF(COUNTIF(I$3:I224,"Y")&lt;=20,"pilot",IF(COUNTIF(I$3:I224,"Y")&lt;=40,"dev",IF(COUNTIF(I$3:I224,"Y")&lt;=120,"test","extra"))),"")</f>
        <v/>
      </c>
      <c r="C224" s="11" t="str">
        <f aca="false">IF(I224="Y",IF(COUNTA(K224,Q224,W224,AC224,AE224)=5,"done","in progress"),IF(I224="N","excluded",""))</f>
        <v/>
      </c>
      <c r="D224" s="11" t="s">
        <v>1169</v>
      </c>
      <c r="E224" s="12" t="s">
        <v>90</v>
      </c>
      <c r="F224" s="13" t="s">
        <v>1170</v>
      </c>
      <c r="G224" s="11" t="s">
        <v>322</v>
      </c>
      <c r="H224" s="11"/>
      <c r="I224" s="14"/>
      <c r="J224" s="14"/>
      <c r="K224" s="14"/>
      <c r="L224" s="15"/>
      <c r="M224" s="14"/>
      <c r="N224" s="15"/>
      <c r="O224" s="14"/>
      <c r="P224" s="15"/>
      <c r="Q224" s="14"/>
      <c r="R224" s="15"/>
      <c r="S224" s="14"/>
      <c r="T224" s="15"/>
      <c r="U224" s="14"/>
      <c r="V224" s="15"/>
      <c r="W224" s="14"/>
      <c r="X224" s="15"/>
      <c r="Y224" s="14"/>
      <c r="Z224" s="15"/>
      <c r="AA224" s="14"/>
      <c r="AB224" s="15"/>
      <c r="AC224" s="14"/>
      <c r="AD224" s="15"/>
      <c r="AE224" s="14"/>
      <c r="AF224" s="15"/>
      <c r="AG224" s="15"/>
      <c r="AH224" s="15"/>
      <c r="AI224" s="14"/>
      <c r="AJ224" s="14"/>
      <c r="AK224" s="17"/>
    </row>
    <row r="225" customFormat="false" ht="57" hidden="false" customHeight="true" outlineLevel="0" collapsed="false">
      <c r="A225" s="11" t="n">
        <v>223</v>
      </c>
      <c r="B225" s="11" t="str">
        <f aca="false">IF(I225="Y",IF(COUNTIF(I$3:I225,"Y")&lt;=20,"pilot",IF(COUNTIF(I$3:I225,"Y")&lt;=40,"dev",IF(COUNTIF(I$3:I225,"Y")&lt;=120,"test","extra"))),"")</f>
        <v/>
      </c>
      <c r="C225" s="11" t="str">
        <f aca="false">IF(I225="Y",IF(COUNTA(K225,Q225,W225,AC225,AE225)=5,"done","in progress"),IF(I225="N","excluded",""))</f>
        <v/>
      </c>
      <c r="D225" s="11" t="s">
        <v>1171</v>
      </c>
      <c r="E225" s="12" t="s">
        <v>90</v>
      </c>
      <c r="F225" s="13" t="s">
        <v>1172</v>
      </c>
      <c r="G225" s="11" t="s">
        <v>168</v>
      </c>
      <c r="H225" s="11"/>
      <c r="I225" s="14"/>
      <c r="J225" s="14"/>
      <c r="K225" s="14"/>
      <c r="L225" s="15"/>
      <c r="M225" s="14"/>
      <c r="N225" s="15"/>
      <c r="O225" s="14"/>
      <c r="P225" s="15"/>
      <c r="Q225" s="14"/>
      <c r="R225" s="15"/>
      <c r="S225" s="14"/>
      <c r="T225" s="15"/>
      <c r="U225" s="14"/>
      <c r="V225" s="15"/>
      <c r="W225" s="14"/>
      <c r="X225" s="15"/>
      <c r="Y225" s="14"/>
      <c r="Z225" s="15"/>
      <c r="AA225" s="14"/>
      <c r="AB225" s="15"/>
      <c r="AC225" s="14"/>
      <c r="AD225" s="15"/>
      <c r="AE225" s="14"/>
      <c r="AF225" s="15"/>
      <c r="AG225" s="15"/>
      <c r="AH225" s="15"/>
      <c r="AI225" s="14"/>
      <c r="AJ225" s="14"/>
      <c r="AK225" s="17"/>
    </row>
    <row r="226" customFormat="false" ht="57" hidden="false" customHeight="true" outlineLevel="0" collapsed="false">
      <c r="A226" s="11" t="n">
        <v>224</v>
      </c>
      <c r="B226" s="11" t="str">
        <f aca="false">IF(I226="Y",IF(COUNTIF(I$3:I226,"Y")&lt;=20,"pilot",IF(COUNTIF(I$3:I226,"Y")&lt;=40,"dev",IF(COUNTIF(I$3:I226,"Y")&lt;=120,"test","extra"))),"")</f>
        <v/>
      </c>
      <c r="C226" s="11" t="str">
        <f aca="false">IF(I226="Y",IF(COUNTA(K226,Q226,W226,AC226,AE226)=5,"done","in progress"),IF(I226="N","excluded",""))</f>
        <v/>
      </c>
      <c r="D226" s="11" t="s">
        <v>1173</v>
      </c>
      <c r="E226" s="12" t="s">
        <v>90</v>
      </c>
      <c r="F226" s="13" t="s">
        <v>1174</v>
      </c>
      <c r="G226" s="11" t="s">
        <v>193</v>
      </c>
      <c r="H226" s="11"/>
      <c r="I226" s="14"/>
      <c r="J226" s="14"/>
      <c r="K226" s="14"/>
      <c r="L226" s="15"/>
      <c r="M226" s="14"/>
      <c r="N226" s="15"/>
      <c r="O226" s="14"/>
      <c r="P226" s="15"/>
      <c r="Q226" s="14"/>
      <c r="R226" s="15"/>
      <c r="S226" s="14"/>
      <c r="T226" s="15"/>
      <c r="U226" s="14"/>
      <c r="V226" s="15"/>
      <c r="W226" s="14"/>
      <c r="X226" s="15"/>
      <c r="Y226" s="14"/>
      <c r="Z226" s="15"/>
      <c r="AA226" s="14"/>
      <c r="AB226" s="15"/>
      <c r="AC226" s="14"/>
      <c r="AD226" s="15"/>
      <c r="AE226" s="14"/>
      <c r="AF226" s="15"/>
      <c r="AG226" s="15"/>
      <c r="AH226" s="15"/>
      <c r="AI226" s="14"/>
      <c r="AJ226" s="14"/>
      <c r="AK226" s="17"/>
    </row>
    <row r="227" customFormat="false" ht="57" hidden="false" customHeight="true" outlineLevel="0" collapsed="false">
      <c r="A227" s="11" t="n">
        <v>225</v>
      </c>
      <c r="B227" s="11" t="str">
        <f aca="false">IF(I227="Y",IF(COUNTIF(I$3:I227,"Y")&lt;=20,"pilot",IF(COUNTIF(I$3:I227,"Y")&lt;=40,"dev",IF(COUNTIF(I$3:I227,"Y")&lt;=120,"test","extra"))),"")</f>
        <v/>
      </c>
      <c r="C227" s="11" t="str">
        <f aca="false">IF(I227="Y",IF(COUNTA(K227,Q227,W227,AC227,AE227)=5,"done","in progress"),IF(I227="N","excluded",""))</f>
        <v/>
      </c>
      <c r="D227" s="11" t="s">
        <v>1175</v>
      </c>
      <c r="E227" s="12" t="s">
        <v>90</v>
      </c>
      <c r="F227" s="13" t="s">
        <v>1176</v>
      </c>
      <c r="G227" s="11" t="s">
        <v>1177</v>
      </c>
      <c r="H227" s="11"/>
      <c r="I227" s="14"/>
      <c r="J227" s="14"/>
      <c r="K227" s="14"/>
      <c r="L227" s="15"/>
      <c r="M227" s="14"/>
      <c r="N227" s="15"/>
      <c r="O227" s="14"/>
      <c r="P227" s="15"/>
      <c r="Q227" s="14"/>
      <c r="R227" s="15"/>
      <c r="S227" s="14"/>
      <c r="T227" s="15"/>
      <c r="U227" s="14"/>
      <c r="V227" s="15"/>
      <c r="W227" s="14"/>
      <c r="X227" s="15"/>
      <c r="Y227" s="14"/>
      <c r="Z227" s="15"/>
      <c r="AA227" s="14"/>
      <c r="AB227" s="15"/>
      <c r="AC227" s="14"/>
      <c r="AD227" s="15"/>
      <c r="AE227" s="14"/>
      <c r="AF227" s="15"/>
      <c r="AG227" s="15"/>
      <c r="AH227" s="15"/>
      <c r="AI227" s="14"/>
      <c r="AJ227" s="14"/>
      <c r="AK227" s="17"/>
    </row>
    <row r="228" customFormat="false" ht="57" hidden="false" customHeight="true" outlineLevel="0" collapsed="false">
      <c r="A228" s="11" t="n">
        <v>226</v>
      </c>
      <c r="B228" s="11" t="str">
        <f aca="false">IF(I228="Y",IF(COUNTIF(I$3:I228,"Y")&lt;=20,"pilot",IF(COUNTIF(I$3:I228,"Y")&lt;=40,"dev",IF(COUNTIF(I$3:I228,"Y")&lt;=120,"test","extra"))),"")</f>
        <v/>
      </c>
      <c r="C228" s="11" t="str">
        <f aca="false">IF(I228="Y",IF(COUNTA(K228,Q228,W228,AC228,AE228)=5,"done","in progress"),IF(I228="N","excluded",""))</f>
        <v/>
      </c>
      <c r="D228" s="11" t="s">
        <v>1178</v>
      </c>
      <c r="E228" s="12" t="s">
        <v>90</v>
      </c>
      <c r="F228" s="13" t="s">
        <v>1179</v>
      </c>
      <c r="G228" s="11" t="s">
        <v>674</v>
      </c>
      <c r="H228" s="11"/>
      <c r="I228" s="14"/>
      <c r="J228" s="14"/>
      <c r="K228" s="14"/>
      <c r="L228" s="15"/>
      <c r="M228" s="14"/>
      <c r="N228" s="15"/>
      <c r="O228" s="14"/>
      <c r="P228" s="15"/>
      <c r="Q228" s="14"/>
      <c r="R228" s="15"/>
      <c r="S228" s="14"/>
      <c r="T228" s="15"/>
      <c r="U228" s="14"/>
      <c r="V228" s="15"/>
      <c r="W228" s="14"/>
      <c r="X228" s="15"/>
      <c r="Y228" s="14"/>
      <c r="Z228" s="15"/>
      <c r="AA228" s="14"/>
      <c r="AB228" s="15"/>
      <c r="AC228" s="14"/>
      <c r="AD228" s="15"/>
      <c r="AE228" s="14"/>
      <c r="AF228" s="15"/>
      <c r="AG228" s="15"/>
      <c r="AH228" s="15"/>
      <c r="AI228" s="14"/>
      <c r="AJ228" s="14"/>
      <c r="AK228" s="17"/>
    </row>
    <row r="229" customFormat="false" ht="42.75" hidden="false" customHeight="true" outlineLevel="0" collapsed="false">
      <c r="A229" s="11" t="n">
        <v>227</v>
      </c>
      <c r="B229" s="11" t="str">
        <f aca="false">IF(I229="Y",IF(COUNTIF(I$3:I229,"Y")&lt;=20,"pilot",IF(COUNTIF(I$3:I229,"Y")&lt;=40,"dev",IF(COUNTIF(I$3:I229,"Y")&lt;=120,"test","extra"))),"")</f>
        <v/>
      </c>
      <c r="C229" s="11" t="str">
        <f aca="false">IF(I229="Y",IF(COUNTA(K229,Q229,W229,AC229,AE229)=5,"done","in progress"),IF(I229="N","excluded",""))</f>
        <v/>
      </c>
      <c r="D229" s="11" t="s">
        <v>1180</v>
      </c>
      <c r="E229" s="12" t="s">
        <v>90</v>
      </c>
      <c r="F229" s="13" t="s">
        <v>1181</v>
      </c>
      <c r="G229" s="11" t="s">
        <v>136</v>
      </c>
      <c r="H229" s="11"/>
      <c r="I229" s="14"/>
      <c r="J229" s="14"/>
      <c r="K229" s="14"/>
      <c r="L229" s="15"/>
      <c r="M229" s="14"/>
      <c r="N229" s="15"/>
      <c r="O229" s="14"/>
      <c r="P229" s="15"/>
      <c r="Q229" s="14"/>
      <c r="R229" s="15"/>
      <c r="S229" s="14"/>
      <c r="T229" s="15"/>
      <c r="U229" s="14"/>
      <c r="V229" s="15"/>
      <c r="W229" s="14"/>
      <c r="X229" s="15"/>
      <c r="Y229" s="14"/>
      <c r="Z229" s="15"/>
      <c r="AA229" s="14"/>
      <c r="AB229" s="15"/>
      <c r="AC229" s="14"/>
      <c r="AD229" s="15"/>
      <c r="AE229" s="14"/>
      <c r="AF229" s="15"/>
      <c r="AG229" s="15"/>
      <c r="AH229" s="15"/>
      <c r="AI229" s="14"/>
      <c r="AJ229" s="14"/>
      <c r="AK229" s="17"/>
    </row>
    <row r="230" customFormat="false" ht="42.75" hidden="false" customHeight="true" outlineLevel="0" collapsed="false">
      <c r="A230" s="11" t="n">
        <v>228</v>
      </c>
      <c r="B230" s="11" t="str">
        <f aca="false">IF(I230="Y",IF(COUNTIF(I$3:I230,"Y")&lt;=20,"pilot",IF(COUNTIF(I$3:I230,"Y")&lt;=40,"dev",IF(COUNTIF(I$3:I230,"Y")&lt;=120,"test","extra"))),"")</f>
        <v/>
      </c>
      <c r="C230" s="11" t="str">
        <f aca="false">IF(I230="Y",IF(COUNTA(K230,Q230,W230,AC230,AE230)=5,"done","in progress"),IF(I230="N","excluded",""))</f>
        <v/>
      </c>
      <c r="D230" s="11" t="s">
        <v>1182</v>
      </c>
      <c r="E230" s="12" t="s">
        <v>90</v>
      </c>
      <c r="F230" s="13" t="s">
        <v>1183</v>
      </c>
      <c r="G230" s="11" t="s">
        <v>125</v>
      </c>
      <c r="H230" s="11"/>
      <c r="I230" s="14"/>
      <c r="J230" s="14"/>
      <c r="K230" s="14"/>
      <c r="L230" s="15"/>
      <c r="M230" s="14"/>
      <c r="N230" s="15"/>
      <c r="O230" s="14"/>
      <c r="P230" s="15"/>
      <c r="Q230" s="14"/>
      <c r="R230" s="15"/>
      <c r="S230" s="14"/>
      <c r="T230" s="15"/>
      <c r="U230" s="14"/>
      <c r="V230" s="15"/>
      <c r="W230" s="14"/>
      <c r="X230" s="15"/>
      <c r="Y230" s="14"/>
      <c r="Z230" s="15"/>
      <c r="AA230" s="14"/>
      <c r="AB230" s="15"/>
      <c r="AC230" s="14"/>
      <c r="AD230" s="15"/>
      <c r="AE230" s="14"/>
      <c r="AF230" s="15"/>
      <c r="AG230" s="15"/>
      <c r="AH230" s="15"/>
      <c r="AI230" s="14"/>
      <c r="AJ230" s="14"/>
      <c r="AK230" s="17"/>
    </row>
    <row r="231" customFormat="false" ht="28.5" hidden="false" customHeight="true" outlineLevel="0" collapsed="false">
      <c r="A231" s="11" t="n">
        <v>229</v>
      </c>
      <c r="B231" s="11" t="str">
        <f aca="false">IF(I231="Y",IF(COUNTIF(I$3:I231,"Y")&lt;=20,"pilot",IF(COUNTIF(I$3:I231,"Y")&lt;=40,"dev",IF(COUNTIF(I$3:I231,"Y")&lt;=120,"test","extra"))),"")</f>
        <v/>
      </c>
      <c r="C231" s="11" t="str">
        <f aca="false">IF(I231="Y",IF(COUNTA(K231,Q231,W231,AC231,AE231)=5,"done","in progress"),IF(I231="N","excluded",""))</f>
        <v/>
      </c>
      <c r="D231" s="11" t="s">
        <v>1184</v>
      </c>
      <c r="E231" s="12" t="s">
        <v>90</v>
      </c>
      <c r="F231" s="13" t="s">
        <v>1185</v>
      </c>
      <c r="G231" s="11" t="s">
        <v>193</v>
      </c>
      <c r="H231" s="11"/>
      <c r="I231" s="14"/>
      <c r="J231" s="14"/>
      <c r="K231" s="14"/>
      <c r="L231" s="15"/>
      <c r="M231" s="14"/>
      <c r="N231" s="15"/>
      <c r="O231" s="14"/>
      <c r="P231" s="15"/>
      <c r="Q231" s="14"/>
      <c r="R231" s="15"/>
      <c r="S231" s="14"/>
      <c r="T231" s="15"/>
      <c r="U231" s="14"/>
      <c r="V231" s="15"/>
      <c r="W231" s="14"/>
      <c r="X231" s="15"/>
      <c r="Y231" s="14"/>
      <c r="Z231" s="15"/>
      <c r="AA231" s="14"/>
      <c r="AB231" s="15"/>
      <c r="AC231" s="14"/>
      <c r="AD231" s="15"/>
      <c r="AE231" s="14"/>
      <c r="AF231" s="15"/>
      <c r="AG231" s="15"/>
      <c r="AH231" s="15"/>
      <c r="AI231" s="14"/>
      <c r="AJ231" s="14"/>
      <c r="AK231" s="17"/>
    </row>
    <row r="232" customFormat="false" ht="42.75" hidden="false" customHeight="true" outlineLevel="0" collapsed="false">
      <c r="A232" s="11" t="n">
        <v>230</v>
      </c>
      <c r="B232" s="11" t="str">
        <f aca="false">IF(I232="Y",IF(COUNTIF(I$3:I232,"Y")&lt;=20,"pilot",IF(COUNTIF(I$3:I232,"Y")&lt;=40,"dev",IF(COUNTIF(I$3:I232,"Y")&lt;=120,"test","extra"))),"")</f>
        <v/>
      </c>
      <c r="C232" s="11" t="str">
        <f aca="false">IF(I232="Y",IF(COUNTA(K232,Q232,W232,AC232,AE232)=5,"done","in progress"),IF(I232="N","excluded",""))</f>
        <v/>
      </c>
      <c r="D232" s="11" t="s">
        <v>1186</v>
      </c>
      <c r="E232" s="12" t="s">
        <v>90</v>
      </c>
      <c r="F232" s="13" t="s">
        <v>1187</v>
      </c>
      <c r="G232" s="11" t="s">
        <v>1188</v>
      </c>
      <c r="H232" s="11"/>
      <c r="I232" s="14"/>
      <c r="J232" s="14"/>
      <c r="K232" s="14"/>
      <c r="L232" s="15"/>
      <c r="M232" s="14"/>
      <c r="N232" s="15"/>
      <c r="O232" s="14"/>
      <c r="P232" s="15"/>
      <c r="Q232" s="14"/>
      <c r="R232" s="15"/>
      <c r="S232" s="14"/>
      <c r="T232" s="15"/>
      <c r="U232" s="14"/>
      <c r="V232" s="15"/>
      <c r="W232" s="14"/>
      <c r="X232" s="15"/>
      <c r="Y232" s="14"/>
      <c r="Z232" s="15"/>
      <c r="AA232" s="14"/>
      <c r="AB232" s="15"/>
      <c r="AC232" s="14"/>
      <c r="AD232" s="15"/>
      <c r="AE232" s="14"/>
      <c r="AF232" s="15"/>
      <c r="AG232" s="15"/>
      <c r="AH232" s="15"/>
      <c r="AI232" s="14"/>
      <c r="AJ232" s="14"/>
      <c r="AK232" s="17"/>
    </row>
    <row r="233" customFormat="false" ht="42.75" hidden="false" customHeight="true" outlineLevel="0" collapsed="false">
      <c r="A233" s="11" t="n">
        <v>231</v>
      </c>
      <c r="B233" s="11" t="str">
        <f aca="false">IF(I233="Y",IF(COUNTIF(I$3:I233,"Y")&lt;=20,"pilot",IF(COUNTIF(I$3:I233,"Y")&lt;=40,"dev",IF(COUNTIF(I$3:I233,"Y")&lt;=120,"test","extra"))),"")</f>
        <v/>
      </c>
      <c r="C233" s="11" t="str">
        <f aca="false">IF(I233="Y",IF(COUNTA(K233,Q233,W233,AC233,AE233)=5,"done","in progress"),IF(I233="N","excluded",""))</f>
        <v/>
      </c>
      <c r="D233" s="11" t="s">
        <v>1189</v>
      </c>
      <c r="E233" s="12" t="s">
        <v>90</v>
      </c>
      <c r="F233" s="13" t="s">
        <v>1190</v>
      </c>
      <c r="G233" s="11" t="s">
        <v>393</v>
      </c>
      <c r="H233" s="11"/>
      <c r="I233" s="14"/>
      <c r="J233" s="14"/>
      <c r="K233" s="14"/>
      <c r="L233" s="15"/>
      <c r="M233" s="14"/>
      <c r="N233" s="15"/>
      <c r="O233" s="14"/>
      <c r="P233" s="15"/>
      <c r="Q233" s="14"/>
      <c r="R233" s="15"/>
      <c r="S233" s="14"/>
      <c r="T233" s="15"/>
      <c r="U233" s="14"/>
      <c r="V233" s="15"/>
      <c r="W233" s="14"/>
      <c r="X233" s="15"/>
      <c r="Y233" s="14"/>
      <c r="Z233" s="15"/>
      <c r="AA233" s="14"/>
      <c r="AB233" s="15"/>
      <c r="AC233" s="14"/>
      <c r="AD233" s="15"/>
      <c r="AE233" s="14"/>
      <c r="AF233" s="15"/>
      <c r="AG233" s="15"/>
      <c r="AH233" s="15"/>
      <c r="AI233" s="14"/>
      <c r="AJ233" s="14"/>
      <c r="AK233" s="17"/>
    </row>
    <row r="234" customFormat="false" ht="42.75" hidden="false" customHeight="true" outlineLevel="0" collapsed="false">
      <c r="A234" s="11" t="n">
        <v>232</v>
      </c>
      <c r="B234" s="11" t="str">
        <f aca="false">IF(I234="Y",IF(COUNTIF(I$3:I234,"Y")&lt;=20,"pilot",IF(COUNTIF(I$3:I234,"Y")&lt;=40,"dev",IF(COUNTIF(I$3:I234,"Y")&lt;=120,"test","extra"))),"")</f>
        <v/>
      </c>
      <c r="C234" s="11" t="str">
        <f aca="false">IF(I234="Y",IF(COUNTA(K234,Q234,W234,AC234,AE234)=5,"done","in progress"),IF(I234="N","excluded",""))</f>
        <v/>
      </c>
      <c r="D234" s="11" t="s">
        <v>1191</v>
      </c>
      <c r="E234" s="12" t="s">
        <v>90</v>
      </c>
      <c r="F234" s="13" t="s">
        <v>1192</v>
      </c>
      <c r="G234" s="11" t="s">
        <v>774</v>
      </c>
      <c r="H234" s="11"/>
      <c r="I234" s="14"/>
      <c r="J234" s="14"/>
      <c r="K234" s="14"/>
      <c r="L234" s="15"/>
      <c r="M234" s="14"/>
      <c r="N234" s="15"/>
      <c r="O234" s="14"/>
      <c r="P234" s="15"/>
      <c r="Q234" s="14"/>
      <c r="R234" s="15"/>
      <c r="S234" s="14"/>
      <c r="T234" s="15"/>
      <c r="U234" s="14"/>
      <c r="V234" s="15"/>
      <c r="W234" s="14"/>
      <c r="X234" s="15"/>
      <c r="Y234" s="14"/>
      <c r="Z234" s="15"/>
      <c r="AA234" s="14"/>
      <c r="AB234" s="15"/>
      <c r="AC234" s="14"/>
      <c r="AD234" s="15"/>
      <c r="AE234" s="14"/>
      <c r="AF234" s="15"/>
      <c r="AG234" s="15"/>
      <c r="AH234" s="15"/>
      <c r="AI234" s="14"/>
      <c r="AJ234" s="14"/>
      <c r="AK234" s="17"/>
    </row>
    <row r="235" customFormat="false" ht="42.75" hidden="false" customHeight="true" outlineLevel="0" collapsed="false">
      <c r="A235" s="11" t="n">
        <v>233</v>
      </c>
      <c r="B235" s="11" t="str">
        <f aca="false">IF(I235="Y",IF(COUNTIF(I$3:I235,"Y")&lt;=20,"pilot",IF(COUNTIF(I$3:I235,"Y")&lt;=40,"dev",IF(COUNTIF(I$3:I235,"Y")&lt;=120,"test","extra"))),"")</f>
        <v/>
      </c>
      <c r="C235" s="11" t="str">
        <f aca="false">IF(I235="Y",IF(COUNTA(K235,Q235,W235,AC235,AE235)=5,"done","in progress"),IF(I235="N","excluded",""))</f>
        <v/>
      </c>
      <c r="D235" s="11" t="s">
        <v>1193</v>
      </c>
      <c r="E235" s="12" t="s">
        <v>90</v>
      </c>
      <c r="F235" s="13" t="s">
        <v>1194</v>
      </c>
      <c r="G235" s="11" t="s">
        <v>1195</v>
      </c>
      <c r="H235" s="11"/>
      <c r="I235" s="14"/>
      <c r="J235" s="14"/>
      <c r="K235" s="14"/>
      <c r="L235" s="15"/>
      <c r="M235" s="14"/>
      <c r="N235" s="15"/>
      <c r="O235" s="14"/>
      <c r="P235" s="15"/>
      <c r="Q235" s="14"/>
      <c r="R235" s="15"/>
      <c r="S235" s="14"/>
      <c r="T235" s="15"/>
      <c r="U235" s="14"/>
      <c r="V235" s="15"/>
      <c r="W235" s="14"/>
      <c r="X235" s="15"/>
      <c r="Y235" s="14"/>
      <c r="Z235" s="15"/>
      <c r="AA235" s="14"/>
      <c r="AB235" s="15"/>
      <c r="AC235" s="14"/>
      <c r="AD235" s="15"/>
      <c r="AE235" s="14"/>
      <c r="AF235" s="15"/>
      <c r="AG235" s="15"/>
      <c r="AH235" s="15"/>
      <c r="AI235" s="14"/>
      <c r="AJ235" s="14"/>
      <c r="AK235" s="17"/>
    </row>
    <row r="236" customFormat="false" ht="42.75" hidden="false" customHeight="true" outlineLevel="0" collapsed="false">
      <c r="A236" s="11" t="n">
        <v>234</v>
      </c>
      <c r="B236" s="11" t="str">
        <f aca="false">IF(I236="Y",IF(COUNTIF(I$3:I236,"Y")&lt;=20,"pilot",IF(COUNTIF(I$3:I236,"Y")&lt;=40,"dev",IF(COUNTIF(I$3:I236,"Y")&lt;=120,"test","extra"))),"")</f>
        <v/>
      </c>
      <c r="C236" s="11" t="str">
        <f aca="false">IF(I236="Y",IF(COUNTA(K236,Q236,W236,AC236,AE236)=5,"done","in progress"),IF(I236="N","excluded",""))</f>
        <v/>
      </c>
      <c r="D236" s="11" t="s">
        <v>1196</v>
      </c>
      <c r="E236" s="12" t="s">
        <v>90</v>
      </c>
      <c r="F236" s="13" t="s">
        <v>1197</v>
      </c>
      <c r="G236" s="11" t="s">
        <v>1034</v>
      </c>
      <c r="H236" s="11"/>
      <c r="I236" s="14"/>
      <c r="J236" s="14"/>
      <c r="K236" s="14"/>
      <c r="L236" s="15"/>
      <c r="M236" s="14"/>
      <c r="N236" s="15"/>
      <c r="O236" s="14"/>
      <c r="P236" s="15"/>
      <c r="Q236" s="14"/>
      <c r="R236" s="15"/>
      <c r="S236" s="14"/>
      <c r="T236" s="15"/>
      <c r="U236" s="14"/>
      <c r="V236" s="15"/>
      <c r="W236" s="14"/>
      <c r="X236" s="15"/>
      <c r="Y236" s="14"/>
      <c r="Z236" s="15"/>
      <c r="AA236" s="14"/>
      <c r="AB236" s="15"/>
      <c r="AC236" s="14"/>
      <c r="AD236" s="15"/>
      <c r="AE236" s="14"/>
      <c r="AF236" s="15"/>
      <c r="AG236" s="15"/>
      <c r="AH236" s="15"/>
      <c r="AI236" s="14"/>
      <c r="AJ236" s="14"/>
      <c r="AK236" s="17"/>
    </row>
    <row r="237" customFormat="false" ht="42.75" hidden="false" customHeight="true" outlineLevel="0" collapsed="false">
      <c r="A237" s="11" t="n">
        <v>235</v>
      </c>
      <c r="B237" s="11" t="str">
        <f aca="false">IF(I237="Y",IF(COUNTIF(I$3:I237,"Y")&lt;=20,"pilot",IF(COUNTIF(I$3:I237,"Y")&lt;=40,"dev",IF(COUNTIF(I$3:I237,"Y")&lt;=120,"test","extra"))),"")</f>
        <v/>
      </c>
      <c r="C237" s="11" t="str">
        <f aca="false">IF(I237="Y",IF(COUNTA(K237,Q237,W237,AC237,AE237)=5,"done","in progress"),IF(I237="N","excluded",""))</f>
        <v/>
      </c>
      <c r="D237" s="11" t="s">
        <v>1198</v>
      </c>
      <c r="E237" s="12" t="s">
        <v>90</v>
      </c>
      <c r="F237" s="13" t="s">
        <v>1199</v>
      </c>
      <c r="G237" s="11" t="s">
        <v>157</v>
      </c>
      <c r="H237" s="11"/>
      <c r="I237" s="14"/>
      <c r="J237" s="14"/>
      <c r="K237" s="14"/>
      <c r="L237" s="15"/>
      <c r="M237" s="14"/>
      <c r="N237" s="15"/>
      <c r="O237" s="14"/>
      <c r="P237" s="15"/>
      <c r="Q237" s="14"/>
      <c r="R237" s="15"/>
      <c r="S237" s="14"/>
      <c r="T237" s="15"/>
      <c r="U237" s="14"/>
      <c r="V237" s="15"/>
      <c r="W237" s="14"/>
      <c r="X237" s="15"/>
      <c r="Y237" s="14"/>
      <c r="Z237" s="15"/>
      <c r="AA237" s="14"/>
      <c r="AB237" s="15"/>
      <c r="AC237" s="14"/>
      <c r="AD237" s="15"/>
      <c r="AE237" s="14"/>
      <c r="AF237" s="15"/>
      <c r="AG237" s="15"/>
      <c r="AH237" s="15"/>
      <c r="AI237" s="14"/>
      <c r="AJ237" s="14"/>
      <c r="AK237" s="17"/>
    </row>
    <row r="238" customFormat="false" ht="42.75" hidden="false" customHeight="true" outlineLevel="0" collapsed="false">
      <c r="A238" s="11" t="n">
        <v>236</v>
      </c>
      <c r="B238" s="11" t="str">
        <f aca="false">IF(I238="Y",IF(COUNTIF(I$3:I238,"Y")&lt;=20,"pilot",IF(COUNTIF(I$3:I238,"Y")&lt;=40,"dev",IF(COUNTIF(I$3:I238,"Y")&lt;=120,"test","extra"))),"")</f>
        <v/>
      </c>
      <c r="C238" s="11" t="str">
        <f aca="false">IF(I238="Y",IF(COUNTA(K238,Q238,W238,AC238,AE238)=5,"done","in progress"),IF(I238="N","excluded",""))</f>
        <v/>
      </c>
      <c r="D238" s="11" t="s">
        <v>1200</v>
      </c>
      <c r="E238" s="12" t="s">
        <v>90</v>
      </c>
      <c r="F238" s="13" t="s">
        <v>1201</v>
      </c>
      <c r="G238" s="11" t="s">
        <v>1202</v>
      </c>
      <c r="H238" s="11"/>
      <c r="I238" s="14"/>
      <c r="J238" s="14"/>
      <c r="K238" s="14"/>
      <c r="L238" s="15"/>
      <c r="M238" s="14"/>
      <c r="N238" s="15"/>
      <c r="O238" s="14"/>
      <c r="P238" s="15"/>
      <c r="Q238" s="14"/>
      <c r="R238" s="15"/>
      <c r="S238" s="14"/>
      <c r="T238" s="15"/>
      <c r="U238" s="14"/>
      <c r="V238" s="15"/>
      <c r="W238" s="14"/>
      <c r="X238" s="15"/>
      <c r="Y238" s="14"/>
      <c r="Z238" s="15"/>
      <c r="AA238" s="14"/>
      <c r="AB238" s="15"/>
      <c r="AC238" s="14"/>
      <c r="AD238" s="15"/>
      <c r="AE238" s="14"/>
      <c r="AF238" s="15"/>
      <c r="AG238" s="15"/>
      <c r="AH238" s="15"/>
      <c r="AI238" s="14"/>
      <c r="AJ238" s="14"/>
      <c r="AK238" s="17"/>
    </row>
    <row r="239" customFormat="false" ht="42.75" hidden="false" customHeight="true" outlineLevel="0" collapsed="false">
      <c r="A239" s="11" t="n">
        <v>237</v>
      </c>
      <c r="B239" s="11" t="str">
        <f aca="false">IF(I239="Y",IF(COUNTIF(I$3:I239,"Y")&lt;=20,"pilot",IF(COUNTIF(I$3:I239,"Y")&lt;=40,"dev",IF(COUNTIF(I$3:I239,"Y")&lt;=120,"test","extra"))),"")</f>
        <v/>
      </c>
      <c r="C239" s="11" t="str">
        <f aca="false">IF(I239="Y",IF(COUNTA(K239,Q239,W239,AC239,AE239)=5,"done","in progress"),IF(I239="N","excluded",""))</f>
        <v/>
      </c>
      <c r="D239" s="11" t="s">
        <v>1203</v>
      </c>
      <c r="E239" s="12" t="s">
        <v>90</v>
      </c>
      <c r="F239" s="13" t="s">
        <v>1204</v>
      </c>
      <c r="G239" s="11" t="s">
        <v>168</v>
      </c>
      <c r="H239" s="11"/>
      <c r="I239" s="14"/>
      <c r="J239" s="14"/>
      <c r="K239" s="14"/>
      <c r="L239" s="15"/>
      <c r="M239" s="14"/>
      <c r="N239" s="15"/>
      <c r="O239" s="14"/>
      <c r="P239" s="15"/>
      <c r="Q239" s="14"/>
      <c r="R239" s="15"/>
      <c r="S239" s="14"/>
      <c r="T239" s="15"/>
      <c r="U239" s="14"/>
      <c r="V239" s="15"/>
      <c r="W239" s="14"/>
      <c r="X239" s="15"/>
      <c r="Y239" s="14"/>
      <c r="Z239" s="15"/>
      <c r="AA239" s="14"/>
      <c r="AB239" s="15"/>
      <c r="AC239" s="14"/>
      <c r="AD239" s="15"/>
      <c r="AE239" s="14"/>
      <c r="AF239" s="15"/>
      <c r="AG239" s="15"/>
      <c r="AH239" s="15"/>
      <c r="AI239" s="14"/>
      <c r="AJ239" s="14"/>
      <c r="AK239" s="17"/>
    </row>
    <row r="240" customFormat="false" ht="28.5" hidden="false" customHeight="true" outlineLevel="0" collapsed="false">
      <c r="A240" s="11" t="n">
        <v>238</v>
      </c>
      <c r="B240" s="11" t="str">
        <f aca="false">IF(I240="Y",IF(COUNTIF(I$3:I240,"Y")&lt;=20,"pilot",IF(COUNTIF(I$3:I240,"Y")&lt;=40,"dev",IF(COUNTIF(I$3:I240,"Y")&lt;=120,"test","extra"))),"")</f>
        <v/>
      </c>
      <c r="C240" s="11" t="str">
        <f aca="false">IF(I240="Y",IF(COUNTA(K240,Q240,W240,AC240,AE240)=5,"done","in progress"),IF(I240="N","excluded",""))</f>
        <v/>
      </c>
      <c r="D240" s="11" t="s">
        <v>1205</v>
      </c>
      <c r="E240" s="12" t="s">
        <v>90</v>
      </c>
      <c r="F240" s="13" t="s">
        <v>1206</v>
      </c>
      <c r="G240" s="11" t="s">
        <v>1207</v>
      </c>
      <c r="H240" s="11"/>
      <c r="I240" s="14"/>
      <c r="J240" s="14"/>
      <c r="K240" s="14"/>
      <c r="L240" s="15"/>
      <c r="M240" s="14"/>
      <c r="N240" s="15"/>
      <c r="O240" s="14"/>
      <c r="P240" s="15"/>
      <c r="Q240" s="14"/>
      <c r="R240" s="15"/>
      <c r="S240" s="14"/>
      <c r="T240" s="15"/>
      <c r="U240" s="14"/>
      <c r="V240" s="15"/>
      <c r="W240" s="14"/>
      <c r="X240" s="15"/>
      <c r="Y240" s="14"/>
      <c r="Z240" s="15"/>
      <c r="AA240" s="14"/>
      <c r="AB240" s="15"/>
      <c r="AC240" s="14"/>
      <c r="AD240" s="15"/>
      <c r="AE240" s="14"/>
      <c r="AF240" s="15"/>
      <c r="AG240" s="15"/>
      <c r="AH240" s="15"/>
      <c r="AI240" s="14"/>
      <c r="AJ240" s="14"/>
      <c r="AK240" s="17"/>
    </row>
    <row r="241" customFormat="false" ht="28.5" hidden="false" customHeight="true" outlineLevel="0" collapsed="false">
      <c r="A241" s="11" t="n">
        <v>239</v>
      </c>
      <c r="B241" s="11" t="str">
        <f aca="false">IF(I241="Y",IF(COUNTIF(I$3:I241,"Y")&lt;=20,"pilot",IF(COUNTIF(I$3:I241,"Y")&lt;=40,"dev",IF(COUNTIF(I$3:I241,"Y")&lt;=120,"test","extra"))),"")</f>
        <v/>
      </c>
      <c r="C241" s="11" t="str">
        <f aca="false">IF(I241="Y",IF(COUNTA(K241,Q241,W241,AC241,AE241)=5,"done","in progress"),IF(I241="N","excluded",""))</f>
        <v/>
      </c>
      <c r="D241" s="11" t="s">
        <v>1208</v>
      </c>
      <c r="E241" s="12" t="s">
        <v>90</v>
      </c>
      <c r="F241" s="13" t="s">
        <v>1209</v>
      </c>
      <c r="G241" s="11" t="s">
        <v>476</v>
      </c>
      <c r="H241" s="11"/>
      <c r="I241" s="14"/>
      <c r="J241" s="14"/>
      <c r="K241" s="14"/>
      <c r="L241" s="15"/>
      <c r="M241" s="14"/>
      <c r="N241" s="15"/>
      <c r="O241" s="14"/>
      <c r="P241" s="15"/>
      <c r="Q241" s="14"/>
      <c r="R241" s="15"/>
      <c r="S241" s="14"/>
      <c r="T241" s="15"/>
      <c r="U241" s="14"/>
      <c r="V241" s="15"/>
      <c r="W241" s="14"/>
      <c r="X241" s="15"/>
      <c r="Y241" s="14"/>
      <c r="Z241" s="15"/>
      <c r="AA241" s="14"/>
      <c r="AB241" s="15"/>
      <c r="AC241" s="14"/>
      <c r="AD241" s="15"/>
      <c r="AE241" s="14"/>
      <c r="AF241" s="15"/>
      <c r="AG241" s="15"/>
      <c r="AH241" s="15"/>
      <c r="AI241" s="14"/>
      <c r="AJ241" s="14"/>
      <c r="AK241" s="17"/>
    </row>
    <row r="242" customFormat="false" ht="42.75" hidden="false" customHeight="true" outlineLevel="0" collapsed="false">
      <c r="A242" s="11" t="n">
        <v>240</v>
      </c>
      <c r="B242" s="11" t="str">
        <f aca="false">IF(I242="Y",IF(COUNTIF(I$3:I242,"Y")&lt;=20,"pilot",IF(COUNTIF(I$3:I242,"Y")&lt;=40,"dev",IF(COUNTIF(I$3:I242,"Y")&lt;=120,"test","extra"))),"")</f>
        <v/>
      </c>
      <c r="C242" s="11" t="str">
        <f aca="false">IF(I242="Y",IF(COUNTA(K242,Q242,W242,AC242,AE242)=5,"done","in progress"),IF(I242="N","excluded",""))</f>
        <v/>
      </c>
      <c r="D242" s="11" t="s">
        <v>1210</v>
      </c>
      <c r="E242" s="12" t="s">
        <v>90</v>
      </c>
      <c r="F242" s="13" t="s">
        <v>1211</v>
      </c>
      <c r="G242" s="11" t="s">
        <v>1212</v>
      </c>
      <c r="H242" s="11"/>
      <c r="I242" s="14"/>
      <c r="J242" s="14"/>
      <c r="K242" s="14"/>
      <c r="L242" s="15"/>
      <c r="M242" s="14"/>
      <c r="N242" s="15"/>
      <c r="O242" s="14"/>
      <c r="P242" s="15"/>
      <c r="Q242" s="14"/>
      <c r="R242" s="15"/>
      <c r="S242" s="14"/>
      <c r="T242" s="15"/>
      <c r="U242" s="14"/>
      <c r="V242" s="15"/>
      <c r="W242" s="14"/>
      <c r="X242" s="15"/>
      <c r="Y242" s="14"/>
      <c r="Z242" s="15"/>
      <c r="AA242" s="14"/>
      <c r="AB242" s="15"/>
      <c r="AC242" s="14"/>
      <c r="AD242" s="15"/>
      <c r="AE242" s="14"/>
      <c r="AF242" s="15"/>
      <c r="AG242" s="15"/>
      <c r="AH242" s="15"/>
      <c r="AI242" s="14"/>
      <c r="AJ242" s="14"/>
      <c r="AK242" s="17"/>
    </row>
    <row r="243" customFormat="false" ht="42.75" hidden="false" customHeight="true" outlineLevel="0" collapsed="false">
      <c r="A243" s="11" t="n">
        <v>241</v>
      </c>
      <c r="B243" s="11" t="str">
        <f aca="false">IF(I243="Y",IF(COUNTIF(I$3:I243,"Y")&lt;=20,"pilot",IF(COUNTIF(I$3:I243,"Y")&lt;=40,"dev",IF(COUNTIF(I$3:I243,"Y")&lt;=120,"test","extra"))),"")</f>
        <v/>
      </c>
      <c r="C243" s="11" t="str">
        <f aca="false">IF(I243="Y",IF(COUNTA(K243,Q243,W243,AC243,AE243)=5,"done","in progress"),IF(I243="N","excluded",""))</f>
        <v/>
      </c>
      <c r="D243" s="11" t="s">
        <v>1213</v>
      </c>
      <c r="E243" s="12" t="s">
        <v>90</v>
      </c>
      <c r="F243" s="13" t="s">
        <v>1214</v>
      </c>
      <c r="G243" s="11" t="s">
        <v>1215</v>
      </c>
      <c r="H243" s="11"/>
      <c r="I243" s="14"/>
      <c r="J243" s="14"/>
      <c r="K243" s="14"/>
      <c r="L243" s="15"/>
      <c r="M243" s="14"/>
      <c r="N243" s="15"/>
      <c r="O243" s="14"/>
      <c r="P243" s="15"/>
      <c r="Q243" s="14"/>
      <c r="R243" s="15"/>
      <c r="S243" s="14"/>
      <c r="T243" s="15"/>
      <c r="U243" s="14"/>
      <c r="V243" s="15"/>
      <c r="W243" s="14"/>
      <c r="X243" s="15"/>
      <c r="Y243" s="14"/>
      <c r="Z243" s="15"/>
      <c r="AA243" s="14"/>
      <c r="AB243" s="15"/>
      <c r="AC243" s="14"/>
      <c r="AD243" s="15"/>
      <c r="AE243" s="14"/>
      <c r="AF243" s="15"/>
      <c r="AG243" s="15"/>
      <c r="AH243" s="15"/>
      <c r="AI243" s="14"/>
      <c r="AJ243" s="14"/>
      <c r="AK243" s="17"/>
    </row>
    <row r="244" customFormat="false" ht="42.75" hidden="false" customHeight="true" outlineLevel="0" collapsed="false">
      <c r="A244" s="11" t="n">
        <v>242</v>
      </c>
      <c r="B244" s="11" t="str">
        <f aca="false">IF(I244="Y",IF(COUNTIF(I$3:I244,"Y")&lt;=20,"pilot",IF(COUNTIF(I$3:I244,"Y")&lt;=40,"dev",IF(COUNTIF(I$3:I244,"Y")&lt;=120,"test","extra"))),"")</f>
        <v/>
      </c>
      <c r="C244" s="11" t="str">
        <f aca="false">IF(I244="Y",IF(COUNTA(K244,Q244,W244,AC244,AE244)=5,"done","in progress"),IF(I244="N","excluded",""))</f>
        <v/>
      </c>
      <c r="D244" s="11" t="s">
        <v>1216</v>
      </c>
      <c r="E244" s="12" t="s">
        <v>90</v>
      </c>
      <c r="F244" s="13" t="s">
        <v>1217</v>
      </c>
      <c r="G244" s="11" t="s">
        <v>168</v>
      </c>
      <c r="H244" s="11"/>
      <c r="I244" s="14"/>
      <c r="J244" s="14"/>
      <c r="K244" s="14"/>
      <c r="L244" s="15"/>
      <c r="M244" s="14"/>
      <c r="N244" s="15"/>
      <c r="O244" s="14"/>
      <c r="P244" s="15"/>
      <c r="Q244" s="14"/>
      <c r="R244" s="15"/>
      <c r="S244" s="14"/>
      <c r="T244" s="15"/>
      <c r="U244" s="14"/>
      <c r="V244" s="15"/>
      <c r="W244" s="14"/>
      <c r="X244" s="15"/>
      <c r="Y244" s="14"/>
      <c r="Z244" s="15"/>
      <c r="AA244" s="14"/>
      <c r="AB244" s="15"/>
      <c r="AC244" s="14"/>
      <c r="AD244" s="15"/>
      <c r="AE244" s="14"/>
      <c r="AF244" s="15"/>
      <c r="AG244" s="15"/>
      <c r="AH244" s="15"/>
      <c r="AI244" s="14"/>
      <c r="AJ244" s="14"/>
      <c r="AK244" s="17"/>
    </row>
    <row r="245" customFormat="false" ht="42.75" hidden="false" customHeight="true" outlineLevel="0" collapsed="false">
      <c r="A245" s="11" t="n">
        <v>243</v>
      </c>
      <c r="B245" s="11" t="str">
        <f aca="false">IF(I245="Y",IF(COUNTIF(I$3:I245,"Y")&lt;=20,"pilot",IF(COUNTIF(I$3:I245,"Y")&lt;=40,"dev",IF(COUNTIF(I$3:I245,"Y")&lt;=120,"test","extra"))),"")</f>
        <v/>
      </c>
      <c r="C245" s="11" t="str">
        <f aca="false">IF(I245="Y",IF(COUNTA(K245,Q245,W245,AC245,AE245)=5,"done","in progress"),IF(I245="N","excluded",""))</f>
        <v/>
      </c>
      <c r="D245" s="11" t="s">
        <v>1218</v>
      </c>
      <c r="E245" s="12" t="s">
        <v>90</v>
      </c>
      <c r="F245" s="13" t="s">
        <v>1219</v>
      </c>
      <c r="G245" s="11" t="s">
        <v>410</v>
      </c>
      <c r="H245" s="11"/>
      <c r="I245" s="14"/>
      <c r="J245" s="14"/>
      <c r="K245" s="14"/>
      <c r="L245" s="15"/>
      <c r="M245" s="14"/>
      <c r="N245" s="15"/>
      <c r="O245" s="14"/>
      <c r="P245" s="15"/>
      <c r="Q245" s="14"/>
      <c r="R245" s="15"/>
      <c r="S245" s="14"/>
      <c r="T245" s="15"/>
      <c r="U245" s="14"/>
      <c r="V245" s="15"/>
      <c r="W245" s="14"/>
      <c r="X245" s="15"/>
      <c r="Y245" s="14"/>
      <c r="Z245" s="15"/>
      <c r="AA245" s="14"/>
      <c r="AB245" s="15"/>
      <c r="AC245" s="14"/>
      <c r="AD245" s="15"/>
      <c r="AE245" s="14"/>
      <c r="AF245" s="15"/>
      <c r="AG245" s="15"/>
      <c r="AH245" s="15"/>
      <c r="AI245" s="14"/>
      <c r="AJ245" s="14"/>
      <c r="AK245" s="17"/>
    </row>
    <row r="246" customFormat="false" ht="28.5" hidden="false" customHeight="true" outlineLevel="0" collapsed="false">
      <c r="A246" s="11" t="n">
        <v>244</v>
      </c>
      <c r="B246" s="11" t="str">
        <f aca="false">IF(I246="Y",IF(COUNTIF(I$3:I246,"Y")&lt;=20,"pilot",IF(COUNTIF(I$3:I246,"Y")&lt;=40,"dev",IF(COUNTIF(I$3:I246,"Y")&lt;=120,"test","extra"))),"")</f>
        <v/>
      </c>
      <c r="C246" s="11" t="str">
        <f aca="false">IF(I246="Y",IF(COUNTA(K246,Q246,W246,AC246,AE246)=5,"done","in progress"),IF(I246="N","excluded",""))</f>
        <v/>
      </c>
      <c r="D246" s="11" t="s">
        <v>1220</v>
      </c>
      <c r="E246" s="12" t="s">
        <v>90</v>
      </c>
      <c r="F246" s="13" t="s">
        <v>1221</v>
      </c>
      <c r="G246" s="11" t="s">
        <v>1222</v>
      </c>
      <c r="H246" s="11"/>
      <c r="I246" s="14"/>
      <c r="J246" s="14"/>
      <c r="K246" s="14"/>
      <c r="L246" s="15"/>
      <c r="M246" s="14"/>
      <c r="N246" s="15"/>
      <c r="O246" s="14"/>
      <c r="P246" s="15"/>
      <c r="Q246" s="14"/>
      <c r="R246" s="15"/>
      <c r="S246" s="14"/>
      <c r="T246" s="15"/>
      <c r="U246" s="14"/>
      <c r="V246" s="15"/>
      <c r="W246" s="14"/>
      <c r="X246" s="15"/>
      <c r="Y246" s="14"/>
      <c r="Z246" s="15"/>
      <c r="AA246" s="14"/>
      <c r="AB246" s="15"/>
      <c r="AC246" s="14"/>
      <c r="AD246" s="15"/>
      <c r="AE246" s="14"/>
      <c r="AF246" s="15"/>
      <c r="AG246" s="15"/>
      <c r="AH246" s="15"/>
      <c r="AI246" s="14"/>
      <c r="AJ246" s="14"/>
      <c r="AK246" s="17"/>
    </row>
    <row r="247" customFormat="false" ht="57" hidden="false" customHeight="true" outlineLevel="0" collapsed="false">
      <c r="A247" s="11" t="n">
        <v>245</v>
      </c>
      <c r="B247" s="11" t="str">
        <f aca="false">IF(I247="Y",IF(COUNTIF(I$3:I247,"Y")&lt;=20,"pilot",IF(COUNTIF(I$3:I247,"Y")&lt;=40,"dev",IF(COUNTIF(I$3:I247,"Y")&lt;=120,"test","extra"))),"")</f>
        <v/>
      </c>
      <c r="C247" s="11" t="str">
        <f aca="false">IF(I247="Y",IF(COUNTA(K247,Q247,W247,AC247,AE247)=5,"done","in progress"),IF(I247="N","excluded",""))</f>
        <v/>
      </c>
      <c r="D247" s="11" t="s">
        <v>1223</v>
      </c>
      <c r="E247" s="12" t="s">
        <v>90</v>
      </c>
      <c r="F247" s="13" t="s">
        <v>1224</v>
      </c>
      <c r="G247" s="11" t="s">
        <v>1225</v>
      </c>
      <c r="H247" s="11"/>
      <c r="I247" s="14"/>
      <c r="J247" s="14"/>
      <c r="K247" s="14"/>
      <c r="L247" s="15"/>
      <c r="M247" s="14"/>
      <c r="N247" s="15"/>
      <c r="O247" s="14"/>
      <c r="P247" s="15"/>
      <c r="Q247" s="14"/>
      <c r="R247" s="15"/>
      <c r="S247" s="14"/>
      <c r="T247" s="15"/>
      <c r="U247" s="14"/>
      <c r="V247" s="15"/>
      <c r="W247" s="14"/>
      <c r="X247" s="15"/>
      <c r="Y247" s="14"/>
      <c r="Z247" s="15"/>
      <c r="AA247" s="14"/>
      <c r="AB247" s="15"/>
      <c r="AC247" s="14"/>
      <c r="AD247" s="15"/>
      <c r="AE247" s="14"/>
      <c r="AF247" s="15"/>
      <c r="AG247" s="15"/>
      <c r="AH247" s="15"/>
      <c r="AI247" s="14"/>
      <c r="AJ247" s="14"/>
      <c r="AK247" s="17"/>
    </row>
    <row r="248" customFormat="false" ht="57" hidden="false" customHeight="true" outlineLevel="0" collapsed="false">
      <c r="A248" s="11" t="n">
        <v>246</v>
      </c>
      <c r="B248" s="11" t="str">
        <f aca="false">IF(I248="Y",IF(COUNTIF(I$3:I248,"Y")&lt;=20,"pilot",IF(COUNTIF(I$3:I248,"Y")&lt;=40,"dev",IF(COUNTIF(I$3:I248,"Y")&lt;=120,"test","extra"))),"")</f>
        <v/>
      </c>
      <c r="C248" s="11" t="str">
        <f aca="false">IF(I248="Y",IF(COUNTA(K248,Q248,W248,AC248,AE248)=5,"done","in progress"),IF(I248="N","excluded",""))</f>
        <v/>
      </c>
      <c r="D248" s="11" t="s">
        <v>1226</v>
      </c>
      <c r="E248" s="12" t="s">
        <v>90</v>
      </c>
      <c r="F248" s="13" t="s">
        <v>1227</v>
      </c>
      <c r="G248" s="11" t="s">
        <v>168</v>
      </c>
      <c r="H248" s="11"/>
      <c r="I248" s="14"/>
      <c r="J248" s="14"/>
      <c r="K248" s="14"/>
      <c r="L248" s="15"/>
      <c r="M248" s="14"/>
      <c r="N248" s="15"/>
      <c r="O248" s="14"/>
      <c r="P248" s="15"/>
      <c r="Q248" s="14"/>
      <c r="R248" s="15"/>
      <c r="S248" s="14"/>
      <c r="T248" s="15"/>
      <c r="U248" s="14"/>
      <c r="V248" s="15"/>
      <c r="W248" s="14"/>
      <c r="X248" s="15"/>
      <c r="Y248" s="14"/>
      <c r="Z248" s="15"/>
      <c r="AA248" s="14"/>
      <c r="AB248" s="15"/>
      <c r="AC248" s="14"/>
      <c r="AD248" s="15"/>
      <c r="AE248" s="14"/>
      <c r="AF248" s="15"/>
      <c r="AG248" s="15"/>
      <c r="AH248" s="15"/>
      <c r="AI248" s="14"/>
      <c r="AJ248" s="14"/>
      <c r="AK248" s="17"/>
    </row>
    <row r="249" customFormat="false" ht="42.75" hidden="false" customHeight="true" outlineLevel="0" collapsed="false">
      <c r="A249" s="11" t="n">
        <v>247</v>
      </c>
      <c r="B249" s="11" t="str">
        <f aca="false">IF(I249="Y",IF(COUNTIF(I$3:I249,"Y")&lt;=20,"pilot",IF(COUNTIF(I$3:I249,"Y")&lt;=40,"dev",IF(COUNTIF(I$3:I249,"Y")&lt;=120,"test","extra"))),"")</f>
        <v/>
      </c>
      <c r="C249" s="11" t="str">
        <f aca="false">IF(I249="Y",IF(COUNTA(K249,Q249,W249,AC249,AE249)=5,"done","in progress"),IF(I249="N","excluded",""))</f>
        <v/>
      </c>
      <c r="D249" s="11" t="s">
        <v>1228</v>
      </c>
      <c r="E249" s="12" t="s">
        <v>90</v>
      </c>
      <c r="F249" s="13" t="s">
        <v>1229</v>
      </c>
      <c r="G249" s="11" t="s">
        <v>118</v>
      </c>
      <c r="H249" s="11"/>
      <c r="I249" s="14"/>
      <c r="J249" s="14"/>
      <c r="K249" s="14"/>
      <c r="L249" s="15"/>
      <c r="M249" s="14"/>
      <c r="N249" s="15"/>
      <c r="O249" s="14"/>
      <c r="P249" s="15"/>
      <c r="Q249" s="14"/>
      <c r="R249" s="15"/>
      <c r="S249" s="14"/>
      <c r="T249" s="15"/>
      <c r="U249" s="14"/>
      <c r="V249" s="15"/>
      <c r="W249" s="14"/>
      <c r="X249" s="15"/>
      <c r="Y249" s="14"/>
      <c r="Z249" s="15"/>
      <c r="AA249" s="14"/>
      <c r="AB249" s="15"/>
      <c r="AC249" s="14"/>
      <c r="AD249" s="15"/>
      <c r="AE249" s="14"/>
      <c r="AF249" s="15"/>
      <c r="AG249" s="15"/>
      <c r="AH249" s="15"/>
      <c r="AI249" s="14"/>
      <c r="AJ249" s="14"/>
      <c r="AK249" s="17"/>
    </row>
    <row r="250" customFormat="false" ht="42.75" hidden="false" customHeight="true" outlineLevel="0" collapsed="false">
      <c r="A250" s="11" t="n">
        <v>248</v>
      </c>
      <c r="B250" s="11" t="str">
        <f aca="false">IF(I250="Y",IF(COUNTIF(I$3:I250,"Y")&lt;=20,"pilot",IF(COUNTIF(I$3:I250,"Y")&lt;=40,"dev",IF(COUNTIF(I$3:I250,"Y")&lt;=120,"test","extra"))),"")</f>
        <v/>
      </c>
      <c r="C250" s="11" t="str">
        <f aca="false">IF(I250="Y",IF(COUNTA(K250,Q250,W250,AC250,AE250)=5,"done","in progress"),IF(I250="N","excluded",""))</f>
        <v/>
      </c>
      <c r="D250" s="11" t="s">
        <v>1230</v>
      </c>
      <c r="E250" s="12" t="s">
        <v>90</v>
      </c>
      <c r="F250" s="13" t="s">
        <v>1231</v>
      </c>
      <c r="G250" s="11" t="s">
        <v>136</v>
      </c>
      <c r="H250" s="11"/>
      <c r="I250" s="14"/>
      <c r="J250" s="14"/>
      <c r="K250" s="14"/>
      <c r="L250" s="15"/>
      <c r="M250" s="14"/>
      <c r="N250" s="15"/>
      <c r="O250" s="14"/>
      <c r="P250" s="15"/>
      <c r="Q250" s="14"/>
      <c r="R250" s="15"/>
      <c r="S250" s="14"/>
      <c r="T250" s="15"/>
      <c r="U250" s="14"/>
      <c r="V250" s="15"/>
      <c r="W250" s="14"/>
      <c r="X250" s="15"/>
      <c r="Y250" s="14"/>
      <c r="Z250" s="15"/>
      <c r="AA250" s="14"/>
      <c r="AB250" s="15"/>
      <c r="AC250" s="14"/>
      <c r="AD250" s="15"/>
      <c r="AE250" s="14"/>
      <c r="AF250" s="15"/>
      <c r="AG250" s="15"/>
      <c r="AH250" s="15"/>
      <c r="AI250" s="14"/>
      <c r="AJ250" s="14"/>
      <c r="AK250" s="17"/>
    </row>
    <row r="251" customFormat="false" ht="42.75" hidden="false" customHeight="true" outlineLevel="0" collapsed="false">
      <c r="A251" s="11" t="n">
        <v>249</v>
      </c>
      <c r="B251" s="11" t="str">
        <f aca="false">IF(I251="Y",IF(COUNTIF(I$3:I251,"Y")&lt;=20,"pilot",IF(COUNTIF(I$3:I251,"Y")&lt;=40,"dev",IF(COUNTIF(I$3:I251,"Y")&lt;=120,"test","extra"))),"")</f>
        <v/>
      </c>
      <c r="C251" s="11" t="str">
        <f aca="false">IF(I251="Y",IF(COUNTA(K251,Q251,W251,AC251,AE251)=5,"done","in progress"),IF(I251="N","excluded",""))</f>
        <v/>
      </c>
      <c r="D251" s="11" t="s">
        <v>1232</v>
      </c>
      <c r="E251" s="12" t="s">
        <v>90</v>
      </c>
      <c r="F251" s="13" t="s">
        <v>1233</v>
      </c>
      <c r="G251" s="11" t="s">
        <v>1234</v>
      </c>
      <c r="H251" s="11"/>
      <c r="I251" s="14"/>
      <c r="J251" s="14"/>
      <c r="K251" s="14"/>
      <c r="L251" s="15"/>
      <c r="M251" s="14"/>
      <c r="N251" s="15"/>
      <c r="O251" s="14"/>
      <c r="P251" s="15"/>
      <c r="Q251" s="14"/>
      <c r="R251" s="15"/>
      <c r="S251" s="14"/>
      <c r="T251" s="15"/>
      <c r="U251" s="14"/>
      <c r="V251" s="15"/>
      <c r="W251" s="14"/>
      <c r="X251" s="15"/>
      <c r="Y251" s="14"/>
      <c r="Z251" s="15"/>
      <c r="AA251" s="14"/>
      <c r="AB251" s="15"/>
      <c r="AC251" s="14"/>
      <c r="AD251" s="15"/>
      <c r="AE251" s="14"/>
      <c r="AF251" s="15"/>
      <c r="AG251" s="15"/>
      <c r="AH251" s="15"/>
      <c r="AI251" s="14"/>
      <c r="AJ251" s="14"/>
      <c r="AK251" s="17"/>
    </row>
    <row r="252" customFormat="false" ht="42.75" hidden="false" customHeight="true" outlineLevel="0" collapsed="false">
      <c r="A252" s="11" t="n">
        <v>250</v>
      </c>
      <c r="B252" s="11" t="str">
        <f aca="false">IF(I252="Y",IF(COUNTIF(I$3:I252,"Y")&lt;=20,"pilot",IF(COUNTIF(I$3:I252,"Y")&lt;=40,"dev",IF(COUNTIF(I$3:I252,"Y")&lt;=120,"test","extra"))),"")</f>
        <v/>
      </c>
      <c r="C252" s="11" t="str">
        <f aca="false">IF(I252="Y",IF(COUNTA(K252,Q252,W252,AC252,AE252)=5,"done","in progress"),IF(I252="N","excluded",""))</f>
        <v/>
      </c>
      <c r="D252" s="11" t="s">
        <v>1235</v>
      </c>
      <c r="E252" s="12" t="s">
        <v>90</v>
      </c>
      <c r="F252" s="13" t="s">
        <v>1236</v>
      </c>
      <c r="G252" s="11" t="s">
        <v>1122</v>
      </c>
      <c r="H252" s="11"/>
      <c r="I252" s="14"/>
      <c r="J252" s="14"/>
      <c r="K252" s="14"/>
      <c r="L252" s="15"/>
      <c r="M252" s="14"/>
      <c r="N252" s="15"/>
      <c r="O252" s="14"/>
      <c r="P252" s="15"/>
      <c r="Q252" s="14"/>
      <c r="R252" s="15"/>
      <c r="S252" s="14"/>
      <c r="T252" s="15"/>
      <c r="U252" s="14"/>
      <c r="V252" s="15"/>
      <c r="W252" s="14"/>
      <c r="X252" s="15"/>
      <c r="Y252" s="14"/>
      <c r="Z252" s="15"/>
      <c r="AA252" s="14"/>
      <c r="AB252" s="15"/>
      <c r="AC252" s="14"/>
      <c r="AD252" s="15"/>
      <c r="AE252" s="14"/>
      <c r="AF252" s="15"/>
      <c r="AG252" s="15"/>
      <c r="AH252" s="15"/>
      <c r="AI252" s="14"/>
      <c r="AJ252" s="14"/>
      <c r="AK252" s="17"/>
    </row>
    <row r="253" customFormat="false" ht="28.5" hidden="false" customHeight="true" outlineLevel="0" collapsed="false">
      <c r="A253" s="11" t="n">
        <v>251</v>
      </c>
      <c r="B253" s="11" t="str">
        <f aca="false">IF(I253="Y",IF(COUNTIF(I$3:I253,"Y")&lt;=20,"pilot",IF(COUNTIF(I$3:I253,"Y")&lt;=40,"dev",IF(COUNTIF(I$3:I253,"Y")&lt;=120,"test","extra"))),"")</f>
        <v/>
      </c>
      <c r="C253" s="11" t="str">
        <f aca="false">IF(I253="Y",IF(COUNTA(K253,Q253,W253,AC253,AE253)=5,"done","in progress"),IF(I253="N","excluded",""))</f>
        <v/>
      </c>
      <c r="D253" s="11" t="s">
        <v>1237</v>
      </c>
      <c r="E253" s="12" t="s">
        <v>90</v>
      </c>
      <c r="F253" s="13" t="s">
        <v>1238</v>
      </c>
      <c r="G253" s="11" t="s">
        <v>644</v>
      </c>
      <c r="H253" s="11"/>
      <c r="I253" s="14"/>
      <c r="J253" s="14"/>
      <c r="K253" s="14"/>
      <c r="L253" s="15"/>
      <c r="M253" s="14"/>
      <c r="N253" s="15"/>
      <c r="O253" s="14"/>
      <c r="P253" s="15"/>
      <c r="Q253" s="14"/>
      <c r="R253" s="15"/>
      <c r="S253" s="14"/>
      <c r="T253" s="15"/>
      <c r="U253" s="14"/>
      <c r="V253" s="15"/>
      <c r="W253" s="14"/>
      <c r="X253" s="15"/>
      <c r="Y253" s="14"/>
      <c r="Z253" s="15"/>
      <c r="AA253" s="14"/>
      <c r="AB253" s="15"/>
      <c r="AC253" s="14"/>
      <c r="AD253" s="15"/>
      <c r="AE253" s="14"/>
      <c r="AF253" s="15"/>
      <c r="AG253" s="15"/>
      <c r="AH253" s="15"/>
      <c r="AI253" s="14"/>
      <c r="AJ253" s="14"/>
      <c r="AK253" s="17"/>
    </row>
    <row r="254" customFormat="false" ht="42.75" hidden="false" customHeight="true" outlineLevel="0" collapsed="false">
      <c r="A254" s="11" t="n">
        <v>252</v>
      </c>
      <c r="B254" s="11" t="str">
        <f aca="false">IF(I254="Y",IF(COUNTIF(I$3:I254,"Y")&lt;=20,"pilot",IF(COUNTIF(I$3:I254,"Y")&lt;=40,"dev",IF(COUNTIF(I$3:I254,"Y")&lt;=120,"test","extra"))),"")</f>
        <v/>
      </c>
      <c r="C254" s="11" t="str">
        <f aca="false">IF(I254="Y",IF(COUNTA(K254,Q254,W254,AC254,AE254)=5,"done","in progress"),IF(I254="N","excluded",""))</f>
        <v/>
      </c>
      <c r="D254" s="11" t="s">
        <v>1239</v>
      </c>
      <c r="E254" s="12" t="s">
        <v>90</v>
      </c>
      <c r="F254" s="13" t="s">
        <v>1240</v>
      </c>
      <c r="G254" s="11" t="s">
        <v>145</v>
      </c>
      <c r="H254" s="11"/>
      <c r="I254" s="14"/>
      <c r="J254" s="14"/>
      <c r="K254" s="14"/>
      <c r="L254" s="15"/>
      <c r="M254" s="14"/>
      <c r="N254" s="15"/>
      <c r="O254" s="14"/>
      <c r="P254" s="15"/>
      <c r="Q254" s="14"/>
      <c r="R254" s="15"/>
      <c r="S254" s="14"/>
      <c r="T254" s="15"/>
      <c r="U254" s="14"/>
      <c r="V254" s="15"/>
      <c r="W254" s="14"/>
      <c r="X254" s="15"/>
      <c r="Y254" s="14"/>
      <c r="Z254" s="15"/>
      <c r="AA254" s="14"/>
      <c r="AB254" s="15"/>
      <c r="AC254" s="14"/>
      <c r="AD254" s="15"/>
      <c r="AE254" s="14"/>
      <c r="AF254" s="15"/>
      <c r="AG254" s="15"/>
      <c r="AH254" s="15"/>
      <c r="AI254" s="14"/>
      <c r="AJ254" s="14"/>
      <c r="AK254" s="17"/>
    </row>
    <row r="255" customFormat="false" ht="71.25" hidden="false" customHeight="true" outlineLevel="0" collapsed="false">
      <c r="A255" s="11" t="n">
        <v>253</v>
      </c>
      <c r="B255" s="11" t="str">
        <f aca="false">IF(I255="Y",IF(COUNTIF(I$3:I255,"Y")&lt;=20,"pilot",IF(COUNTIF(I$3:I255,"Y")&lt;=40,"dev",IF(COUNTIF(I$3:I255,"Y")&lt;=120,"test","extra"))),"")</f>
        <v/>
      </c>
      <c r="C255" s="11" t="str">
        <f aca="false">IF(I255="Y",IF(COUNTA(K255,Q255,W255,AC255,AE255)=5,"done","in progress"),IF(I255="N","excluded",""))</f>
        <v/>
      </c>
      <c r="D255" s="11" t="s">
        <v>1241</v>
      </c>
      <c r="E255" s="12" t="s">
        <v>90</v>
      </c>
      <c r="F255" s="13" t="s">
        <v>1242</v>
      </c>
      <c r="G255" s="11" t="s">
        <v>644</v>
      </c>
      <c r="H255" s="11"/>
      <c r="I255" s="14"/>
      <c r="J255" s="14"/>
      <c r="K255" s="14"/>
      <c r="L255" s="15"/>
      <c r="M255" s="14"/>
      <c r="N255" s="15"/>
      <c r="O255" s="14"/>
      <c r="P255" s="15"/>
      <c r="Q255" s="14"/>
      <c r="R255" s="15"/>
      <c r="S255" s="14"/>
      <c r="T255" s="15"/>
      <c r="U255" s="14"/>
      <c r="V255" s="15"/>
      <c r="W255" s="14"/>
      <c r="X255" s="15"/>
      <c r="Y255" s="14"/>
      <c r="Z255" s="15"/>
      <c r="AA255" s="14"/>
      <c r="AB255" s="15"/>
      <c r="AC255" s="14"/>
      <c r="AD255" s="15"/>
      <c r="AE255" s="14"/>
      <c r="AF255" s="15"/>
      <c r="AG255" s="15"/>
      <c r="AH255" s="15"/>
      <c r="AI255" s="14"/>
      <c r="AJ255" s="14"/>
      <c r="AK255" s="17"/>
    </row>
    <row r="256" customFormat="false" ht="42.75" hidden="false" customHeight="true" outlineLevel="0" collapsed="false">
      <c r="A256" s="11" t="n">
        <v>254</v>
      </c>
      <c r="B256" s="11" t="str">
        <f aca="false">IF(I256="Y",IF(COUNTIF(I$3:I256,"Y")&lt;=20,"pilot",IF(COUNTIF(I$3:I256,"Y")&lt;=40,"dev",IF(COUNTIF(I$3:I256,"Y")&lt;=120,"test","extra"))),"")</f>
        <v/>
      </c>
      <c r="C256" s="11" t="str">
        <f aca="false">IF(I256="Y",IF(COUNTA(K256,Q256,W256,AC256,AE256)=5,"done","in progress"),IF(I256="N","excluded",""))</f>
        <v/>
      </c>
      <c r="D256" s="11" t="s">
        <v>1243</v>
      </c>
      <c r="E256" s="12" t="s">
        <v>90</v>
      </c>
      <c r="F256" s="13" t="s">
        <v>1244</v>
      </c>
      <c r="G256" s="11" t="s">
        <v>125</v>
      </c>
      <c r="H256" s="11"/>
      <c r="I256" s="14"/>
      <c r="J256" s="14"/>
      <c r="K256" s="14"/>
      <c r="L256" s="15"/>
      <c r="M256" s="14"/>
      <c r="N256" s="15"/>
      <c r="O256" s="14"/>
      <c r="P256" s="15"/>
      <c r="Q256" s="14"/>
      <c r="R256" s="15"/>
      <c r="S256" s="14"/>
      <c r="T256" s="15"/>
      <c r="U256" s="14"/>
      <c r="V256" s="15"/>
      <c r="W256" s="14"/>
      <c r="X256" s="15"/>
      <c r="Y256" s="14"/>
      <c r="Z256" s="15"/>
      <c r="AA256" s="14"/>
      <c r="AB256" s="15"/>
      <c r="AC256" s="14"/>
      <c r="AD256" s="15"/>
      <c r="AE256" s="14"/>
      <c r="AF256" s="15"/>
      <c r="AG256" s="15"/>
      <c r="AH256" s="15"/>
      <c r="AI256" s="14"/>
      <c r="AJ256" s="14"/>
      <c r="AK256" s="17"/>
    </row>
    <row r="257" customFormat="false" ht="42.75" hidden="false" customHeight="true" outlineLevel="0" collapsed="false">
      <c r="A257" s="11" t="n">
        <v>255</v>
      </c>
      <c r="B257" s="11" t="str">
        <f aca="false">IF(I257="Y",IF(COUNTIF(I$3:I257,"Y")&lt;=20,"pilot",IF(COUNTIF(I$3:I257,"Y")&lt;=40,"dev",IF(COUNTIF(I$3:I257,"Y")&lt;=120,"test","extra"))),"")</f>
        <v/>
      </c>
      <c r="C257" s="11" t="str">
        <f aca="false">IF(I257="Y",IF(COUNTA(K257,Q257,W257,AC257,AE257)=5,"done","in progress"),IF(I257="N","excluded",""))</f>
        <v/>
      </c>
      <c r="D257" s="11" t="s">
        <v>1245</v>
      </c>
      <c r="E257" s="12" t="s">
        <v>90</v>
      </c>
      <c r="F257" s="13" t="s">
        <v>1246</v>
      </c>
      <c r="G257" s="11" t="s">
        <v>1247</v>
      </c>
      <c r="H257" s="11"/>
      <c r="I257" s="14"/>
      <c r="J257" s="14"/>
      <c r="K257" s="14"/>
      <c r="L257" s="15"/>
      <c r="M257" s="14"/>
      <c r="N257" s="15"/>
      <c r="O257" s="14"/>
      <c r="P257" s="15"/>
      <c r="Q257" s="14"/>
      <c r="R257" s="15"/>
      <c r="S257" s="14"/>
      <c r="T257" s="15"/>
      <c r="U257" s="14"/>
      <c r="V257" s="15"/>
      <c r="W257" s="14"/>
      <c r="X257" s="15"/>
      <c r="Y257" s="14"/>
      <c r="Z257" s="15"/>
      <c r="AA257" s="14"/>
      <c r="AB257" s="15"/>
      <c r="AC257" s="14"/>
      <c r="AD257" s="15"/>
      <c r="AE257" s="14"/>
      <c r="AF257" s="15"/>
      <c r="AG257" s="15"/>
      <c r="AH257" s="15"/>
      <c r="AI257" s="14"/>
      <c r="AJ257" s="14"/>
      <c r="AK257" s="17"/>
    </row>
    <row r="258" customFormat="false" ht="57" hidden="false" customHeight="true" outlineLevel="0" collapsed="false">
      <c r="A258" s="11" t="n">
        <v>256</v>
      </c>
      <c r="B258" s="11" t="str">
        <f aca="false">IF(I258="Y",IF(COUNTIF(I$3:I258,"Y")&lt;=20,"pilot",IF(COUNTIF(I$3:I258,"Y")&lt;=40,"dev",IF(COUNTIF(I$3:I258,"Y")&lt;=120,"test","extra"))),"")</f>
        <v/>
      </c>
      <c r="C258" s="11" t="str">
        <f aca="false">IF(I258="Y",IF(COUNTA(K258,Q258,W258,AC258,AE258)=5,"done","in progress"),IF(I258="N","excluded",""))</f>
        <v/>
      </c>
      <c r="D258" s="11" t="s">
        <v>1248</v>
      </c>
      <c r="E258" s="12" t="s">
        <v>90</v>
      </c>
      <c r="F258" s="13" t="s">
        <v>1249</v>
      </c>
      <c r="G258" s="11" t="s">
        <v>136</v>
      </c>
      <c r="H258" s="11"/>
      <c r="I258" s="14"/>
      <c r="J258" s="14"/>
      <c r="K258" s="14"/>
      <c r="L258" s="15"/>
      <c r="M258" s="14"/>
      <c r="N258" s="15"/>
      <c r="O258" s="14"/>
      <c r="P258" s="15"/>
      <c r="Q258" s="14"/>
      <c r="R258" s="15"/>
      <c r="S258" s="14"/>
      <c r="T258" s="15"/>
      <c r="U258" s="14"/>
      <c r="V258" s="15"/>
      <c r="W258" s="14"/>
      <c r="X258" s="15"/>
      <c r="Y258" s="14"/>
      <c r="Z258" s="15"/>
      <c r="AA258" s="14"/>
      <c r="AB258" s="15"/>
      <c r="AC258" s="14"/>
      <c r="AD258" s="15"/>
      <c r="AE258" s="14"/>
      <c r="AF258" s="15"/>
      <c r="AG258" s="15"/>
      <c r="AH258" s="15"/>
      <c r="AI258" s="14"/>
      <c r="AJ258" s="14"/>
      <c r="AK258" s="17"/>
    </row>
    <row r="259" customFormat="false" ht="42.75" hidden="false" customHeight="true" outlineLevel="0" collapsed="false">
      <c r="A259" s="11" t="n">
        <v>257</v>
      </c>
      <c r="B259" s="11" t="str">
        <f aca="false">IF(I259="Y",IF(COUNTIF(I$3:I259,"Y")&lt;=20,"pilot",IF(COUNTIF(I$3:I259,"Y")&lt;=40,"dev",IF(COUNTIF(I$3:I259,"Y")&lt;=120,"test","extra"))),"")</f>
        <v/>
      </c>
      <c r="C259" s="11" t="str">
        <f aca="false">IF(I259="Y",IF(COUNTA(K259,Q259,W259,AC259,AE259)=5,"done","in progress"),IF(I259="N","excluded",""))</f>
        <v/>
      </c>
      <c r="D259" s="11" t="s">
        <v>1250</v>
      </c>
      <c r="E259" s="12" t="s">
        <v>90</v>
      </c>
      <c r="F259" s="13" t="s">
        <v>1251</v>
      </c>
      <c r="G259" s="11" t="s">
        <v>644</v>
      </c>
      <c r="H259" s="11"/>
      <c r="I259" s="14"/>
      <c r="J259" s="14"/>
      <c r="K259" s="14"/>
      <c r="L259" s="15"/>
      <c r="M259" s="14"/>
      <c r="N259" s="15"/>
      <c r="O259" s="14"/>
      <c r="P259" s="15"/>
      <c r="Q259" s="14"/>
      <c r="R259" s="15"/>
      <c r="S259" s="14"/>
      <c r="T259" s="15"/>
      <c r="U259" s="14"/>
      <c r="V259" s="15"/>
      <c r="W259" s="14"/>
      <c r="X259" s="15"/>
      <c r="Y259" s="14"/>
      <c r="Z259" s="15"/>
      <c r="AA259" s="14"/>
      <c r="AB259" s="15"/>
      <c r="AC259" s="14"/>
      <c r="AD259" s="15"/>
      <c r="AE259" s="14"/>
      <c r="AF259" s="15"/>
      <c r="AG259" s="15"/>
      <c r="AH259" s="15"/>
      <c r="AI259" s="14"/>
      <c r="AJ259" s="14"/>
      <c r="AK259" s="17"/>
    </row>
    <row r="260" customFormat="false" ht="57" hidden="false" customHeight="true" outlineLevel="0" collapsed="false">
      <c r="A260" s="11" t="n">
        <v>258</v>
      </c>
      <c r="B260" s="11" t="str">
        <f aca="false">IF(I260="Y",IF(COUNTIF(I$3:I260,"Y")&lt;=20,"pilot",IF(COUNTIF(I$3:I260,"Y")&lt;=40,"dev",IF(COUNTIF(I$3:I260,"Y")&lt;=120,"test","extra"))),"")</f>
        <v/>
      </c>
      <c r="C260" s="11" t="str">
        <f aca="false">IF(I260="Y",IF(COUNTA(K260,Q260,W260,AC260,AE260)=5,"done","in progress"),IF(I260="N","excluded",""))</f>
        <v/>
      </c>
      <c r="D260" s="11" t="s">
        <v>1252</v>
      </c>
      <c r="E260" s="12" t="s">
        <v>90</v>
      </c>
      <c r="F260" s="13" t="s">
        <v>1253</v>
      </c>
      <c r="G260" s="11" t="s">
        <v>1050</v>
      </c>
      <c r="H260" s="11"/>
      <c r="I260" s="14"/>
      <c r="J260" s="14"/>
      <c r="K260" s="14"/>
      <c r="L260" s="15"/>
      <c r="M260" s="14"/>
      <c r="N260" s="15"/>
      <c r="O260" s="14"/>
      <c r="P260" s="15"/>
      <c r="Q260" s="14"/>
      <c r="R260" s="15"/>
      <c r="S260" s="14"/>
      <c r="T260" s="15"/>
      <c r="U260" s="14"/>
      <c r="V260" s="15"/>
      <c r="W260" s="14"/>
      <c r="X260" s="15"/>
      <c r="Y260" s="14"/>
      <c r="Z260" s="15"/>
      <c r="AA260" s="14"/>
      <c r="AB260" s="15"/>
      <c r="AC260" s="14"/>
      <c r="AD260" s="15"/>
      <c r="AE260" s="14"/>
      <c r="AF260" s="15"/>
      <c r="AG260" s="15"/>
      <c r="AH260" s="15"/>
      <c r="AI260" s="14"/>
      <c r="AJ260" s="14"/>
      <c r="AK260" s="17"/>
    </row>
    <row r="261" customFormat="false" ht="42.75" hidden="false" customHeight="true" outlineLevel="0" collapsed="false">
      <c r="A261" s="11" t="n">
        <v>259</v>
      </c>
      <c r="B261" s="11" t="str">
        <f aca="false">IF(I261="Y",IF(COUNTIF(I$3:I261,"Y")&lt;=20,"pilot",IF(COUNTIF(I$3:I261,"Y")&lt;=40,"dev",IF(COUNTIF(I$3:I261,"Y")&lt;=120,"test","extra"))),"")</f>
        <v/>
      </c>
      <c r="C261" s="11" t="str">
        <f aca="false">IF(I261="Y",IF(COUNTA(K261,Q261,W261,AC261,AE261)=5,"done","in progress"),IF(I261="N","excluded",""))</f>
        <v/>
      </c>
      <c r="D261" s="11" t="s">
        <v>1254</v>
      </c>
      <c r="E261" s="12" t="s">
        <v>90</v>
      </c>
      <c r="F261" s="13" t="s">
        <v>1255</v>
      </c>
      <c r="G261" s="11" t="s">
        <v>806</v>
      </c>
      <c r="H261" s="11"/>
      <c r="I261" s="14"/>
      <c r="J261" s="14"/>
      <c r="K261" s="14"/>
      <c r="L261" s="15"/>
      <c r="M261" s="14"/>
      <c r="N261" s="15"/>
      <c r="O261" s="14"/>
      <c r="P261" s="15"/>
      <c r="Q261" s="14"/>
      <c r="R261" s="15"/>
      <c r="S261" s="14"/>
      <c r="T261" s="15"/>
      <c r="U261" s="14"/>
      <c r="V261" s="15"/>
      <c r="W261" s="14"/>
      <c r="X261" s="15"/>
      <c r="Y261" s="14"/>
      <c r="Z261" s="15"/>
      <c r="AA261" s="14"/>
      <c r="AB261" s="15"/>
      <c r="AC261" s="14"/>
      <c r="AD261" s="15"/>
      <c r="AE261" s="14"/>
      <c r="AF261" s="15"/>
      <c r="AG261" s="15"/>
      <c r="AH261" s="15"/>
      <c r="AI261" s="14"/>
      <c r="AJ261" s="14"/>
      <c r="AK261" s="17"/>
    </row>
    <row r="262" customFormat="false" ht="28.5" hidden="false" customHeight="true" outlineLevel="0" collapsed="false">
      <c r="A262" s="11" t="n">
        <v>260</v>
      </c>
      <c r="B262" s="11" t="str">
        <f aca="false">IF(I262="Y",IF(COUNTIF(I$3:I262,"Y")&lt;=20,"pilot",IF(COUNTIF(I$3:I262,"Y")&lt;=40,"dev",IF(COUNTIF(I$3:I262,"Y")&lt;=120,"test","extra"))),"")</f>
        <v/>
      </c>
      <c r="C262" s="11" t="str">
        <f aca="false">IF(I262="Y",IF(COUNTA(K262,Q262,W262,AC262,AE262)=5,"done","in progress"),IF(I262="N","excluded",""))</f>
        <v/>
      </c>
      <c r="D262" s="11" t="s">
        <v>1256</v>
      </c>
      <c r="E262" s="12" t="s">
        <v>90</v>
      </c>
      <c r="F262" s="13" t="s">
        <v>1257</v>
      </c>
      <c r="G262" s="11" t="s">
        <v>168</v>
      </c>
      <c r="H262" s="11"/>
      <c r="I262" s="14"/>
      <c r="J262" s="14"/>
      <c r="K262" s="14"/>
      <c r="L262" s="15"/>
      <c r="M262" s="14"/>
      <c r="N262" s="15"/>
      <c r="O262" s="14"/>
      <c r="P262" s="15"/>
      <c r="Q262" s="14"/>
      <c r="R262" s="15"/>
      <c r="S262" s="14"/>
      <c r="T262" s="15"/>
      <c r="U262" s="14"/>
      <c r="V262" s="15"/>
      <c r="W262" s="14"/>
      <c r="X262" s="15"/>
      <c r="Y262" s="14"/>
      <c r="Z262" s="15"/>
      <c r="AA262" s="14"/>
      <c r="AB262" s="15"/>
      <c r="AC262" s="14"/>
      <c r="AD262" s="15"/>
      <c r="AE262" s="14"/>
      <c r="AF262" s="15"/>
      <c r="AG262" s="15"/>
      <c r="AH262" s="15"/>
      <c r="AI262" s="14"/>
      <c r="AJ262" s="14"/>
      <c r="AK262" s="17"/>
    </row>
    <row r="263" customFormat="false" ht="28.5" hidden="false" customHeight="true" outlineLevel="0" collapsed="false">
      <c r="A263" s="11" t="n">
        <v>261</v>
      </c>
      <c r="B263" s="11" t="str">
        <f aca="false">IF(I263="Y",IF(COUNTIF(I$3:I263,"Y")&lt;=20,"pilot",IF(COUNTIF(I$3:I263,"Y")&lt;=40,"dev",IF(COUNTIF(I$3:I263,"Y")&lt;=120,"test","extra"))),"")</f>
        <v/>
      </c>
      <c r="C263" s="11" t="str">
        <f aca="false">IF(I263="Y",IF(COUNTA(K263,Q263,W263,AC263,AE263)=5,"done","in progress"),IF(I263="N","excluded",""))</f>
        <v/>
      </c>
      <c r="D263" s="11" t="s">
        <v>1258</v>
      </c>
      <c r="E263" s="12" t="s">
        <v>90</v>
      </c>
      <c r="F263" s="13" t="s">
        <v>1259</v>
      </c>
      <c r="G263" s="11" t="s">
        <v>118</v>
      </c>
      <c r="H263" s="11"/>
      <c r="I263" s="14"/>
      <c r="J263" s="14"/>
      <c r="K263" s="14"/>
      <c r="L263" s="15"/>
      <c r="M263" s="14"/>
      <c r="N263" s="15"/>
      <c r="O263" s="14"/>
      <c r="P263" s="15"/>
      <c r="Q263" s="14"/>
      <c r="R263" s="15"/>
      <c r="S263" s="14"/>
      <c r="T263" s="15"/>
      <c r="U263" s="14"/>
      <c r="V263" s="15"/>
      <c r="W263" s="14"/>
      <c r="X263" s="15"/>
      <c r="Y263" s="14"/>
      <c r="Z263" s="15"/>
      <c r="AA263" s="14"/>
      <c r="AB263" s="15"/>
      <c r="AC263" s="14"/>
      <c r="AD263" s="15"/>
      <c r="AE263" s="14"/>
      <c r="AF263" s="15"/>
      <c r="AG263" s="15"/>
      <c r="AH263" s="15"/>
      <c r="AI263" s="14"/>
      <c r="AJ263" s="14"/>
      <c r="AK263" s="17"/>
    </row>
    <row r="264" customFormat="false" ht="28.5" hidden="false" customHeight="true" outlineLevel="0" collapsed="false">
      <c r="A264" s="11" t="n">
        <v>262</v>
      </c>
      <c r="B264" s="11" t="str">
        <f aca="false">IF(I264="Y",IF(COUNTIF(I$3:I264,"Y")&lt;=20,"pilot",IF(COUNTIF(I$3:I264,"Y")&lt;=40,"dev",IF(COUNTIF(I$3:I264,"Y")&lt;=120,"test","extra"))),"")</f>
        <v/>
      </c>
      <c r="C264" s="11" t="str">
        <f aca="false">IF(I264="Y",IF(COUNTA(K264,Q264,W264,AC264,AE264)=5,"done","in progress"),IF(I264="N","excluded",""))</f>
        <v/>
      </c>
      <c r="D264" s="11" t="s">
        <v>1260</v>
      </c>
      <c r="E264" s="12" t="s">
        <v>90</v>
      </c>
      <c r="F264" s="13" t="s">
        <v>1261</v>
      </c>
      <c r="G264" s="11" t="s">
        <v>193</v>
      </c>
      <c r="H264" s="11"/>
      <c r="I264" s="14"/>
      <c r="J264" s="14"/>
      <c r="K264" s="14"/>
      <c r="L264" s="15"/>
      <c r="M264" s="14"/>
      <c r="N264" s="15"/>
      <c r="O264" s="14"/>
      <c r="P264" s="15"/>
      <c r="Q264" s="14"/>
      <c r="R264" s="15"/>
      <c r="S264" s="14"/>
      <c r="T264" s="15"/>
      <c r="U264" s="14"/>
      <c r="V264" s="15"/>
      <c r="W264" s="14"/>
      <c r="X264" s="15"/>
      <c r="Y264" s="14"/>
      <c r="Z264" s="15"/>
      <c r="AA264" s="14"/>
      <c r="AB264" s="15"/>
      <c r="AC264" s="14"/>
      <c r="AD264" s="15"/>
      <c r="AE264" s="14"/>
      <c r="AF264" s="15"/>
      <c r="AG264" s="15"/>
      <c r="AH264" s="15"/>
      <c r="AI264" s="14"/>
      <c r="AJ264" s="14"/>
      <c r="AK264" s="17"/>
    </row>
    <row r="265" customFormat="false" ht="57" hidden="false" customHeight="true" outlineLevel="0" collapsed="false">
      <c r="A265" s="11" t="n">
        <v>263</v>
      </c>
      <c r="B265" s="11" t="str">
        <f aca="false">IF(I265="Y",IF(COUNTIF(I$3:I265,"Y")&lt;=20,"pilot",IF(COUNTIF(I$3:I265,"Y")&lt;=40,"dev",IF(COUNTIF(I$3:I265,"Y")&lt;=120,"test","extra"))),"")</f>
        <v/>
      </c>
      <c r="C265" s="11" t="str">
        <f aca="false">IF(I265="Y",IF(COUNTA(K265,Q265,W265,AC265,AE265)=5,"done","in progress"),IF(I265="N","excluded",""))</f>
        <v/>
      </c>
      <c r="D265" s="11" t="s">
        <v>1262</v>
      </c>
      <c r="E265" s="12" t="s">
        <v>90</v>
      </c>
      <c r="F265" s="13" t="s">
        <v>1263</v>
      </c>
      <c r="G265" s="11" t="s">
        <v>125</v>
      </c>
      <c r="H265" s="11"/>
      <c r="I265" s="14"/>
      <c r="J265" s="14"/>
      <c r="K265" s="14"/>
      <c r="L265" s="15"/>
      <c r="M265" s="14"/>
      <c r="N265" s="15"/>
      <c r="O265" s="14"/>
      <c r="P265" s="15"/>
      <c r="Q265" s="14"/>
      <c r="R265" s="15"/>
      <c r="S265" s="14"/>
      <c r="T265" s="15"/>
      <c r="U265" s="14"/>
      <c r="V265" s="15"/>
      <c r="W265" s="14"/>
      <c r="X265" s="15"/>
      <c r="Y265" s="14"/>
      <c r="Z265" s="15"/>
      <c r="AA265" s="14"/>
      <c r="AB265" s="15"/>
      <c r="AC265" s="14"/>
      <c r="AD265" s="15"/>
      <c r="AE265" s="14"/>
      <c r="AF265" s="15"/>
      <c r="AG265" s="15"/>
      <c r="AH265" s="15"/>
      <c r="AI265" s="14"/>
      <c r="AJ265" s="14"/>
      <c r="AK265" s="17"/>
    </row>
    <row r="266" customFormat="false" ht="28.5" hidden="false" customHeight="true" outlineLevel="0" collapsed="false">
      <c r="A266" s="11" t="n">
        <v>264</v>
      </c>
      <c r="B266" s="11" t="str">
        <f aca="false">IF(I266="Y",IF(COUNTIF(I$3:I266,"Y")&lt;=20,"pilot",IF(COUNTIF(I$3:I266,"Y")&lt;=40,"dev",IF(COUNTIF(I$3:I266,"Y")&lt;=120,"test","extra"))),"")</f>
        <v/>
      </c>
      <c r="C266" s="11" t="str">
        <f aca="false">IF(I266="Y",IF(COUNTA(K266,Q266,W266,AC266,AE266)=5,"done","in progress"),IF(I266="N","excluded",""))</f>
        <v/>
      </c>
      <c r="D266" s="11" t="s">
        <v>1264</v>
      </c>
      <c r="E266" s="12" t="s">
        <v>90</v>
      </c>
      <c r="F266" s="13" t="s">
        <v>1265</v>
      </c>
      <c r="G266" s="11" t="s">
        <v>999</v>
      </c>
      <c r="H266" s="11"/>
      <c r="I266" s="14"/>
      <c r="J266" s="14"/>
      <c r="K266" s="14"/>
      <c r="L266" s="15"/>
      <c r="M266" s="14"/>
      <c r="N266" s="15"/>
      <c r="O266" s="14"/>
      <c r="P266" s="15"/>
      <c r="Q266" s="14"/>
      <c r="R266" s="15"/>
      <c r="S266" s="14"/>
      <c r="T266" s="15"/>
      <c r="U266" s="14"/>
      <c r="V266" s="15"/>
      <c r="W266" s="14"/>
      <c r="X266" s="15"/>
      <c r="Y266" s="14"/>
      <c r="Z266" s="15"/>
      <c r="AA266" s="14"/>
      <c r="AB266" s="15"/>
      <c r="AC266" s="14"/>
      <c r="AD266" s="15"/>
      <c r="AE266" s="14"/>
      <c r="AF266" s="15"/>
      <c r="AG266" s="15"/>
      <c r="AH266" s="15"/>
      <c r="AI266" s="14"/>
      <c r="AJ266" s="14"/>
      <c r="AK266" s="17"/>
    </row>
    <row r="267" customFormat="false" ht="42.75" hidden="false" customHeight="true" outlineLevel="0" collapsed="false">
      <c r="A267" s="11" t="n">
        <v>265</v>
      </c>
      <c r="B267" s="11" t="str">
        <f aca="false">IF(I267="Y",IF(COUNTIF(I$3:I267,"Y")&lt;=20,"pilot",IF(COUNTIF(I$3:I267,"Y")&lt;=40,"dev",IF(COUNTIF(I$3:I267,"Y")&lt;=120,"test","extra"))),"")</f>
        <v/>
      </c>
      <c r="C267" s="11" t="str">
        <f aca="false">IF(I267="Y",IF(COUNTA(K267,Q267,W267,AC267,AE267)=5,"done","in progress"),IF(I267="N","excluded",""))</f>
        <v/>
      </c>
      <c r="D267" s="11" t="s">
        <v>1266</v>
      </c>
      <c r="E267" s="12" t="s">
        <v>90</v>
      </c>
      <c r="F267" s="13" t="s">
        <v>1267</v>
      </c>
      <c r="G267" s="11" t="s">
        <v>1034</v>
      </c>
      <c r="H267" s="11"/>
      <c r="I267" s="14"/>
      <c r="J267" s="14"/>
      <c r="K267" s="14"/>
      <c r="L267" s="15"/>
      <c r="M267" s="14"/>
      <c r="N267" s="15"/>
      <c r="O267" s="14"/>
      <c r="P267" s="15"/>
      <c r="Q267" s="14"/>
      <c r="R267" s="15"/>
      <c r="S267" s="14"/>
      <c r="T267" s="15"/>
      <c r="U267" s="14"/>
      <c r="V267" s="15"/>
      <c r="W267" s="14"/>
      <c r="X267" s="15"/>
      <c r="Y267" s="14"/>
      <c r="Z267" s="15"/>
      <c r="AA267" s="14"/>
      <c r="AB267" s="15"/>
      <c r="AC267" s="14"/>
      <c r="AD267" s="15"/>
      <c r="AE267" s="14"/>
      <c r="AF267" s="15"/>
      <c r="AG267" s="15"/>
      <c r="AH267" s="15"/>
      <c r="AI267" s="14"/>
      <c r="AJ267" s="14"/>
      <c r="AK267" s="17"/>
    </row>
    <row r="268" customFormat="false" ht="28.5" hidden="false" customHeight="true" outlineLevel="0" collapsed="false">
      <c r="A268" s="11" t="n">
        <v>266</v>
      </c>
      <c r="B268" s="11" t="str">
        <f aca="false">IF(I268="Y",IF(COUNTIF(I$3:I268,"Y")&lt;=20,"pilot",IF(COUNTIF(I$3:I268,"Y")&lt;=40,"dev",IF(COUNTIF(I$3:I268,"Y")&lt;=120,"test","extra"))),"")</f>
        <v/>
      </c>
      <c r="C268" s="11" t="str">
        <f aca="false">IF(I268="Y",IF(COUNTA(K268,Q268,W268,AC268,AE268)=5,"done","in progress"),IF(I268="N","excluded",""))</f>
        <v/>
      </c>
      <c r="D268" s="11" t="s">
        <v>1268</v>
      </c>
      <c r="E268" s="12" t="s">
        <v>90</v>
      </c>
      <c r="F268" s="13" t="s">
        <v>1269</v>
      </c>
      <c r="G268" s="11" t="s">
        <v>168</v>
      </c>
      <c r="H268" s="11"/>
      <c r="I268" s="14"/>
      <c r="J268" s="14"/>
      <c r="K268" s="14"/>
      <c r="L268" s="15"/>
      <c r="M268" s="14"/>
      <c r="N268" s="15"/>
      <c r="O268" s="14"/>
      <c r="P268" s="15"/>
      <c r="Q268" s="14"/>
      <c r="R268" s="15"/>
      <c r="S268" s="14"/>
      <c r="T268" s="15"/>
      <c r="U268" s="14"/>
      <c r="V268" s="15"/>
      <c r="W268" s="14"/>
      <c r="X268" s="15"/>
      <c r="Y268" s="14"/>
      <c r="Z268" s="15"/>
      <c r="AA268" s="14"/>
      <c r="AB268" s="15"/>
      <c r="AC268" s="14"/>
      <c r="AD268" s="15"/>
      <c r="AE268" s="14"/>
      <c r="AF268" s="15"/>
      <c r="AG268" s="15"/>
      <c r="AH268" s="15"/>
      <c r="AI268" s="14"/>
      <c r="AJ268" s="14"/>
      <c r="AK268" s="17"/>
    </row>
    <row r="269" customFormat="false" ht="28.5" hidden="false" customHeight="true" outlineLevel="0" collapsed="false">
      <c r="A269" s="11" t="n">
        <v>267</v>
      </c>
      <c r="B269" s="11" t="str">
        <f aca="false">IF(I269="Y",IF(COUNTIF(I$3:I269,"Y")&lt;=20,"pilot",IF(COUNTIF(I$3:I269,"Y")&lt;=40,"dev",IF(COUNTIF(I$3:I269,"Y")&lt;=120,"test","extra"))),"")</f>
        <v/>
      </c>
      <c r="C269" s="11" t="str">
        <f aca="false">IF(I269="Y",IF(COUNTA(K269,Q269,W269,AC269,AE269)=5,"done","in progress"),IF(I269="N","excluded",""))</f>
        <v/>
      </c>
      <c r="D269" s="11" t="s">
        <v>1270</v>
      </c>
      <c r="E269" s="12" t="s">
        <v>90</v>
      </c>
      <c r="F269" s="13" t="s">
        <v>1271</v>
      </c>
      <c r="G269" s="11" t="s">
        <v>630</v>
      </c>
      <c r="H269" s="11"/>
      <c r="I269" s="14"/>
      <c r="J269" s="14"/>
      <c r="K269" s="14"/>
      <c r="L269" s="15"/>
      <c r="M269" s="14"/>
      <c r="N269" s="15"/>
      <c r="O269" s="14"/>
      <c r="P269" s="15"/>
      <c r="Q269" s="14"/>
      <c r="R269" s="15"/>
      <c r="S269" s="14"/>
      <c r="T269" s="15"/>
      <c r="U269" s="14"/>
      <c r="V269" s="15"/>
      <c r="W269" s="14"/>
      <c r="X269" s="15"/>
      <c r="Y269" s="14"/>
      <c r="Z269" s="15"/>
      <c r="AA269" s="14"/>
      <c r="AB269" s="15"/>
      <c r="AC269" s="14"/>
      <c r="AD269" s="15"/>
      <c r="AE269" s="14"/>
      <c r="AF269" s="15"/>
      <c r="AG269" s="15"/>
      <c r="AH269" s="15"/>
      <c r="AI269" s="14"/>
      <c r="AJ269" s="14"/>
      <c r="AK269" s="17"/>
    </row>
    <row r="270" customFormat="false" ht="42.75" hidden="false" customHeight="true" outlineLevel="0" collapsed="false">
      <c r="A270" s="11" t="n">
        <v>268</v>
      </c>
      <c r="B270" s="11" t="str">
        <f aca="false">IF(I270="Y",IF(COUNTIF(I$3:I270,"Y")&lt;=20,"pilot",IF(COUNTIF(I$3:I270,"Y")&lt;=40,"dev",IF(COUNTIF(I$3:I270,"Y")&lt;=120,"test","extra"))),"")</f>
        <v/>
      </c>
      <c r="C270" s="11" t="str">
        <f aca="false">IF(I270="Y",IF(COUNTA(K270,Q270,W270,AC270,AE270)=5,"done","in progress"),IF(I270="N","excluded",""))</f>
        <v/>
      </c>
      <c r="D270" s="11" t="s">
        <v>1272</v>
      </c>
      <c r="E270" s="12" t="s">
        <v>90</v>
      </c>
      <c r="F270" s="13" t="s">
        <v>1273</v>
      </c>
      <c r="G270" s="11" t="s">
        <v>220</v>
      </c>
      <c r="H270" s="11"/>
      <c r="I270" s="14"/>
      <c r="J270" s="14"/>
      <c r="K270" s="14"/>
      <c r="L270" s="15"/>
      <c r="M270" s="14"/>
      <c r="N270" s="15"/>
      <c r="O270" s="14"/>
      <c r="P270" s="15"/>
      <c r="Q270" s="14"/>
      <c r="R270" s="15"/>
      <c r="S270" s="14"/>
      <c r="T270" s="15"/>
      <c r="U270" s="14"/>
      <c r="V270" s="15"/>
      <c r="W270" s="14"/>
      <c r="X270" s="15"/>
      <c r="Y270" s="14"/>
      <c r="Z270" s="15"/>
      <c r="AA270" s="14"/>
      <c r="AB270" s="15"/>
      <c r="AC270" s="14"/>
      <c r="AD270" s="15"/>
      <c r="AE270" s="14"/>
      <c r="AF270" s="15"/>
      <c r="AG270" s="15"/>
      <c r="AH270" s="15"/>
      <c r="AI270" s="14"/>
      <c r="AJ270" s="14"/>
      <c r="AK270" s="17"/>
    </row>
    <row r="271" customFormat="false" ht="42.75" hidden="false" customHeight="true" outlineLevel="0" collapsed="false">
      <c r="A271" s="11" t="n">
        <v>269</v>
      </c>
      <c r="B271" s="11" t="str">
        <f aca="false">IF(I271="Y",IF(COUNTIF(I$3:I271,"Y")&lt;=20,"pilot",IF(COUNTIF(I$3:I271,"Y")&lt;=40,"dev",IF(COUNTIF(I$3:I271,"Y")&lt;=120,"test","extra"))),"")</f>
        <v/>
      </c>
      <c r="C271" s="11" t="str">
        <f aca="false">IF(I271="Y",IF(COUNTA(K271,Q271,W271,AC271,AE271)=5,"done","in progress"),IF(I271="N","excluded",""))</f>
        <v/>
      </c>
      <c r="D271" s="11" t="s">
        <v>1274</v>
      </c>
      <c r="E271" s="12" t="s">
        <v>90</v>
      </c>
      <c r="F271" s="13" t="s">
        <v>1275</v>
      </c>
      <c r="G271" s="11" t="s">
        <v>1276</v>
      </c>
      <c r="H271" s="11"/>
      <c r="I271" s="14"/>
      <c r="J271" s="14"/>
      <c r="K271" s="14"/>
      <c r="L271" s="15"/>
      <c r="M271" s="14"/>
      <c r="N271" s="15"/>
      <c r="O271" s="14"/>
      <c r="P271" s="15"/>
      <c r="Q271" s="14"/>
      <c r="R271" s="15"/>
      <c r="S271" s="14"/>
      <c r="T271" s="15"/>
      <c r="U271" s="14"/>
      <c r="V271" s="15"/>
      <c r="W271" s="14"/>
      <c r="X271" s="15"/>
      <c r="Y271" s="14"/>
      <c r="Z271" s="15"/>
      <c r="AA271" s="14"/>
      <c r="AB271" s="15"/>
      <c r="AC271" s="14"/>
      <c r="AD271" s="15"/>
      <c r="AE271" s="14"/>
      <c r="AF271" s="15"/>
      <c r="AG271" s="15"/>
      <c r="AH271" s="15"/>
      <c r="AI271" s="14"/>
      <c r="AJ271" s="14"/>
      <c r="AK271" s="17"/>
    </row>
    <row r="272" customFormat="false" ht="42.75" hidden="false" customHeight="true" outlineLevel="0" collapsed="false">
      <c r="A272" s="11" t="n">
        <v>270</v>
      </c>
      <c r="B272" s="11" t="str">
        <f aca="false">IF(I272="Y",IF(COUNTIF(I$3:I272,"Y")&lt;=20,"pilot",IF(COUNTIF(I$3:I272,"Y")&lt;=40,"dev",IF(COUNTIF(I$3:I272,"Y")&lt;=120,"test","extra"))),"")</f>
        <v/>
      </c>
      <c r="C272" s="11" t="str">
        <f aca="false">IF(I272="Y",IF(COUNTA(K272,Q272,W272,AC272,AE272)=5,"done","in progress"),IF(I272="N","excluded",""))</f>
        <v/>
      </c>
      <c r="D272" s="11" t="s">
        <v>1277</v>
      </c>
      <c r="E272" s="12" t="s">
        <v>90</v>
      </c>
      <c r="F272" s="13" t="s">
        <v>1278</v>
      </c>
      <c r="G272" s="11" t="s">
        <v>978</v>
      </c>
      <c r="H272" s="11"/>
      <c r="I272" s="14"/>
      <c r="J272" s="14"/>
      <c r="K272" s="14"/>
      <c r="L272" s="15"/>
      <c r="M272" s="14"/>
      <c r="N272" s="15"/>
      <c r="O272" s="14"/>
      <c r="P272" s="15"/>
      <c r="Q272" s="14"/>
      <c r="R272" s="15"/>
      <c r="S272" s="14"/>
      <c r="T272" s="15"/>
      <c r="U272" s="14"/>
      <c r="V272" s="15"/>
      <c r="W272" s="14"/>
      <c r="X272" s="15"/>
      <c r="Y272" s="14"/>
      <c r="Z272" s="15"/>
      <c r="AA272" s="14"/>
      <c r="AB272" s="15"/>
      <c r="AC272" s="14"/>
      <c r="AD272" s="15"/>
      <c r="AE272" s="14"/>
      <c r="AF272" s="15"/>
      <c r="AG272" s="15"/>
      <c r="AH272" s="15"/>
      <c r="AI272" s="14"/>
      <c r="AJ272" s="14"/>
      <c r="AK272" s="17"/>
    </row>
    <row r="273" customFormat="false" ht="42.75" hidden="false" customHeight="true" outlineLevel="0" collapsed="false">
      <c r="A273" s="11" t="n">
        <v>271</v>
      </c>
      <c r="B273" s="11" t="str">
        <f aca="false">IF(I273="Y",IF(COUNTIF(I$3:I273,"Y")&lt;=20,"pilot",IF(COUNTIF(I$3:I273,"Y")&lt;=40,"dev",IF(COUNTIF(I$3:I273,"Y")&lt;=120,"test","extra"))),"")</f>
        <v/>
      </c>
      <c r="C273" s="11" t="str">
        <f aca="false">IF(I273="Y",IF(COUNTA(K273,Q273,W273,AC273,AE273)=5,"done","in progress"),IF(I273="N","excluded",""))</f>
        <v/>
      </c>
      <c r="D273" s="11" t="s">
        <v>1279</v>
      </c>
      <c r="E273" s="12" t="s">
        <v>90</v>
      </c>
      <c r="F273" s="13" t="s">
        <v>1280</v>
      </c>
      <c r="G273" s="11" t="s">
        <v>1281</v>
      </c>
      <c r="H273" s="11"/>
      <c r="I273" s="14"/>
      <c r="J273" s="14"/>
      <c r="K273" s="14"/>
      <c r="L273" s="15"/>
      <c r="M273" s="14"/>
      <c r="N273" s="15"/>
      <c r="O273" s="14"/>
      <c r="P273" s="15"/>
      <c r="Q273" s="14"/>
      <c r="R273" s="15"/>
      <c r="S273" s="14"/>
      <c r="T273" s="15"/>
      <c r="U273" s="14"/>
      <c r="V273" s="15"/>
      <c r="W273" s="14"/>
      <c r="X273" s="15"/>
      <c r="Y273" s="14"/>
      <c r="Z273" s="15"/>
      <c r="AA273" s="14"/>
      <c r="AB273" s="15"/>
      <c r="AC273" s="14"/>
      <c r="AD273" s="15"/>
      <c r="AE273" s="14"/>
      <c r="AF273" s="15"/>
      <c r="AG273" s="15"/>
      <c r="AH273" s="15"/>
      <c r="AI273" s="14"/>
      <c r="AJ273" s="14"/>
      <c r="AK273" s="17"/>
    </row>
    <row r="274" customFormat="false" ht="42.75" hidden="false" customHeight="true" outlineLevel="0" collapsed="false">
      <c r="A274" s="11" t="n">
        <v>272</v>
      </c>
      <c r="B274" s="11" t="str">
        <f aca="false">IF(I274="Y",IF(COUNTIF(I$3:I274,"Y")&lt;=20,"pilot",IF(COUNTIF(I$3:I274,"Y")&lt;=40,"dev",IF(COUNTIF(I$3:I274,"Y")&lt;=120,"test","extra"))),"")</f>
        <v/>
      </c>
      <c r="C274" s="11" t="str">
        <f aca="false">IF(I274="Y",IF(COUNTA(K274,Q274,W274,AC274,AE274)=5,"done","in progress"),IF(I274="N","excluded",""))</f>
        <v/>
      </c>
      <c r="D274" s="11" t="s">
        <v>1282</v>
      </c>
      <c r="E274" s="12" t="s">
        <v>90</v>
      </c>
      <c r="F274" s="13" t="s">
        <v>1283</v>
      </c>
      <c r="G274" s="11" t="s">
        <v>92</v>
      </c>
      <c r="H274" s="11"/>
      <c r="I274" s="14"/>
      <c r="J274" s="14"/>
      <c r="K274" s="14"/>
      <c r="L274" s="15"/>
      <c r="M274" s="14"/>
      <c r="N274" s="15"/>
      <c r="O274" s="14"/>
      <c r="P274" s="15"/>
      <c r="Q274" s="14"/>
      <c r="R274" s="15"/>
      <c r="S274" s="14"/>
      <c r="T274" s="15"/>
      <c r="U274" s="14"/>
      <c r="V274" s="15"/>
      <c r="W274" s="14"/>
      <c r="X274" s="15"/>
      <c r="Y274" s="14"/>
      <c r="Z274" s="15"/>
      <c r="AA274" s="14"/>
      <c r="AB274" s="15"/>
      <c r="AC274" s="14"/>
      <c r="AD274" s="15"/>
      <c r="AE274" s="14"/>
      <c r="AF274" s="15"/>
      <c r="AG274" s="15"/>
      <c r="AH274" s="15"/>
      <c r="AI274" s="14"/>
      <c r="AJ274" s="14"/>
      <c r="AK274" s="17"/>
    </row>
    <row r="275" customFormat="false" ht="57" hidden="false" customHeight="true" outlineLevel="0" collapsed="false">
      <c r="A275" s="11" t="n">
        <v>273</v>
      </c>
      <c r="B275" s="11" t="str">
        <f aca="false">IF(I275="Y",IF(COUNTIF(I$3:I275,"Y")&lt;=20,"pilot",IF(COUNTIF(I$3:I275,"Y")&lt;=40,"dev",IF(COUNTIF(I$3:I275,"Y")&lt;=120,"test","extra"))),"")</f>
        <v/>
      </c>
      <c r="C275" s="11" t="str">
        <f aca="false">IF(I275="Y",IF(COUNTA(K275,Q275,W275,AC275,AE275)=5,"done","in progress"),IF(I275="N","excluded",""))</f>
        <v/>
      </c>
      <c r="D275" s="11" t="s">
        <v>1284</v>
      </c>
      <c r="E275" s="12" t="s">
        <v>90</v>
      </c>
      <c r="F275" s="13" t="s">
        <v>1285</v>
      </c>
      <c r="G275" s="11" t="s">
        <v>410</v>
      </c>
      <c r="H275" s="11" t="s">
        <v>1286</v>
      </c>
      <c r="I275" s="14"/>
      <c r="J275" s="14"/>
      <c r="K275" s="14"/>
      <c r="L275" s="15"/>
      <c r="M275" s="14"/>
      <c r="N275" s="15"/>
      <c r="O275" s="14"/>
      <c r="P275" s="15"/>
      <c r="Q275" s="14"/>
      <c r="R275" s="15"/>
      <c r="S275" s="14"/>
      <c r="T275" s="15"/>
      <c r="U275" s="14"/>
      <c r="V275" s="15"/>
      <c r="W275" s="14"/>
      <c r="X275" s="15"/>
      <c r="Y275" s="14"/>
      <c r="Z275" s="15"/>
      <c r="AA275" s="14"/>
      <c r="AB275" s="15"/>
      <c r="AC275" s="14"/>
      <c r="AD275" s="15"/>
      <c r="AE275" s="14"/>
      <c r="AF275" s="15"/>
      <c r="AG275" s="15"/>
      <c r="AH275" s="15"/>
      <c r="AI275" s="14"/>
      <c r="AJ275" s="14"/>
      <c r="AK275" s="17"/>
    </row>
    <row r="276" customFormat="false" ht="42.75" hidden="false" customHeight="true" outlineLevel="0" collapsed="false">
      <c r="A276" s="11" t="n">
        <v>274</v>
      </c>
      <c r="B276" s="11" t="str">
        <f aca="false">IF(I276="Y",IF(COUNTIF(I$3:I276,"Y")&lt;=20,"pilot",IF(COUNTIF(I$3:I276,"Y")&lt;=40,"dev",IF(COUNTIF(I$3:I276,"Y")&lt;=120,"test","extra"))),"")</f>
        <v/>
      </c>
      <c r="C276" s="11" t="str">
        <f aca="false">IF(I276="Y",IF(COUNTA(K276,Q276,W276,AC276,AE276)=5,"done","in progress"),IF(I276="N","excluded",""))</f>
        <v/>
      </c>
      <c r="D276" s="11" t="s">
        <v>1287</v>
      </c>
      <c r="E276" s="12" t="s">
        <v>90</v>
      </c>
      <c r="F276" s="13" t="s">
        <v>1288</v>
      </c>
      <c r="G276" s="11" t="s">
        <v>824</v>
      </c>
      <c r="H276" s="11"/>
      <c r="I276" s="14"/>
      <c r="J276" s="14"/>
      <c r="K276" s="14"/>
      <c r="L276" s="15"/>
      <c r="M276" s="14"/>
      <c r="N276" s="15"/>
      <c r="O276" s="14"/>
      <c r="P276" s="15"/>
      <c r="Q276" s="14"/>
      <c r="R276" s="15"/>
      <c r="S276" s="14"/>
      <c r="T276" s="15"/>
      <c r="U276" s="14"/>
      <c r="V276" s="15"/>
      <c r="W276" s="14"/>
      <c r="X276" s="15"/>
      <c r="Y276" s="14"/>
      <c r="Z276" s="15"/>
      <c r="AA276" s="14"/>
      <c r="AB276" s="15"/>
      <c r="AC276" s="14"/>
      <c r="AD276" s="15"/>
      <c r="AE276" s="14"/>
      <c r="AF276" s="15"/>
      <c r="AG276" s="15"/>
      <c r="AH276" s="15"/>
      <c r="AI276" s="14"/>
      <c r="AJ276" s="14"/>
      <c r="AK276" s="17"/>
    </row>
    <row r="277" customFormat="false" ht="28.5" hidden="false" customHeight="true" outlineLevel="0" collapsed="false">
      <c r="A277" s="11" t="n">
        <v>275</v>
      </c>
      <c r="B277" s="11" t="str">
        <f aca="false">IF(I277="Y",IF(COUNTIF(I$3:I277,"Y")&lt;=20,"pilot",IF(COUNTIF(I$3:I277,"Y")&lt;=40,"dev",IF(COUNTIF(I$3:I277,"Y")&lt;=120,"test","extra"))),"")</f>
        <v/>
      </c>
      <c r="C277" s="11" t="str">
        <f aca="false">IF(I277="Y",IF(COUNTA(K277,Q277,W277,AC277,AE277)=5,"done","in progress"),IF(I277="N","excluded",""))</f>
        <v/>
      </c>
      <c r="D277" s="11" t="s">
        <v>1289</v>
      </c>
      <c r="E277" s="12" t="s">
        <v>90</v>
      </c>
      <c r="F277" s="13" t="s">
        <v>1290</v>
      </c>
      <c r="G277" s="11" t="s">
        <v>322</v>
      </c>
      <c r="H277" s="11"/>
      <c r="I277" s="14"/>
      <c r="J277" s="14"/>
      <c r="K277" s="14"/>
      <c r="L277" s="15"/>
      <c r="M277" s="14"/>
      <c r="N277" s="15"/>
      <c r="O277" s="14"/>
      <c r="P277" s="15"/>
      <c r="Q277" s="14"/>
      <c r="R277" s="15"/>
      <c r="S277" s="14"/>
      <c r="T277" s="15"/>
      <c r="U277" s="14"/>
      <c r="V277" s="15"/>
      <c r="W277" s="14"/>
      <c r="X277" s="15"/>
      <c r="Y277" s="14"/>
      <c r="Z277" s="15"/>
      <c r="AA277" s="14"/>
      <c r="AB277" s="15"/>
      <c r="AC277" s="14"/>
      <c r="AD277" s="15"/>
      <c r="AE277" s="14"/>
      <c r="AF277" s="15"/>
      <c r="AG277" s="15"/>
      <c r="AH277" s="15"/>
      <c r="AI277" s="14"/>
      <c r="AJ277" s="14"/>
      <c r="AK277" s="17"/>
    </row>
    <row r="278" customFormat="false" ht="42.75" hidden="false" customHeight="true" outlineLevel="0" collapsed="false">
      <c r="A278" s="11" t="n">
        <v>276</v>
      </c>
      <c r="B278" s="11" t="str">
        <f aca="false">IF(I278="Y",IF(COUNTIF(I$3:I278,"Y")&lt;=20,"pilot",IF(COUNTIF(I$3:I278,"Y")&lt;=40,"dev",IF(COUNTIF(I$3:I278,"Y")&lt;=120,"test","extra"))),"")</f>
        <v/>
      </c>
      <c r="C278" s="11" t="str">
        <f aca="false">IF(I278="Y",IF(COUNTA(K278,Q278,W278,AC278,AE278)=5,"done","in progress"),IF(I278="N","excluded",""))</f>
        <v/>
      </c>
      <c r="D278" s="11" t="s">
        <v>1291</v>
      </c>
      <c r="E278" s="12" t="s">
        <v>90</v>
      </c>
      <c r="F278" s="13" t="s">
        <v>1292</v>
      </c>
      <c r="G278" s="11" t="s">
        <v>168</v>
      </c>
      <c r="H278" s="11"/>
      <c r="I278" s="14"/>
      <c r="J278" s="14"/>
      <c r="K278" s="14"/>
      <c r="L278" s="15"/>
      <c r="M278" s="14"/>
      <c r="N278" s="15"/>
      <c r="O278" s="14"/>
      <c r="P278" s="15"/>
      <c r="Q278" s="14"/>
      <c r="R278" s="15"/>
      <c r="S278" s="14"/>
      <c r="T278" s="15"/>
      <c r="U278" s="14"/>
      <c r="V278" s="15"/>
      <c r="W278" s="14"/>
      <c r="X278" s="15"/>
      <c r="Y278" s="14"/>
      <c r="Z278" s="15"/>
      <c r="AA278" s="14"/>
      <c r="AB278" s="15"/>
      <c r="AC278" s="14"/>
      <c r="AD278" s="15"/>
      <c r="AE278" s="14"/>
      <c r="AF278" s="15"/>
      <c r="AG278" s="15"/>
      <c r="AH278" s="15"/>
      <c r="AI278" s="14"/>
      <c r="AJ278" s="14"/>
      <c r="AK278" s="17"/>
    </row>
    <row r="279" customFormat="false" ht="42.75" hidden="false" customHeight="true" outlineLevel="0" collapsed="false">
      <c r="A279" s="11" t="n">
        <v>277</v>
      </c>
      <c r="B279" s="11" t="str">
        <f aca="false">IF(I279="Y",IF(COUNTIF(I$3:I279,"Y")&lt;=20,"pilot",IF(COUNTIF(I$3:I279,"Y")&lt;=40,"dev",IF(COUNTIF(I$3:I279,"Y")&lt;=120,"test","extra"))),"")</f>
        <v/>
      </c>
      <c r="C279" s="11" t="str">
        <f aca="false">IF(I279="Y",IF(COUNTA(K279,Q279,W279,AC279,AE279)=5,"done","in progress"),IF(I279="N","excluded",""))</f>
        <v/>
      </c>
      <c r="D279" s="11" t="s">
        <v>1293</v>
      </c>
      <c r="E279" s="12" t="s">
        <v>90</v>
      </c>
      <c r="F279" s="13" t="s">
        <v>1294</v>
      </c>
      <c r="G279" s="11" t="s">
        <v>644</v>
      </c>
      <c r="H279" s="11"/>
      <c r="I279" s="14"/>
      <c r="J279" s="14"/>
      <c r="K279" s="14"/>
      <c r="L279" s="15"/>
      <c r="M279" s="14"/>
      <c r="N279" s="15"/>
      <c r="O279" s="14"/>
      <c r="P279" s="15"/>
      <c r="Q279" s="14"/>
      <c r="R279" s="15"/>
      <c r="S279" s="14"/>
      <c r="T279" s="15"/>
      <c r="U279" s="14"/>
      <c r="V279" s="15"/>
      <c r="W279" s="14"/>
      <c r="X279" s="15"/>
      <c r="Y279" s="14"/>
      <c r="Z279" s="15"/>
      <c r="AA279" s="14"/>
      <c r="AB279" s="15"/>
      <c r="AC279" s="14"/>
      <c r="AD279" s="15"/>
      <c r="AE279" s="14"/>
      <c r="AF279" s="15"/>
      <c r="AG279" s="15"/>
      <c r="AH279" s="15"/>
      <c r="AI279" s="14"/>
      <c r="AJ279" s="14"/>
      <c r="AK279" s="17"/>
    </row>
    <row r="280" customFormat="false" ht="42.75" hidden="false" customHeight="true" outlineLevel="0" collapsed="false">
      <c r="A280" s="11" t="n">
        <v>278</v>
      </c>
      <c r="B280" s="11" t="str">
        <f aca="false">IF(I280="Y",IF(COUNTIF(I$3:I280,"Y")&lt;=20,"pilot",IF(COUNTIF(I$3:I280,"Y")&lt;=40,"dev",IF(COUNTIF(I$3:I280,"Y")&lt;=120,"test","extra"))),"")</f>
        <v/>
      </c>
      <c r="C280" s="11" t="str">
        <f aca="false">IF(I280="Y",IF(COUNTA(K280,Q280,W280,AC280,AE280)=5,"done","in progress"),IF(I280="N","excluded",""))</f>
        <v/>
      </c>
      <c r="D280" s="11" t="s">
        <v>1295</v>
      </c>
      <c r="E280" s="12" t="s">
        <v>90</v>
      </c>
      <c r="F280" s="13" t="s">
        <v>1296</v>
      </c>
      <c r="G280" s="11" t="s">
        <v>1281</v>
      </c>
      <c r="H280" s="11"/>
      <c r="I280" s="14"/>
      <c r="J280" s="14"/>
      <c r="K280" s="14"/>
      <c r="L280" s="15"/>
      <c r="M280" s="14"/>
      <c r="N280" s="15"/>
      <c r="O280" s="14"/>
      <c r="P280" s="15"/>
      <c r="Q280" s="14"/>
      <c r="R280" s="15"/>
      <c r="S280" s="14"/>
      <c r="T280" s="15"/>
      <c r="U280" s="14"/>
      <c r="V280" s="15"/>
      <c r="W280" s="14"/>
      <c r="X280" s="15"/>
      <c r="Y280" s="14"/>
      <c r="Z280" s="15"/>
      <c r="AA280" s="14"/>
      <c r="AB280" s="15"/>
      <c r="AC280" s="14"/>
      <c r="AD280" s="15"/>
      <c r="AE280" s="14"/>
      <c r="AF280" s="15"/>
      <c r="AG280" s="15"/>
      <c r="AH280" s="15"/>
      <c r="AI280" s="14"/>
      <c r="AJ280" s="14"/>
      <c r="AK280" s="17"/>
    </row>
    <row r="281" customFormat="false" ht="42.75" hidden="false" customHeight="true" outlineLevel="0" collapsed="false">
      <c r="A281" s="11" t="n">
        <v>279</v>
      </c>
      <c r="B281" s="11" t="str">
        <f aca="false">IF(I281="Y",IF(COUNTIF(I$3:I281,"Y")&lt;=20,"pilot",IF(COUNTIF(I$3:I281,"Y")&lt;=40,"dev",IF(COUNTIF(I$3:I281,"Y")&lt;=120,"test","extra"))),"")</f>
        <v/>
      </c>
      <c r="C281" s="11" t="str">
        <f aca="false">IF(I281="Y",IF(COUNTA(K281,Q281,W281,AC281,AE281)=5,"done","in progress"),IF(I281="N","excluded",""))</f>
        <v/>
      </c>
      <c r="D281" s="11" t="s">
        <v>1297</v>
      </c>
      <c r="E281" s="12" t="s">
        <v>90</v>
      </c>
      <c r="F281" s="13" t="s">
        <v>1298</v>
      </c>
      <c r="G281" s="11" t="s">
        <v>306</v>
      </c>
      <c r="H281" s="11"/>
      <c r="I281" s="14"/>
      <c r="J281" s="14"/>
      <c r="K281" s="14"/>
      <c r="L281" s="15"/>
      <c r="M281" s="14"/>
      <c r="N281" s="15"/>
      <c r="O281" s="14"/>
      <c r="P281" s="15"/>
      <c r="Q281" s="14"/>
      <c r="R281" s="15"/>
      <c r="S281" s="14"/>
      <c r="T281" s="15"/>
      <c r="U281" s="14"/>
      <c r="V281" s="15"/>
      <c r="W281" s="14"/>
      <c r="X281" s="15"/>
      <c r="Y281" s="14"/>
      <c r="Z281" s="15"/>
      <c r="AA281" s="14"/>
      <c r="AB281" s="15"/>
      <c r="AC281" s="14"/>
      <c r="AD281" s="15"/>
      <c r="AE281" s="14"/>
      <c r="AF281" s="15"/>
      <c r="AG281" s="15"/>
      <c r="AH281" s="15"/>
      <c r="AI281" s="14"/>
      <c r="AJ281" s="14"/>
      <c r="AK281" s="17"/>
    </row>
    <row r="282" customFormat="false" ht="42.75" hidden="false" customHeight="true" outlineLevel="0" collapsed="false">
      <c r="A282" s="11" t="n">
        <v>280</v>
      </c>
      <c r="B282" s="11" t="str">
        <f aca="false">IF(I282="Y",IF(COUNTIF(I$3:I282,"Y")&lt;=20,"pilot",IF(COUNTIF(I$3:I282,"Y")&lt;=40,"dev",IF(COUNTIF(I$3:I282,"Y")&lt;=120,"test","extra"))),"")</f>
        <v/>
      </c>
      <c r="C282" s="11" t="str">
        <f aca="false">IF(I282="Y",IF(COUNTA(K282,Q282,W282,AC282,AE282)=5,"done","in progress"),IF(I282="N","excluded",""))</f>
        <v/>
      </c>
      <c r="D282" s="11" t="s">
        <v>1299</v>
      </c>
      <c r="E282" s="12" t="s">
        <v>90</v>
      </c>
      <c r="F282" s="13" t="s">
        <v>1300</v>
      </c>
      <c r="G282" s="11" t="s">
        <v>1159</v>
      </c>
      <c r="H282" s="11"/>
      <c r="I282" s="14"/>
      <c r="J282" s="14"/>
      <c r="K282" s="14"/>
      <c r="L282" s="15"/>
      <c r="M282" s="14"/>
      <c r="N282" s="15"/>
      <c r="O282" s="14"/>
      <c r="P282" s="15"/>
      <c r="Q282" s="14"/>
      <c r="R282" s="15"/>
      <c r="S282" s="14"/>
      <c r="T282" s="15"/>
      <c r="U282" s="14"/>
      <c r="V282" s="15"/>
      <c r="W282" s="14"/>
      <c r="X282" s="15"/>
      <c r="Y282" s="14"/>
      <c r="Z282" s="15"/>
      <c r="AA282" s="14"/>
      <c r="AB282" s="15"/>
      <c r="AC282" s="14"/>
      <c r="AD282" s="15"/>
      <c r="AE282" s="14"/>
      <c r="AF282" s="15"/>
      <c r="AG282" s="15"/>
      <c r="AH282" s="15"/>
      <c r="AI282" s="14"/>
      <c r="AJ282" s="14"/>
      <c r="AK282" s="17"/>
    </row>
    <row r="283" customFormat="false" ht="42.75" hidden="false" customHeight="true" outlineLevel="0" collapsed="false">
      <c r="A283" s="11" t="n">
        <v>281</v>
      </c>
      <c r="B283" s="11" t="str">
        <f aca="false">IF(I283="Y",IF(COUNTIF(I$3:I283,"Y")&lt;=20,"pilot",IF(COUNTIF(I$3:I283,"Y")&lt;=40,"dev",IF(COUNTIF(I$3:I283,"Y")&lt;=120,"test","extra"))),"")</f>
        <v/>
      </c>
      <c r="C283" s="11" t="str">
        <f aca="false">IF(I283="Y",IF(COUNTA(K283,Q283,W283,AC283,AE283)=5,"done","in progress"),IF(I283="N","excluded",""))</f>
        <v/>
      </c>
      <c r="D283" s="11" t="s">
        <v>1301</v>
      </c>
      <c r="E283" s="12" t="s">
        <v>90</v>
      </c>
      <c r="F283" s="13" t="s">
        <v>1302</v>
      </c>
      <c r="G283" s="11" t="s">
        <v>205</v>
      </c>
      <c r="H283" s="11"/>
      <c r="I283" s="14"/>
      <c r="J283" s="14"/>
      <c r="K283" s="14"/>
      <c r="L283" s="15"/>
      <c r="M283" s="14"/>
      <c r="N283" s="15"/>
      <c r="O283" s="14"/>
      <c r="P283" s="15"/>
      <c r="Q283" s="14"/>
      <c r="R283" s="15"/>
      <c r="S283" s="14"/>
      <c r="T283" s="15"/>
      <c r="U283" s="14"/>
      <c r="V283" s="15"/>
      <c r="W283" s="14"/>
      <c r="X283" s="15"/>
      <c r="Y283" s="14"/>
      <c r="Z283" s="15"/>
      <c r="AA283" s="14"/>
      <c r="AB283" s="15"/>
      <c r="AC283" s="14"/>
      <c r="AD283" s="15"/>
      <c r="AE283" s="14"/>
      <c r="AF283" s="15"/>
      <c r="AG283" s="15"/>
      <c r="AH283" s="15"/>
      <c r="AI283" s="14"/>
      <c r="AJ283" s="14"/>
      <c r="AK283" s="17"/>
    </row>
    <row r="284" customFormat="false" ht="42.75" hidden="false" customHeight="true" outlineLevel="0" collapsed="false">
      <c r="A284" s="11" t="n">
        <v>282</v>
      </c>
      <c r="B284" s="11" t="str">
        <f aca="false">IF(I284="Y",IF(COUNTIF(I$3:I284,"Y")&lt;=20,"pilot",IF(COUNTIF(I$3:I284,"Y")&lt;=40,"dev",IF(COUNTIF(I$3:I284,"Y")&lt;=120,"test","extra"))),"")</f>
        <v/>
      </c>
      <c r="C284" s="11" t="str">
        <f aca="false">IF(I284="Y",IF(COUNTA(K284,Q284,W284,AC284,AE284)=5,"done","in progress"),IF(I284="N","excluded",""))</f>
        <v/>
      </c>
      <c r="D284" s="11" t="s">
        <v>1303</v>
      </c>
      <c r="E284" s="12" t="s">
        <v>90</v>
      </c>
      <c r="F284" s="13" t="s">
        <v>1304</v>
      </c>
      <c r="G284" s="11" t="s">
        <v>1305</v>
      </c>
      <c r="H284" s="11"/>
      <c r="I284" s="14"/>
      <c r="J284" s="14"/>
      <c r="K284" s="14"/>
      <c r="L284" s="15"/>
      <c r="M284" s="14"/>
      <c r="N284" s="15"/>
      <c r="O284" s="14"/>
      <c r="P284" s="15"/>
      <c r="Q284" s="14"/>
      <c r="R284" s="15"/>
      <c r="S284" s="14"/>
      <c r="T284" s="15"/>
      <c r="U284" s="14"/>
      <c r="V284" s="15"/>
      <c r="W284" s="14"/>
      <c r="X284" s="15"/>
      <c r="Y284" s="14"/>
      <c r="Z284" s="15"/>
      <c r="AA284" s="14"/>
      <c r="AB284" s="15"/>
      <c r="AC284" s="14"/>
      <c r="AD284" s="15"/>
      <c r="AE284" s="14"/>
      <c r="AF284" s="15"/>
      <c r="AG284" s="15"/>
      <c r="AH284" s="15"/>
      <c r="AI284" s="14"/>
      <c r="AJ284" s="14"/>
      <c r="AK284" s="17"/>
    </row>
    <row r="285" customFormat="false" ht="42.75" hidden="false" customHeight="true" outlineLevel="0" collapsed="false">
      <c r="A285" s="11" t="n">
        <v>283</v>
      </c>
      <c r="B285" s="11" t="str">
        <f aca="false">IF(I285="Y",IF(COUNTIF(I$3:I285,"Y")&lt;=20,"pilot",IF(COUNTIF(I$3:I285,"Y")&lt;=40,"dev",IF(COUNTIF(I$3:I285,"Y")&lt;=120,"test","extra"))),"")</f>
        <v/>
      </c>
      <c r="C285" s="11" t="str">
        <f aca="false">IF(I285="Y",IF(COUNTA(K285,Q285,W285,AC285,AE285)=5,"done","in progress"),IF(I285="N","excluded",""))</f>
        <v/>
      </c>
      <c r="D285" s="11" t="s">
        <v>1306</v>
      </c>
      <c r="E285" s="12" t="s">
        <v>90</v>
      </c>
      <c r="F285" s="13" t="s">
        <v>1307</v>
      </c>
      <c r="G285" s="11" t="s">
        <v>476</v>
      </c>
      <c r="H285" s="11"/>
      <c r="I285" s="14"/>
      <c r="J285" s="14"/>
      <c r="K285" s="14"/>
      <c r="L285" s="15"/>
      <c r="M285" s="14"/>
      <c r="N285" s="15"/>
      <c r="O285" s="14"/>
      <c r="P285" s="15"/>
      <c r="Q285" s="14"/>
      <c r="R285" s="15"/>
      <c r="S285" s="14"/>
      <c r="T285" s="15"/>
      <c r="U285" s="14"/>
      <c r="V285" s="15"/>
      <c r="W285" s="14"/>
      <c r="X285" s="15"/>
      <c r="Y285" s="14"/>
      <c r="Z285" s="15"/>
      <c r="AA285" s="14"/>
      <c r="AB285" s="15"/>
      <c r="AC285" s="14"/>
      <c r="AD285" s="15"/>
      <c r="AE285" s="14"/>
      <c r="AF285" s="15"/>
      <c r="AG285" s="15"/>
      <c r="AH285" s="15"/>
      <c r="AI285" s="14"/>
      <c r="AJ285" s="14"/>
      <c r="AK285" s="17"/>
    </row>
    <row r="286" customFormat="false" ht="42.75" hidden="false" customHeight="true" outlineLevel="0" collapsed="false">
      <c r="A286" s="11" t="n">
        <v>284</v>
      </c>
      <c r="B286" s="11" t="str">
        <f aca="false">IF(I286="Y",IF(COUNTIF(I$3:I286,"Y")&lt;=20,"pilot",IF(COUNTIF(I$3:I286,"Y")&lt;=40,"dev",IF(COUNTIF(I$3:I286,"Y")&lt;=120,"test","extra"))),"")</f>
        <v/>
      </c>
      <c r="C286" s="11" t="str">
        <f aca="false">IF(I286="Y",IF(COUNTA(K286,Q286,W286,AC286,AE286)=5,"done","in progress"),IF(I286="N","excluded",""))</f>
        <v/>
      </c>
      <c r="D286" s="11" t="s">
        <v>1308</v>
      </c>
      <c r="E286" s="12" t="s">
        <v>90</v>
      </c>
      <c r="F286" s="13" t="s">
        <v>1309</v>
      </c>
      <c r="G286" s="11" t="s">
        <v>118</v>
      </c>
      <c r="H286" s="11"/>
      <c r="I286" s="14"/>
      <c r="J286" s="14"/>
      <c r="K286" s="14"/>
      <c r="L286" s="15"/>
      <c r="M286" s="14"/>
      <c r="N286" s="15"/>
      <c r="O286" s="14"/>
      <c r="P286" s="15"/>
      <c r="Q286" s="14"/>
      <c r="R286" s="15"/>
      <c r="S286" s="14"/>
      <c r="T286" s="15"/>
      <c r="U286" s="14"/>
      <c r="V286" s="15"/>
      <c r="W286" s="14"/>
      <c r="X286" s="15"/>
      <c r="Y286" s="14"/>
      <c r="Z286" s="15"/>
      <c r="AA286" s="14"/>
      <c r="AB286" s="15"/>
      <c r="AC286" s="14"/>
      <c r="AD286" s="15"/>
      <c r="AE286" s="14"/>
      <c r="AF286" s="15"/>
      <c r="AG286" s="15"/>
      <c r="AH286" s="15"/>
      <c r="AI286" s="14"/>
      <c r="AJ286" s="14"/>
      <c r="AK286" s="17"/>
    </row>
    <row r="287" customFormat="false" ht="42.75" hidden="false" customHeight="true" outlineLevel="0" collapsed="false">
      <c r="A287" s="11" t="n">
        <v>285</v>
      </c>
      <c r="B287" s="11" t="str">
        <f aca="false">IF(I287="Y",IF(COUNTIF(I$3:I287,"Y")&lt;=20,"pilot",IF(COUNTIF(I$3:I287,"Y")&lt;=40,"dev",IF(COUNTIF(I$3:I287,"Y")&lt;=120,"test","extra"))),"")</f>
        <v/>
      </c>
      <c r="C287" s="11" t="str">
        <f aca="false">IF(I287="Y",IF(COUNTA(K287,Q287,W287,AC287,AE287)=5,"done","in progress"),IF(I287="N","excluded",""))</f>
        <v/>
      </c>
      <c r="D287" s="11" t="s">
        <v>1310</v>
      </c>
      <c r="E287" s="12" t="s">
        <v>90</v>
      </c>
      <c r="F287" s="13" t="s">
        <v>1311</v>
      </c>
      <c r="G287" s="11" t="s">
        <v>508</v>
      </c>
      <c r="H287" s="11"/>
      <c r="I287" s="14"/>
      <c r="J287" s="14"/>
      <c r="K287" s="14"/>
      <c r="L287" s="15"/>
      <c r="M287" s="14"/>
      <c r="N287" s="15"/>
      <c r="O287" s="14"/>
      <c r="P287" s="15"/>
      <c r="Q287" s="14"/>
      <c r="R287" s="15"/>
      <c r="S287" s="14"/>
      <c r="T287" s="15"/>
      <c r="U287" s="14"/>
      <c r="V287" s="15"/>
      <c r="W287" s="14"/>
      <c r="X287" s="15"/>
      <c r="Y287" s="14"/>
      <c r="Z287" s="15"/>
      <c r="AA287" s="14"/>
      <c r="AB287" s="15"/>
      <c r="AC287" s="14"/>
      <c r="AD287" s="15"/>
      <c r="AE287" s="14"/>
      <c r="AF287" s="15"/>
      <c r="AG287" s="15"/>
      <c r="AH287" s="15"/>
      <c r="AI287" s="14"/>
      <c r="AJ287" s="14"/>
      <c r="AK287" s="17"/>
    </row>
    <row r="288" customFormat="false" ht="42.75" hidden="false" customHeight="true" outlineLevel="0" collapsed="false">
      <c r="A288" s="11" t="n">
        <v>286</v>
      </c>
      <c r="B288" s="11" t="str">
        <f aca="false">IF(I288="Y",IF(COUNTIF(I$3:I288,"Y")&lt;=20,"pilot",IF(COUNTIF(I$3:I288,"Y")&lt;=40,"dev",IF(COUNTIF(I$3:I288,"Y")&lt;=120,"test","extra"))),"")</f>
        <v/>
      </c>
      <c r="C288" s="11" t="str">
        <f aca="false">IF(I288="Y",IF(COUNTA(K288,Q288,W288,AC288,AE288)=5,"done","in progress"),IF(I288="N","excluded",""))</f>
        <v/>
      </c>
      <c r="D288" s="11" t="s">
        <v>1312</v>
      </c>
      <c r="E288" s="12" t="s">
        <v>90</v>
      </c>
      <c r="F288" s="13" t="s">
        <v>1313</v>
      </c>
      <c r="G288" s="11" t="s">
        <v>168</v>
      </c>
      <c r="H288" s="11"/>
      <c r="I288" s="14"/>
      <c r="J288" s="14"/>
      <c r="K288" s="14"/>
      <c r="L288" s="15"/>
      <c r="M288" s="14"/>
      <c r="N288" s="15"/>
      <c r="O288" s="14"/>
      <c r="P288" s="15"/>
      <c r="Q288" s="14"/>
      <c r="R288" s="15"/>
      <c r="S288" s="14"/>
      <c r="T288" s="15"/>
      <c r="U288" s="14"/>
      <c r="V288" s="15"/>
      <c r="W288" s="14"/>
      <c r="X288" s="15"/>
      <c r="Y288" s="14"/>
      <c r="Z288" s="15"/>
      <c r="AA288" s="14"/>
      <c r="AB288" s="15"/>
      <c r="AC288" s="14"/>
      <c r="AD288" s="15"/>
      <c r="AE288" s="14"/>
      <c r="AF288" s="15"/>
      <c r="AG288" s="15"/>
      <c r="AH288" s="15"/>
      <c r="AI288" s="14"/>
      <c r="AJ288" s="14"/>
      <c r="AK288" s="17"/>
    </row>
    <row r="289" customFormat="false" ht="42.75" hidden="false" customHeight="true" outlineLevel="0" collapsed="false">
      <c r="A289" s="11" t="n">
        <v>287</v>
      </c>
      <c r="B289" s="11" t="str">
        <f aca="false">IF(I289="Y",IF(COUNTIF(I$3:I289,"Y")&lt;=20,"pilot",IF(COUNTIF(I$3:I289,"Y")&lt;=40,"dev",IF(COUNTIF(I$3:I289,"Y")&lt;=120,"test","extra"))),"")</f>
        <v/>
      </c>
      <c r="C289" s="11" t="str">
        <f aca="false">IF(I289="Y",IF(COUNTA(K289,Q289,W289,AC289,AE289)=5,"done","in progress"),IF(I289="N","excluded",""))</f>
        <v/>
      </c>
      <c r="D289" s="11" t="s">
        <v>1314</v>
      </c>
      <c r="E289" s="12" t="s">
        <v>90</v>
      </c>
      <c r="F289" s="13" t="s">
        <v>1315</v>
      </c>
      <c r="G289" s="11" t="s">
        <v>145</v>
      </c>
      <c r="H289" s="11"/>
      <c r="I289" s="14"/>
      <c r="J289" s="14"/>
      <c r="K289" s="14"/>
      <c r="L289" s="15"/>
      <c r="M289" s="14"/>
      <c r="N289" s="15"/>
      <c r="O289" s="14"/>
      <c r="P289" s="15"/>
      <c r="Q289" s="14"/>
      <c r="R289" s="15"/>
      <c r="S289" s="14"/>
      <c r="T289" s="15"/>
      <c r="U289" s="14"/>
      <c r="V289" s="15"/>
      <c r="W289" s="14"/>
      <c r="X289" s="15"/>
      <c r="Y289" s="14"/>
      <c r="Z289" s="15"/>
      <c r="AA289" s="14"/>
      <c r="AB289" s="15"/>
      <c r="AC289" s="14"/>
      <c r="AD289" s="15"/>
      <c r="AE289" s="14"/>
      <c r="AF289" s="15"/>
      <c r="AG289" s="15"/>
      <c r="AH289" s="15"/>
      <c r="AI289" s="14"/>
      <c r="AJ289" s="14"/>
      <c r="AK289" s="17"/>
    </row>
    <row r="290" customFormat="false" ht="28.5" hidden="false" customHeight="true" outlineLevel="0" collapsed="false">
      <c r="A290" s="11" t="n">
        <v>288</v>
      </c>
      <c r="B290" s="11" t="str">
        <f aca="false">IF(I290="Y",IF(COUNTIF(I$3:I290,"Y")&lt;=20,"pilot",IF(COUNTIF(I$3:I290,"Y")&lt;=40,"dev",IF(COUNTIF(I$3:I290,"Y")&lt;=120,"test","extra"))),"")</f>
        <v/>
      </c>
      <c r="C290" s="11" t="str">
        <f aca="false">IF(I290="Y",IF(COUNTA(K290,Q290,W290,AC290,AE290)=5,"done","in progress"),IF(I290="N","excluded",""))</f>
        <v/>
      </c>
      <c r="D290" s="11" t="s">
        <v>1316</v>
      </c>
      <c r="E290" s="12" t="s">
        <v>90</v>
      </c>
      <c r="F290" s="13" t="s">
        <v>1317</v>
      </c>
      <c r="G290" s="11" t="s">
        <v>235</v>
      </c>
      <c r="H290" s="11"/>
      <c r="I290" s="14"/>
      <c r="J290" s="14"/>
      <c r="K290" s="14"/>
      <c r="L290" s="15"/>
      <c r="M290" s="14"/>
      <c r="N290" s="15"/>
      <c r="O290" s="14"/>
      <c r="P290" s="15"/>
      <c r="Q290" s="14"/>
      <c r="R290" s="15"/>
      <c r="S290" s="14"/>
      <c r="T290" s="15"/>
      <c r="U290" s="14"/>
      <c r="V290" s="15"/>
      <c r="W290" s="14"/>
      <c r="X290" s="15"/>
      <c r="Y290" s="14"/>
      <c r="Z290" s="15"/>
      <c r="AA290" s="14"/>
      <c r="AB290" s="15"/>
      <c r="AC290" s="14"/>
      <c r="AD290" s="15"/>
      <c r="AE290" s="14"/>
      <c r="AF290" s="15"/>
      <c r="AG290" s="15"/>
      <c r="AH290" s="15"/>
      <c r="AI290" s="14"/>
      <c r="AJ290" s="14"/>
      <c r="AK290" s="17"/>
    </row>
    <row r="291" customFormat="false" ht="57" hidden="false" customHeight="true" outlineLevel="0" collapsed="false">
      <c r="A291" s="11" t="n">
        <v>289</v>
      </c>
      <c r="B291" s="11" t="str">
        <f aca="false">IF(I291="Y",IF(COUNTIF(I$3:I291,"Y")&lt;=20,"pilot",IF(COUNTIF(I$3:I291,"Y")&lt;=40,"dev",IF(COUNTIF(I$3:I291,"Y")&lt;=120,"test","extra"))),"")</f>
        <v/>
      </c>
      <c r="C291" s="11" t="str">
        <f aca="false">IF(I291="Y",IF(COUNTA(K291,Q291,W291,AC291,AE291)=5,"done","in progress"),IF(I291="N","excluded",""))</f>
        <v/>
      </c>
      <c r="D291" s="11" t="s">
        <v>1318</v>
      </c>
      <c r="E291" s="12" t="s">
        <v>90</v>
      </c>
      <c r="F291" s="13" t="s">
        <v>1319</v>
      </c>
      <c r="G291" s="11" t="s">
        <v>205</v>
      </c>
      <c r="H291" s="11"/>
      <c r="I291" s="14"/>
      <c r="J291" s="14"/>
      <c r="K291" s="14"/>
      <c r="L291" s="15"/>
      <c r="M291" s="14"/>
      <c r="N291" s="15"/>
      <c r="O291" s="14"/>
      <c r="P291" s="15"/>
      <c r="Q291" s="14"/>
      <c r="R291" s="15"/>
      <c r="S291" s="14"/>
      <c r="T291" s="15"/>
      <c r="U291" s="14"/>
      <c r="V291" s="15"/>
      <c r="W291" s="14"/>
      <c r="X291" s="15"/>
      <c r="Y291" s="14"/>
      <c r="Z291" s="15"/>
      <c r="AA291" s="14"/>
      <c r="AB291" s="15"/>
      <c r="AC291" s="14"/>
      <c r="AD291" s="15"/>
      <c r="AE291" s="14"/>
      <c r="AF291" s="15"/>
      <c r="AG291" s="15"/>
      <c r="AH291" s="15"/>
      <c r="AI291" s="14"/>
      <c r="AJ291" s="14"/>
      <c r="AK291" s="17"/>
    </row>
    <row r="292" customFormat="false" ht="28.5" hidden="false" customHeight="true" outlineLevel="0" collapsed="false">
      <c r="A292" s="11" t="n">
        <v>290</v>
      </c>
      <c r="B292" s="11" t="str">
        <f aca="false">IF(I292="Y",IF(COUNTIF(I$3:I292,"Y")&lt;=20,"pilot",IF(COUNTIF(I$3:I292,"Y")&lt;=40,"dev",IF(COUNTIF(I$3:I292,"Y")&lt;=120,"test","extra"))),"")</f>
        <v/>
      </c>
      <c r="C292" s="11" t="str">
        <f aca="false">IF(I292="Y",IF(COUNTA(K292,Q292,W292,AC292,AE292)=5,"done","in progress"),IF(I292="N","excluded",""))</f>
        <v/>
      </c>
      <c r="D292" s="11" t="s">
        <v>1320</v>
      </c>
      <c r="E292" s="12" t="s">
        <v>90</v>
      </c>
      <c r="F292" s="13" t="s">
        <v>1321</v>
      </c>
      <c r="G292" s="11" t="s">
        <v>1322</v>
      </c>
      <c r="H292" s="11"/>
      <c r="I292" s="14"/>
      <c r="J292" s="14"/>
      <c r="K292" s="14"/>
      <c r="L292" s="15"/>
      <c r="M292" s="14"/>
      <c r="N292" s="15"/>
      <c r="O292" s="14"/>
      <c r="P292" s="15"/>
      <c r="Q292" s="14"/>
      <c r="R292" s="15"/>
      <c r="S292" s="14"/>
      <c r="T292" s="15"/>
      <c r="U292" s="14"/>
      <c r="V292" s="15"/>
      <c r="W292" s="14"/>
      <c r="X292" s="15"/>
      <c r="Y292" s="14"/>
      <c r="Z292" s="15"/>
      <c r="AA292" s="14"/>
      <c r="AB292" s="15"/>
      <c r="AC292" s="14"/>
      <c r="AD292" s="15"/>
      <c r="AE292" s="14"/>
      <c r="AF292" s="15"/>
      <c r="AG292" s="15"/>
      <c r="AH292" s="15"/>
      <c r="AI292" s="14"/>
      <c r="AJ292" s="14"/>
      <c r="AK292" s="17"/>
    </row>
    <row r="293" customFormat="false" ht="42.75" hidden="false" customHeight="true" outlineLevel="0" collapsed="false">
      <c r="A293" s="11" t="n">
        <v>291</v>
      </c>
      <c r="B293" s="11" t="str">
        <f aca="false">IF(I293="Y",IF(COUNTIF(I$3:I293,"Y")&lt;=20,"pilot",IF(COUNTIF(I$3:I293,"Y")&lt;=40,"dev",IF(COUNTIF(I$3:I293,"Y")&lt;=120,"test","extra"))),"")</f>
        <v/>
      </c>
      <c r="C293" s="11" t="str">
        <f aca="false">IF(I293="Y",IF(COUNTA(K293,Q293,W293,AC293,AE293)=5,"done","in progress"),IF(I293="N","excluded",""))</f>
        <v/>
      </c>
      <c r="D293" s="11" t="s">
        <v>1323</v>
      </c>
      <c r="E293" s="12" t="s">
        <v>90</v>
      </c>
      <c r="F293" s="13" t="s">
        <v>1324</v>
      </c>
      <c r="G293" s="11" t="s">
        <v>205</v>
      </c>
      <c r="H293" s="11"/>
      <c r="I293" s="14"/>
      <c r="J293" s="14"/>
      <c r="K293" s="14"/>
      <c r="L293" s="15"/>
      <c r="M293" s="14"/>
      <c r="N293" s="15"/>
      <c r="O293" s="14"/>
      <c r="P293" s="15"/>
      <c r="Q293" s="14"/>
      <c r="R293" s="15"/>
      <c r="S293" s="14"/>
      <c r="T293" s="15"/>
      <c r="U293" s="14"/>
      <c r="V293" s="15"/>
      <c r="W293" s="14"/>
      <c r="X293" s="15"/>
      <c r="Y293" s="14"/>
      <c r="Z293" s="15"/>
      <c r="AA293" s="14"/>
      <c r="AB293" s="15"/>
      <c r="AC293" s="14"/>
      <c r="AD293" s="15"/>
      <c r="AE293" s="14"/>
      <c r="AF293" s="15"/>
      <c r="AG293" s="15"/>
      <c r="AH293" s="15"/>
      <c r="AI293" s="14"/>
      <c r="AJ293" s="14"/>
      <c r="AK293" s="17"/>
    </row>
    <row r="294" customFormat="false" ht="42.75" hidden="false" customHeight="true" outlineLevel="0" collapsed="false">
      <c r="A294" s="11" t="n">
        <v>292</v>
      </c>
      <c r="B294" s="11" t="str">
        <f aca="false">IF(I294="Y",IF(COUNTIF(I$3:I294,"Y")&lt;=20,"pilot",IF(COUNTIF(I$3:I294,"Y")&lt;=40,"dev",IF(COUNTIF(I$3:I294,"Y")&lt;=120,"test","extra"))),"")</f>
        <v/>
      </c>
      <c r="C294" s="11" t="str">
        <f aca="false">IF(I294="Y",IF(COUNTA(K294,Q294,W294,AC294,AE294)=5,"done","in progress"),IF(I294="N","excluded",""))</f>
        <v/>
      </c>
      <c r="D294" s="11" t="s">
        <v>1325</v>
      </c>
      <c r="E294" s="12" t="s">
        <v>90</v>
      </c>
      <c r="F294" s="13" t="s">
        <v>1326</v>
      </c>
      <c r="G294" s="11" t="s">
        <v>92</v>
      </c>
      <c r="H294" s="11"/>
      <c r="I294" s="14"/>
      <c r="J294" s="14"/>
      <c r="K294" s="14"/>
      <c r="L294" s="15"/>
      <c r="M294" s="14"/>
      <c r="N294" s="15"/>
      <c r="O294" s="14"/>
      <c r="P294" s="15"/>
      <c r="Q294" s="14"/>
      <c r="R294" s="15"/>
      <c r="S294" s="14"/>
      <c r="T294" s="15"/>
      <c r="U294" s="14"/>
      <c r="V294" s="15"/>
      <c r="W294" s="14"/>
      <c r="X294" s="15"/>
      <c r="Y294" s="14"/>
      <c r="Z294" s="15"/>
      <c r="AA294" s="14"/>
      <c r="AB294" s="15"/>
      <c r="AC294" s="14"/>
      <c r="AD294" s="15"/>
      <c r="AE294" s="14"/>
      <c r="AF294" s="15"/>
      <c r="AG294" s="15"/>
      <c r="AH294" s="15"/>
      <c r="AI294" s="14"/>
      <c r="AJ294" s="14"/>
      <c r="AK294" s="17"/>
    </row>
    <row r="295" customFormat="false" ht="42.75" hidden="false" customHeight="true" outlineLevel="0" collapsed="false">
      <c r="A295" s="11" t="n">
        <v>293</v>
      </c>
      <c r="B295" s="11" t="str">
        <f aca="false">IF(I295="Y",IF(COUNTIF(I$3:I295,"Y")&lt;=20,"pilot",IF(COUNTIF(I$3:I295,"Y")&lt;=40,"dev",IF(COUNTIF(I$3:I295,"Y")&lt;=120,"test","extra"))),"")</f>
        <v/>
      </c>
      <c r="C295" s="11" t="str">
        <f aca="false">IF(I295="Y",IF(COUNTA(K295,Q295,W295,AC295,AE295)=5,"done","in progress"),IF(I295="N","excluded",""))</f>
        <v/>
      </c>
      <c r="D295" s="11" t="s">
        <v>1327</v>
      </c>
      <c r="E295" s="12" t="s">
        <v>90</v>
      </c>
      <c r="F295" s="13" t="s">
        <v>1328</v>
      </c>
      <c r="G295" s="11" t="s">
        <v>193</v>
      </c>
      <c r="H295" s="11"/>
      <c r="I295" s="14"/>
      <c r="J295" s="14"/>
      <c r="K295" s="14"/>
      <c r="L295" s="15"/>
      <c r="M295" s="14"/>
      <c r="N295" s="15"/>
      <c r="O295" s="14"/>
      <c r="P295" s="15"/>
      <c r="Q295" s="14"/>
      <c r="R295" s="15"/>
      <c r="S295" s="14"/>
      <c r="T295" s="15"/>
      <c r="U295" s="14"/>
      <c r="V295" s="15"/>
      <c r="W295" s="14"/>
      <c r="X295" s="15"/>
      <c r="Y295" s="14"/>
      <c r="Z295" s="15"/>
      <c r="AA295" s="14"/>
      <c r="AB295" s="15"/>
      <c r="AC295" s="14"/>
      <c r="AD295" s="15"/>
      <c r="AE295" s="14"/>
      <c r="AF295" s="15"/>
      <c r="AG295" s="15"/>
      <c r="AH295" s="15"/>
      <c r="AI295" s="14"/>
      <c r="AJ295" s="14"/>
      <c r="AK295" s="17"/>
    </row>
    <row r="296" customFormat="false" ht="71.25" hidden="false" customHeight="true" outlineLevel="0" collapsed="false">
      <c r="A296" s="11" t="n">
        <v>294</v>
      </c>
      <c r="B296" s="11" t="str">
        <f aca="false">IF(I296="Y",IF(COUNTIF(I$3:I296,"Y")&lt;=20,"pilot",IF(COUNTIF(I$3:I296,"Y")&lt;=40,"dev",IF(COUNTIF(I$3:I296,"Y")&lt;=120,"test","extra"))),"")</f>
        <v/>
      </c>
      <c r="C296" s="11" t="str">
        <f aca="false">IF(I296="Y",IF(COUNTA(K296,Q296,W296,AC296,AE296)=5,"done","in progress"),IF(I296="N","excluded",""))</f>
        <v/>
      </c>
      <c r="D296" s="11" t="s">
        <v>1329</v>
      </c>
      <c r="E296" s="12" t="s">
        <v>90</v>
      </c>
      <c r="F296" s="13" t="s">
        <v>1330</v>
      </c>
      <c r="G296" s="11" t="s">
        <v>168</v>
      </c>
      <c r="H296" s="11"/>
      <c r="I296" s="14"/>
      <c r="J296" s="14"/>
      <c r="K296" s="14"/>
      <c r="L296" s="15"/>
      <c r="M296" s="14"/>
      <c r="N296" s="15"/>
      <c r="O296" s="14"/>
      <c r="P296" s="15"/>
      <c r="Q296" s="14"/>
      <c r="R296" s="15"/>
      <c r="S296" s="14"/>
      <c r="T296" s="15"/>
      <c r="U296" s="14"/>
      <c r="V296" s="15"/>
      <c r="W296" s="14"/>
      <c r="X296" s="15"/>
      <c r="Y296" s="14"/>
      <c r="Z296" s="15"/>
      <c r="AA296" s="14"/>
      <c r="AB296" s="15"/>
      <c r="AC296" s="14"/>
      <c r="AD296" s="15"/>
      <c r="AE296" s="14"/>
      <c r="AF296" s="15"/>
      <c r="AG296" s="15"/>
      <c r="AH296" s="15"/>
      <c r="AI296" s="14"/>
      <c r="AJ296" s="14"/>
      <c r="AK296" s="17"/>
    </row>
    <row r="297" customFormat="false" ht="42.75" hidden="false" customHeight="true" outlineLevel="0" collapsed="false">
      <c r="A297" s="11" t="n">
        <v>295</v>
      </c>
      <c r="B297" s="11" t="str">
        <f aca="false">IF(I297="Y",IF(COUNTIF(I$3:I297,"Y")&lt;=20,"pilot",IF(COUNTIF(I$3:I297,"Y")&lt;=40,"dev",IF(COUNTIF(I$3:I297,"Y")&lt;=120,"test","extra"))),"")</f>
        <v/>
      </c>
      <c r="C297" s="11" t="str">
        <f aca="false">IF(I297="Y",IF(COUNTA(K297,Q297,W297,AC297,AE297)=5,"done","in progress"),IF(I297="N","excluded",""))</f>
        <v/>
      </c>
      <c r="D297" s="11" t="s">
        <v>1331</v>
      </c>
      <c r="E297" s="12" t="s">
        <v>90</v>
      </c>
      <c r="F297" s="13" t="s">
        <v>1332</v>
      </c>
      <c r="G297" s="11" t="s">
        <v>1333</v>
      </c>
      <c r="H297" s="11"/>
      <c r="I297" s="14"/>
      <c r="J297" s="14"/>
      <c r="K297" s="14"/>
      <c r="L297" s="15"/>
      <c r="M297" s="14"/>
      <c r="N297" s="15"/>
      <c r="O297" s="14"/>
      <c r="P297" s="15"/>
      <c r="Q297" s="14"/>
      <c r="R297" s="15"/>
      <c r="S297" s="14"/>
      <c r="T297" s="15"/>
      <c r="U297" s="14"/>
      <c r="V297" s="15"/>
      <c r="W297" s="14"/>
      <c r="X297" s="15"/>
      <c r="Y297" s="14"/>
      <c r="Z297" s="15"/>
      <c r="AA297" s="14"/>
      <c r="AB297" s="15"/>
      <c r="AC297" s="14"/>
      <c r="AD297" s="15"/>
      <c r="AE297" s="14"/>
      <c r="AF297" s="15"/>
      <c r="AG297" s="15"/>
      <c r="AH297" s="15"/>
      <c r="AI297" s="14"/>
      <c r="AJ297" s="14"/>
      <c r="AK297" s="17"/>
    </row>
    <row r="298" customFormat="false" ht="57" hidden="false" customHeight="true" outlineLevel="0" collapsed="false">
      <c r="A298" s="11" t="n">
        <v>296</v>
      </c>
      <c r="B298" s="11" t="str">
        <f aca="false">IF(I298="Y",IF(COUNTIF(I$3:I298,"Y")&lt;=20,"pilot",IF(COUNTIF(I$3:I298,"Y")&lt;=40,"dev",IF(COUNTIF(I$3:I298,"Y")&lt;=120,"test","extra"))),"")</f>
        <v/>
      </c>
      <c r="C298" s="11" t="str">
        <f aca="false">IF(I298="Y",IF(COUNTA(K298,Q298,W298,AC298,AE298)=5,"done","in progress"),IF(I298="N","excluded",""))</f>
        <v/>
      </c>
      <c r="D298" s="11" t="s">
        <v>1334</v>
      </c>
      <c r="E298" s="12" t="s">
        <v>90</v>
      </c>
      <c r="F298" s="13" t="s">
        <v>1335</v>
      </c>
      <c r="G298" s="11" t="s">
        <v>92</v>
      </c>
      <c r="H298" s="11"/>
      <c r="I298" s="14"/>
      <c r="J298" s="14"/>
      <c r="K298" s="14"/>
      <c r="L298" s="15"/>
      <c r="M298" s="14"/>
      <c r="N298" s="15"/>
      <c r="O298" s="14"/>
      <c r="P298" s="15"/>
      <c r="Q298" s="14"/>
      <c r="R298" s="15"/>
      <c r="S298" s="14"/>
      <c r="T298" s="15"/>
      <c r="U298" s="14"/>
      <c r="V298" s="15"/>
      <c r="W298" s="14"/>
      <c r="X298" s="15"/>
      <c r="Y298" s="14"/>
      <c r="Z298" s="15"/>
      <c r="AA298" s="14"/>
      <c r="AB298" s="15"/>
      <c r="AC298" s="14"/>
      <c r="AD298" s="15"/>
      <c r="AE298" s="14"/>
      <c r="AF298" s="15"/>
      <c r="AG298" s="15"/>
      <c r="AH298" s="15"/>
      <c r="AI298" s="14"/>
      <c r="AJ298" s="14"/>
      <c r="AK298" s="17"/>
    </row>
    <row r="299" customFormat="false" ht="42.75" hidden="false" customHeight="true" outlineLevel="0" collapsed="false">
      <c r="A299" s="11" t="n">
        <v>297</v>
      </c>
      <c r="B299" s="11" t="str">
        <f aca="false">IF(I299="Y",IF(COUNTIF(I$3:I299,"Y")&lt;=20,"pilot",IF(COUNTIF(I$3:I299,"Y")&lt;=40,"dev",IF(COUNTIF(I$3:I299,"Y")&lt;=120,"test","extra"))),"")</f>
        <v/>
      </c>
      <c r="C299" s="11" t="str">
        <f aca="false">IF(I299="Y",IF(COUNTA(K299,Q299,W299,AC299,AE299)=5,"done","in progress"),IF(I299="N","excluded",""))</f>
        <v/>
      </c>
      <c r="D299" s="11" t="s">
        <v>1336</v>
      </c>
      <c r="E299" s="12" t="s">
        <v>90</v>
      </c>
      <c r="F299" s="13" t="s">
        <v>1337</v>
      </c>
      <c r="G299" s="11" t="s">
        <v>996</v>
      </c>
      <c r="H299" s="11"/>
      <c r="I299" s="14"/>
      <c r="J299" s="14"/>
      <c r="K299" s="14"/>
      <c r="L299" s="15"/>
      <c r="M299" s="14"/>
      <c r="N299" s="15"/>
      <c r="O299" s="14"/>
      <c r="P299" s="15"/>
      <c r="Q299" s="14"/>
      <c r="R299" s="15"/>
      <c r="S299" s="14"/>
      <c r="T299" s="15"/>
      <c r="U299" s="14"/>
      <c r="V299" s="15"/>
      <c r="W299" s="14"/>
      <c r="X299" s="15"/>
      <c r="Y299" s="14"/>
      <c r="Z299" s="15"/>
      <c r="AA299" s="14"/>
      <c r="AB299" s="15"/>
      <c r="AC299" s="14"/>
      <c r="AD299" s="15"/>
      <c r="AE299" s="14"/>
      <c r="AF299" s="15"/>
      <c r="AG299" s="15"/>
      <c r="AH299" s="15"/>
      <c r="AI299" s="14"/>
      <c r="AJ299" s="14"/>
      <c r="AK299" s="17"/>
    </row>
    <row r="300" customFormat="false" ht="42.75" hidden="false" customHeight="true" outlineLevel="0" collapsed="false">
      <c r="A300" s="11" t="n">
        <v>298</v>
      </c>
      <c r="B300" s="11" t="str">
        <f aca="false">IF(I300="Y",IF(COUNTIF(I$3:I300,"Y")&lt;=20,"pilot",IF(COUNTIF(I$3:I300,"Y")&lt;=40,"dev",IF(COUNTIF(I$3:I300,"Y")&lt;=120,"test","extra"))),"")</f>
        <v/>
      </c>
      <c r="C300" s="11" t="str">
        <f aca="false">IF(I300="Y",IF(COUNTA(K300,Q300,W300,AC300,AE300)=5,"done","in progress"),IF(I300="N","excluded",""))</f>
        <v/>
      </c>
      <c r="D300" s="11" t="s">
        <v>1338</v>
      </c>
      <c r="E300" s="12" t="s">
        <v>90</v>
      </c>
      <c r="F300" s="13" t="s">
        <v>1339</v>
      </c>
      <c r="G300" s="11" t="s">
        <v>193</v>
      </c>
      <c r="H300" s="11"/>
      <c r="I300" s="14"/>
      <c r="J300" s="14"/>
      <c r="K300" s="14"/>
      <c r="L300" s="15"/>
      <c r="M300" s="14"/>
      <c r="N300" s="15"/>
      <c r="O300" s="14"/>
      <c r="P300" s="15"/>
      <c r="Q300" s="14"/>
      <c r="R300" s="15"/>
      <c r="S300" s="14"/>
      <c r="T300" s="15"/>
      <c r="U300" s="14"/>
      <c r="V300" s="15"/>
      <c r="W300" s="14"/>
      <c r="X300" s="15"/>
      <c r="Y300" s="14"/>
      <c r="Z300" s="15"/>
      <c r="AA300" s="14"/>
      <c r="AB300" s="15"/>
      <c r="AC300" s="14"/>
      <c r="AD300" s="15"/>
      <c r="AE300" s="14"/>
      <c r="AF300" s="15"/>
      <c r="AG300" s="15"/>
      <c r="AH300" s="15"/>
      <c r="AI300" s="14"/>
      <c r="AJ300" s="14"/>
      <c r="AK300" s="17"/>
    </row>
    <row r="301" customFormat="false" ht="28.5" hidden="false" customHeight="true" outlineLevel="0" collapsed="false">
      <c r="A301" s="11" t="n">
        <v>299</v>
      </c>
      <c r="B301" s="11" t="str">
        <f aca="false">IF(I301="Y",IF(COUNTIF(I$3:I301,"Y")&lt;=20,"pilot",IF(COUNTIF(I$3:I301,"Y")&lt;=40,"dev",IF(COUNTIF(I$3:I301,"Y")&lt;=120,"test","extra"))),"")</f>
        <v/>
      </c>
      <c r="C301" s="11" t="str">
        <f aca="false">IF(I301="Y",IF(COUNTA(K301,Q301,W301,AC301,AE301)=5,"done","in progress"),IF(I301="N","excluded",""))</f>
        <v/>
      </c>
      <c r="D301" s="11" t="s">
        <v>1340</v>
      </c>
      <c r="E301" s="12" t="s">
        <v>90</v>
      </c>
      <c r="F301" s="13" t="s">
        <v>1341</v>
      </c>
      <c r="G301" s="11" t="s">
        <v>145</v>
      </c>
      <c r="H301" s="11"/>
      <c r="I301" s="14"/>
      <c r="J301" s="14"/>
      <c r="K301" s="14"/>
      <c r="L301" s="15"/>
      <c r="M301" s="14"/>
      <c r="N301" s="15"/>
      <c r="O301" s="14"/>
      <c r="P301" s="15"/>
      <c r="Q301" s="14"/>
      <c r="R301" s="15"/>
      <c r="S301" s="14"/>
      <c r="T301" s="15"/>
      <c r="U301" s="14"/>
      <c r="V301" s="15"/>
      <c r="W301" s="14"/>
      <c r="X301" s="15"/>
      <c r="Y301" s="14"/>
      <c r="Z301" s="15"/>
      <c r="AA301" s="14"/>
      <c r="AB301" s="15"/>
      <c r="AC301" s="14"/>
      <c r="AD301" s="15"/>
      <c r="AE301" s="14"/>
      <c r="AF301" s="15"/>
      <c r="AG301" s="15"/>
      <c r="AH301" s="15"/>
      <c r="AI301" s="14"/>
      <c r="AJ301" s="14"/>
      <c r="AK301" s="17"/>
    </row>
    <row r="302" customFormat="false" ht="42.75" hidden="false" customHeight="true" outlineLevel="0" collapsed="false">
      <c r="A302" s="11" t="n">
        <v>300</v>
      </c>
      <c r="B302" s="11" t="str">
        <f aca="false">IF(I302="Y",IF(COUNTIF(I$3:I302,"Y")&lt;=20,"pilot",IF(COUNTIF(I$3:I302,"Y")&lt;=40,"dev",IF(COUNTIF(I$3:I302,"Y")&lt;=120,"test","extra"))),"")</f>
        <v/>
      </c>
      <c r="C302" s="11" t="str">
        <f aca="false">IF(I302="Y",IF(COUNTA(K302,Q302,W302,AC302,AE302)=5,"done","in progress"),IF(I302="N","excluded",""))</f>
        <v/>
      </c>
      <c r="D302" s="11" t="s">
        <v>1342</v>
      </c>
      <c r="E302" s="12" t="s">
        <v>90</v>
      </c>
      <c r="F302" s="13" t="s">
        <v>1343</v>
      </c>
      <c r="G302" s="11" t="s">
        <v>410</v>
      </c>
      <c r="H302" s="11"/>
      <c r="I302" s="14"/>
      <c r="J302" s="14"/>
      <c r="K302" s="14"/>
      <c r="L302" s="15"/>
      <c r="M302" s="14"/>
      <c r="N302" s="15"/>
      <c r="O302" s="14"/>
      <c r="P302" s="15"/>
      <c r="Q302" s="14"/>
      <c r="R302" s="15"/>
      <c r="S302" s="14"/>
      <c r="T302" s="15"/>
      <c r="U302" s="14"/>
      <c r="V302" s="15"/>
      <c r="W302" s="14"/>
      <c r="X302" s="15"/>
      <c r="Y302" s="14"/>
      <c r="Z302" s="15"/>
      <c r="AA302" s="14"/>
      <c r="AB302" s="15"/>
      <c r="AC302" s="14"/>
      <c r="AD302" s="15"/>
      <c r="AE302" s="14"/>
      <c r="AF302" s="15"/>
      <c r="AG302" s="15"/>
      <c r="AH302" s="15"/>
      <c r="AI302" s="14"/>
      <c r="AJ302" s="14"/>
      <c r="AK302" s="17"/>
    </row>
    <row r="303" customFormat="false" ht="42.75" hidden="false" customHeight="true" outlineLevel="0" collapsed="false">
      <c r="A303" s="11" t="n">
        <v>301</v>
      </c>
      <c r="B303" s="11" t="str">
        <f aca="false">IF(I303="Y",IF(COUNTIF(I$3:I303,"Y")&lt;=20,"pilot",IF(COUNTIF(I$3:I303,"Y")&lt;=40,"dev",IF(COUNTIF(I$3:I303,"Y")&lt;=120,"test","extra"))),"")</f>
        <v/>
      </c>
      <c r="C303" s="11" t="str">
        <f aca="false">IF(I303="Y",IF(COUNTA(K303,Q303,W303,AC303,AE303)=5,"done","in progress"),IF(I303="N","excluded",""))</f>
        <v/>
      </c>
      <c r="D303" s="11" t="s">
        <v>1344</v>
      </c>
      <c r="E303" s="12" t="s">
        <v>90</v>
      </c>
      <c r="F303" s="13" t="s">
        <v>1345</v>
      </c>
      <c r="G303" s="11" t="s">
        <v>918</v>
      </c>
      <c r="H303" s="11"/>
      <c r="I303" s="14"/>
      <c r="J303" s="14"/>
      <c r="K303" s="14"/>
      <c r="L303" s="15"/>
      <c r="M303" s="14"/>
      <c r="N303" s="15"/>
      <c r="O303" s="14"/>
      <c r="P303" s="15"/>
      <c r="Q303" s="14"/>
      <c r="R303" s="15"/>
      <c r="S303" s="14"/>
      <c r="T303" s="15"/>
      <c r="U303" s="14"/>
      <c r="V303" s="15"/>
      <c r="W303" s="14"/>
      <c r="X303" s="15"/>
      <c r="Y303" s="14"/>
      <c r="Z303" s="15"/>
      <c r="AA303" s="14"/>
      <c r="AB303" s="15"/>
      <c r="AC303" s="14"/>
      <c r="AD303" s="15"/>
      <c r="AE303" s="14"/>
      <c r="AF303" s="15"/>
      <c r="AG303" s="15"/>
      <c r="AH303" s="15"/>
      <c r="AI303" s="14"/>
      <c r="AJ303" s="14"/>
      <c r="AK303" s="17"/>
    </row>
    <row r="304" customFormat="false" ht="42.75" hidden="false" customHeight="true" outlineLevel="0" collapsed="false">
      <c r="A304" s="11" t="n">
        <v>302</v>
      </c>
      <c r="B304" s="11" t="str">
        <f aca="false">IF(I304="Y",IF(COUNTIF(I$3:I304,"Y")&lt;=20,"pilot",IF(COUNTIF(I$3:I304,"Y")&lt;=40,"dev",IF(COUNTIF(I$3:I304,"Y")&lt;=120,"test","extra"))),"")</f>
        <v/>
      </c>
      <c r="C304" s="11" t="str">
        <f aca="false">IF(I304="Y",IF(COUNTA(K304,Q304,W304,AC304,AE304)=5,"done","in progress"),IF(I304="N","excluded",""))</f>
        <v/>
      </c>
      <c r="D304" s="11" t="s">
        <v>1346</v>
      </c>
      <c r="E304" s="12" t="s">
        <v>90</v>
      </c>
      <c r="F304" s="13" t="s">
        <v>1347</v>
      </c>
      <c r="G304" s="11" t="s">
        <v>1348</v>
      </c>
      <c r="H304" s="11"/>
      <c r="I304" s="14"/>
      <c r="J304" s="14"/>
      <c r="K304" s="14"/>
      <c r="L304" s="15"/>
      <c r="M304" s="14"/>
      <c r="N304" s="15"/>
      <c r="O304" s="14"/>
      <c r="P304" s="15"/>
      <c r="Q304" s="14"/>
      <c r="R304" s="15"/>
      <c r="S304" s="14"/>
      <c r="T304" s="15"/>
      <c r="U304" s="14"/>
      <c r="V304" s="15"/>
      <c r="W304" s="14"/>
      <c r="X304" s="15"/>
      <c r="Y304" s="14"/>
      <c r="Z304" s="15"/>
      <c r="AA304" s="14"/>
      <c r="AB304" s="15"/>
      <c r="AC304" s="14"/>
      <c r="AD304" s="15"/>
      <c r="AE304" s="14"/>
      <c r="AF304" s="15"/>
      <c r="AG304" s="15"/>
      <c r="AH304" s="15"/>
      <c r="AI304" s="14"/>
      <c r="AJ304" s="14"/>
      <c r="AK304" s="17"/>
    </row>
    <row r="305" customFormat="false" ht="42.75" hidden="false" customHeight="true" outlineLevel="0" collapsed="false">
      <c r="A305" s="11" t="n">
        <v>303</v>
      </c>
      <c r="B305" s="11" t="str">
        <f aca="false">IF(I305="Y",IF(COUNTIF(I$3:I305,"Y")&lt;=20,"pilot",IF(COUNTIF(I$3:I305,"Y")&lt;=40,"dev",IF(COUNTIF(I$3:I305,"Y")&lt;=120,"test","extra"))),"")</f>
        <v/>
      </c>
      <c r="C305" s="11" t="str">
        <f aca="false">IF(I305="Y",IF(COUNTA(K305,Q305,W305,AC305,AE305)=5,"done","in progress"),IF(I305="N","excluded",""))</f>
        <v/>
      </c>
      <c r="D305" s="11" t="s">
        <v>1349</v>
      </c>
      <c r="E305" s="12" t="s">
        <v>90</v>
      </c>
      <c r="F305" s="13" t="s">
        <v>1350</v>
      </c>
      <c r="G305" s="11" t="s">
        <v>508</v>
      </c>
      <c r="H305" s="11"/>
      <c r="I305" s="14"/>
      <c r="J305" s="14"/>
      <c r="K305" s="14"/>
      <c r="L305" s="15"/>
      <c r="M305" s="14"/>
      <c r="N305" s="15"/>
      <c r="O305" s="14"/>
      <c r="P305" s="15"/>
      <c r="Q305" s="14"/>
      <c r="R305" s="15"/>
      <c r="S305" s="14"/>
      <c r="T305" s="15"/>
      <c r="U305" s="14"/>
      <c r="V305" s="15"/>
      <c r="W305" s="14"/>
      <c r="X305" s="15"/>
      <c r="Y305" s="14"/>
      <c r="Z305" s="15"/>
      <c r="AA305" s="14"/>
      <c r="AB305" s="15"/>
      <c r="AC305" s="14"/>
      <c r="AD305" s="15"/>
      <c r="AE305" s="14"/>
      <c r="AF305" s="15"/>
      <c r="AG305" s="15"/>
      <c r="AH305" s="15"/>
      <c r="AI305" s="14"/>
      <c r="AJ305" s="14"/>
      <c r="AK305" s="17"/>
    </row>
    <row r="306" customFormat="false" ht="42.75" hidden="false" customHeight="true" outlineLevel="0" collapsed="false">
      <c r="A306" s="11" t="n">
        <v>304</v>
      </c>
      <c r="B306" s="11" t="str">
        <f aca="false">IF(I306="Y",IF(COUNTIF(I$3:I306,"Y")&lt;=20,"pilot",IF(COUNTIF(I$3:I306,"Y")&lt;=40,"dev",IF(COUNTIF(I$3:I306,"Y")&lt;=120,"test","extra"))),"")</f>
        <v/>
      </c>
      <c r="C306" s="11" t="str">
        <f aca="false">IF(I306="Y",IF(COUNTA(K306,Q306,W306,AC306,AE306)=5,"done","in progress"),IF(I306="N","excluded",""))</f>
        <v/>
      </c>
      <c r="D306" s="11" t="s">
        <v>1351</v>
      </c>
      <c r="E306" s="12" t="s">
        <v>90</v>
      </c>
      <c r="F306" s="13" t="s">
        <v>1352</v>
      </c>
      <c r="G306" s="11" t="s">
        <v>136</v>
      </c>
      <c r="H306" s="11"/>
      <c r="I306" s="14"/>
      <c r="J306" s="14"/>
      <c r="K306" s="14"/>
      <c r="L306" s="15"/>
      <c r="M306" s="14"/>
      <c r="N306" s="15"/>
      <c r="O306" s="14"/>
      <c r="P306" s="15"/>
      <c r="Q306" s="14"/>
      <c r="R306" s="15"/>
      <c r="S306" s="14"/>
      <c r="T306" s="15"/>
      <c r="U306" s="14"/>
      <c r="V306" s="15"/>
      <c r="W306" s="14"/>
      <c r="X306" s="15"/>
      <c r="Y306" s="14"/>
      <c r="Z306" s="15"/>
      <c r="AA306" s="14"/>
      <c r="AB306" s="15"/>
      <c r="AC306" s="14"/>
      <c r="AD306" s="15"/>
      <c r="AE306" s="14"/>
      <c r="AF306" s="15"/>
      <c r="AG306" s="15"/>
      <c r="AH306" s="15"/>
      <c r="AI306" s="14"/>
      <c r="AJ306" s="14"/>
      <c r="AK306" s="17"/>
    </row>
    <row r="307" customFormat="false" ht="28.5" hidden="false" customHeight="true" outlineLevel="0" collapsed="false">
      <c r="A307" s="11" t="n">
        <v>305</v>
      </c>
      <c r="B307" s="11" t="str">
        <f aca="false">IF(I307="Y",IF(COUNTIF(I$3:I307,"Y")&lt;=20,"pilot",IF(COUNTIF(I$3:I307,"Y")&lt;=40,"dev",IF(COUNTIF(I$3:I307,"Y")&lt;=120,"test","extra"))),"")</f>
        <v/>
      </c>
      <c r="C307" s="11" t="str">
        <f aca="false">IF(I307="Y",IF(COUNTA(K307,Q307,W307,AC307,AE307)=5,"done","in progress"),IF(I307="N","excluded",""))</f>
        <v/>
      </c>
      <c r="D307" s="11" t="s">
        <v>1353</v>
      </c>
      <c r="E307" s="12" t="s">
        <v>90</v>
      </c>
      <c r="F307" s="13" t="s">
        <v>1354</v>
      </c>
      <c r="G307" s="11" t="s">
        <v>806</v>
      </c>
      <c r="H307" s="11"/>
      <c r="I307" s="14"/>
      <c r="J307" s="14"/>
      <c r="K307" s="14"/>
      <c r="L307" s="15"/>
      <c r="M307" s="14"/>
      <c r="N307" s="15"/>
      <c r="O307" s="14"/>
      <c r="P307" s="15"/>
      <c r="Q307" s="14"/>
      <c r="R307" s="15"/>
      <c r="S307" s="14"/>
      <c r="T307" s="15"/>
      <c r="U307" s="14"/>
      <c r="V307" s="15"/>
      <c r="W307" s="14"/>
      <c r="X307" s="15"/>
      <c r="Y307" s="14"/>
      <c r="Z307" s="15"/>
      <c r="AA307" s="14"/>
      <c r="AB307" s="15"/>
      <c r="AC307" s="14"/>
      <c r="AD307" s="15"/>
      <c r="AE307" s="14"/>
      <c r="AF307" s="15"/>
      <c r="AG307" s="15"/>
      <c r="AH307" s="15"/>
      <c r="AI307" s="14"/>
      <c r="AJ307" s="14"/>
      <c r="AK307" s="17"/>
    </row>
    <row r="308" customFormat="false" ht="42.75" hidden="false" customHeight="true" outlineLevel="0" collapsed="false">
      <c r="A308" s="11" t="n">
        <v>306</v>
      </c>
      <c r="B308" s="11" t="str">
        <f aca="false">IF(I308="Y",IF(COUNTIF(I$3:I308,"Y")&lt;=20,"pilot",IF(COUNTIF(I$3:I308,"Y")&lt;=40,"dev",IF(COUNTIF(I$3:I308,"Y")&lt;=120,"test","extra"))),"")</f>
        <v/>
      </c>
      <c r="C308" s="11" t="str">
        <f aca="false">IF(I308="Y",IF(COUNTA(K308,Q308,W308,AC308,AE308)=5,"done","in progress"),IF(I308="N","excluded",""))</f>
        <v/>
      </c>
      <c r="D308" s="11" t="s">
        <v>1355</v>
      </c>
      <c r="E308" s="12" t="s">
        <v>90</v>
      </c>
      <c r="F308" s="13" t="s">
        <v>1356</v>
      </c>
      <c r="G308" s="11" t="s">
        <v>168</v>
      </c>
      <c r="H308" s="11" t="s">
        <v>366</v>
      </c>
      <c r="I308" s="14"/>
      <c r="J308" s="14"/>
      <c r="K308" s="14"/>
      <c r="L308" s="15"/>
      <c r="M308" s="14"/>
      <c r="N308" s="15"/>
      <c r="O308" s="14"/>
      <c r="P308" s="15"/>
      <c r="Q308" s="14"/>
      <c r="R308" s="15"/>
      <c r="S308" s="14"/>
      <c r="T308" s="15"/>
      <c r="U308" s="14"/>
      <c r="V308" s="15"/>
      <c r="W308" s="14"/>
      <c r="X308" s="15"/>
      <c r="Y308" s="14"/>
      <c r="Z308" s="15"/>
      <c r="AA308" s="14"/>
      <c r="AB308" s="15"/>
      <c r="AC308" s="14"/>
      <c r="AD308" s="15"/>
      <c r="AE308" s="14"/>
      <c r="AF308" s="15"/>
      <c r="AG308" s="15"/>
      <c r="AH308" s="15"/>
      <c r="AI308" s="14"/>
      <c r="AJ308" s="14"/>
      <c r="AK308" s="17"/>
    </row>
    <row r="309" customFormat="false" ht="28.5" hidden="false" customHeight="true" outlineLevel="0" collapsed="false">
      <c r="A309" s="11" t="n">
        <v>307</v>
      </c>
      <c r="B309" s="11" t="str">
        <f aca="false">IF(I309="Y",IF(COUNTIF(I$3:I309,"Y")&lt;=20,"pilot",IF(COUNTIF(I$3:I309,"Y")&lt;=40,"dev",IF(COUNTIF(I$3:I309,"Y")&lt;=120,"test","extra"))),"")</f>
        <v/>
      </c>
      <c r="C309" s="11" t="str">
        <f aca="false">IF(I309="Y",IF(COUNTA(K309,Q309,W309,AC309,AE309)=5,"done","in progress"),IF(I309="N","excluded",""))</f>
        <v/>
      </c>
      <c r="D309" s="11" t="s">
        <v>1357</v>
      </c>
      <c r="E309" s="12" t="s">
        <v>90</v>
      </c>
      <c r="F309" s="13" t="s">
        <v>1358</v>
      </c>
      <c r="G309" s="11" t="s">
        <v>1359</v>
      </c>
      <c r="H309" s="11"/>
      <c r="I309" s="14"/>
      <c r="J309" s="14"/>
      <c r="K309" s="14"/>
      <c r="L309" s="15"/>
      <c r="M309" s="14"/>
      <c r="N309" s="15"/>
      <c r="O309" s="14"/>
      <c r="P309" s="15"/>
      <c r="Q309" s="14"/>
      <c r="R309" s="15"/>
      <c r="S309" s="14"/>
      <c r="T309" s="15"/>
      <c r="U309" s="14"/>
      <c r="V309" s="15"/>
      <c r="W309" s="14"/>
      <c r="X309" s="15"/>
      <c r="Y309" s="14"/>
      <c r="Z309" s="15"/>
      <c r="AA309" s="14"/>
      <c r="AB309" s="15"/>
      <c r="AC309" s="14"/>
      <c r="AD309" s="15"/>
      <c r="AE309" s="14"/>
      <c r="AF309" s="15"/>
      <c r="AG309" s="15"/>
      <c r="AH309" s="15"/>
      <c r="AI309" s="14"/>
      <c r="AJ309" s="14"/>
      <c r="AK309" s="17"/>
    </row>
    <row r="310" customFormat="false" ht="42.75" hidden="false" customHeight="true" outlineLevel="0" collapsed="false">
      <c r="A310" s="11" t="n">
        <v>308</v>
      </c>
      <c r="B310" s="11" t="str">
        <f aca="false">IF(I310="Y",IF(COUNTIF(I$3:I310,"Y")&lt;=20,"pilot",IF(COUNTIF(I$3:I310,"Y")&lt;=40,"dev",IF(COUNTIF(I$3:I310,"Y")&lt;=120,"test","extra"))),"")</f>
        <v/>
      </c>
      <c r="C310" s="11" t="str">
        <f aca="false">IF(I310="Y",IF(COUNTA(K310,Q310,W310,AC310,AE310)=5,"done","in progress"),IF(I310="N","excluded",""))</f>
        <v/>
      </c>
      <c r="D310" s="11" t="s">
        <v>1360</v>
      </c>
      <c r="E310" s="12" t="s">
        <v>90</v>
      </c>
      <c r="F310" s="13" t="s">
        <v>1361</v>
      </c>
      <c r="G310" s="11" t="s">
        <v>168</v>
      </c>
      <c r="H310" s="11"/>
      <c r="I310" s="14"/>
      <c r="J310" s="14"/>
      <c r="K310" s="14"/>
      <c r="L310" s="15"/>
      <c r="M310" s="14"/>
      <c r="N310" s="15"/>
      <c r="O310" s="14"/>
      <c r="P310" s="15"/>
      <c r="Q310" s="14"/>
      <c r="R310" s="15"/>
      <c r="S310" s="14"/>
      <c r="T310" s="15"/>
      <c r="U310" s="14"/>
      <c r="V310" s="15"/>
      <c r="W310" s="14"/>
      <c r="X310" s="15"/>
      <c r="Y310" s="14"/>
      <c r="Z310" s="15"/>
      <c r="AA310" s="14"/>
      <c r="AB310" s="15"/>
      <c r="AC310" s="14"/>
      <c r="AD310" s="15"/>
      <c r="AE310" s="14"/>
      <c r="AF310" s="15"/>
      <c r="AG310" s="15"/>
      <c r="AH310" s="15"/>
      <c r="AI310" s="14"/>
      <c r="AJ310" s="14"/>
      <c r="AK310" s="17"/>
    </row>
    <row r="311" customFormat="false" ht="28.5" hidden="false" customHeight="true" outlineLevel="0" collapsed="false">
      <c r="A311" s="11" t="n">
        <v>309</v>
      </c>
      <c r="B311" s="11" t="str">
        <f aca="false">IF(I311="Y",IF(COUNTIF(I$3:I311,"Y")&lt;=20,"pilot",IF(COUNTIF(I$3:I311,"Y")&lt;=40,"dev",IF(COUNTIF(I$3:I311,"Y")&lt;=120,"test","extra"))),"")</f>
        <v/>
      </c>
      <c r="C311" s="11" t="str">
        <f aca="false">IF(I311="Y",IF(COUNTA(K311,Q311,W311,AC311,AE311)=5,"done","in progress"),IF(I311="N","excluded",""))</f>
        <v/>
      </c>
      <c r="D311" s="11" t="s">
        <v>1362</v>
      </c>
      <c r="E311" s="12" t="s">
        <v>90</v>
      </c>
      <c r="F311" s="13" t="s">
        <v>1363</v>
      </c>
      <c r="G311" s="11" t="s">
        <v>520</v>
      </c>
      <c r="H311" s="11"/>
      <c r="I311" s="14"/>
      <c r="J311" s="14"/>
      <c r="K311" s="14"/>
      <c r="L311" s="15"/>
      <c r="M311" s="14"/>
      <c r="N311" s="15"/>
      <c r="O311" s="14"/>
      <c r="P311" s="15"/>
      <c r="Q311" s="14"/>
      <c r="R311" s="15"/>
      <c r="S311" s="14"/>
      <c r="T311" s="15"/>
      <c r="U311" s="14"/>
      <c r="V311" s="15"/>
      <c r="W311" s="14"/>
      <c r="X311" s="15"/>
      <c r="Y311" s="14"/>
      <c r="Z311" s="15"/>
      <c r="AA311" s="14"/>
      <c r="AB311" s="15"/>
      <c r="AC311" s="14"/>
      <c r="AD311" s="15"/>
      <c r="AE311" s="14"/>
      <c r="AF311" s="15"/>
      <c r="AG311" s="15"/>
      <c r="AH311" s="15"/>
      <c r="AI311" s="14"/>
      <c r="AJ311" s="14"/>
      <c r="AK311" s="17"/>
    </row>
    <row r="312" customFormat="false" ht="71.25" hidden="false" customHeight="true" outlineLevel="0" collapsed="false">
      <c r="A312" s="11" t="n">
        <v>310</v>
      </c>
      <c r="B312" s="11" t="str">
        <f aca="false">IF(I312="Y",IF(COUNTIF(I$3:I312,"Y")&lt;=20,"pilot",IF(COUNTIF(I$3:I312,"Y")&lt;=40,"dev",IF(COUNTIF(I$3:I312,"Y")&lt;=120,"test","extra"))),"")</f>
        <v/>
      </c>
      <c r="C312" s="11" t="str">
        <f aca="false">IF(I312="Y",IF(COUNTA(K312,Q312,W312,AC312,AE312)=5,"done","in progress"),IF(I312="N","excluded",""))</f>
        <v/>
      </c>
      <c r="D312" s="11" t="s">
        <v>1364</v>
      </c>
      <c r="E312" s="12" t="s">
        <v>90</v>
      </c>
      <c r="F312" s="13" t="s">
        <v>1365</v>
      </c>
      <c r="G312" s="11" t="s">
        <v>476</v>
      </c>
      <c r="H312" s="11"/>
      <c r="I312" s="14"/>
      <c r="J312" s="14"/>
      <c r="K312" s="14"/>
      <c r="L312" s="15"/>
      <c r="M312" s="14"/>
      <c r="N312" s="15"/>
      <c r="O312" s="14"/>
      <c r="P312" s="15"/>
      <c r="Q312" s="14"/>
      <c r="R312" s="15"/>
      <c r="S312" s="14"/>
      <c r="T312" s="15"/>
      <c r="U312" s="14"/>
      <c r="V312" s="15"/>
      <c r="W312" s="14"/>
      <c r="X312" s="15"/>
      <c r="Y312" s="14"/>
      <c r="Z312" s="15"/>
      <c r="AA312" s="14"/>
      <c r="AB312" s="15"/>
      <c r="AC312" s="14"/>
      <c r="AD312" s="15"/>
      <c r="AE312" s="14"/>
      <c r="AF312" s="15"/>
      <c r="AG312" s="15"/>
      <c r="AH312" s="15"/>
      <c r="AI312" s="14"/>
      <c r="AJ312" s="14"/>
      <c r="AK312" s="17"/>
    </row>
    <row r="313" customFormat="false" ht="42.75" hidden="false" customHeight="true" outlineLevel="0" collapsed="false">
      <c r="A313" s="11" t="n">
        <v>311</v>
      </c>
      <c r="B313" s="11" t="str">
        <f aca="false">IF(I313="Y",IF(COUNTIF(I$3:I313,"Y")&lt;=20,"pilot",IF(COUNTIF(I$3:I313,"Y")&lt;=40,"dev",IF(COUNTIF(I$3:I313,"Y")&lt;=120,"test","extra"))),"")</f>
        <v/>
      </c>
      <c r="C313" s="11" t="str">
        <f aca="false">IF(I313="Y",IF(COUNTA(K313,Q313,W313,AC313,AE313)=5,"done","in progress"),IF(I313="N","excluded",""))</f>
        <v/>
      </c>
      <c r="D313" s="11" t="s">
        <v>1366</v>
      </c>
      <c r="E313" s="12" t="s">
        <v>90</v>
      </c>
      <c r="F313" s="13" t="s">
        <v>1367</v>
      </c>
      <c r="G313" s="11" t="s">
        <v>168</v>
      </c>
      <c r="H313" s="11"/>
      <c r="I313" s="14"/>
      <c r="J313" s="14"/>
      <c r="K313" s="14"/>
      <c r="L313" s="15"/>
      <c r="M313" s="14"/>
      <c r="N313" s="15"/>
      <c r="O313" s="14"/>
      <c r="P313" s="15"/>
      <c r="Q313" s="14"/>
      <c r="R313" s="15"/>
      <c r="S313" s="14"/>
      <c r="T313" s="15"/>
      <c r="U313" s="14"/>
      <c r="V313" s="15"/>
      <c r="W313" s="14"/>
      <c r="X313" s="15"/>
      <c r="Y313" s="14"/>
      <c r="Z313" s="15"/>
      <c r="AA313" s="14"/>
      <c r="AB313" s="15"/>
      <c r="AC313" s="14"/>
      <c r="AD313" s="15"/>
      <c r="AE313" s="14"/>
      <c r="AF313" s="15"/>
      <c r="AG313" s="15"/>
      <c r="AH313" s="15"/>
      <c r="AI313" s="14"/>
      <c r="AJ313" s="14"/>
      <c r="AK313" s="17"/>
    </row>
    <row r="314" customFormat="false" ht="42.75" hidden="false" customHeight="true" outlineLevel="0" collapsed="false">
      <c r="A314" s="11" t="n">
        <v>312</v>
      </c>
      <c r="B314" s="11" t="str">
        <f aca="false">IF(I314="Y",IF(COUNTIF(I$3:I314,"Y")&lt;=20,"pilot",IF(COUNTIF(I$3:I314,"Y")&lt;=40,"dev",IF(COUNTIF(I$3:I314,"Y")&lt;=120,"test","extra"))),"")</f>
        <v/>
      </c>
      <c r="C314" s="11" t="str">
        <f aca="false">IF(I314="Y",IF(COUNTA(K314,Q314,W314,AC314,AE314)=5,"done","in progress"),IF(I314="N","excluded",""))</f>
        <v/>
      </c>
      <c r="D314" s="11" t="s">
        <v>1368</v>
      </c>
      <c r="E314" s="12" t="s">
        <v>90</v>
      </c>
      <c r="F314" s="13" t="s">
        <v>1369</v>
      </c>
      <c r="G314" s="11" t="s">
        <v>168</v>
      </c>
      <c r="H314" s="11"/>
      <c r="I314" s="14"/>
      <c r="J314" s="14"/>
      <c r="K314" s="14"/>
      <c r="L314" s="15"/>
      <c r="M314" s="14"/>
      <c r="N314" s="15"/>
      <c r="O314" s="14"/>
      <c r="P314" s="15"/>
      <c r="Q314" s="14"/>
      <c r="R314" s="15"/>
      <c r="S314" s="14"/>
      <c r="T314" s="15"/>
      <c r="U314" s="14"/>
      <c r="V314" s="15"/>
      <c r="W314" s="14"/>
      <c r="X314" s="15"/>
      <c r="Y314" s="14"/>
      <c r="Z314" s="15"/>
      <c r="AA314" s="14"/>
      <c r="AB314" s="15"/>
      <c r="AC314" s="14"/>
      <c r="AD314" s="15"/>
      <c r="AE314" s="14"/>
      <c r="AF314" s="15"/>
      <c r="AG314" s="15"/>
      <c r="AH314" s="15"/>
      <c r="AI314" s="14"/>
      <c r="AJ314" s="14"/>
      <c r="AK314" s="17"/>
    </row>
    <row r="315" customFormat="false" ht="42.75" hidden="false" customHeight="true" outlineLevel="0" collapsed="false">
      <c r="A315" s="11" t="n">
        <v>313</v>
      </c>
      <c r="B315" s="11" t="str">
        <f aca="false">IF(I315="Y",IF(COUNTIF(I$3:I315,"Y")&lt;=20,"pilot",IF(COUNTIF(I$3:I315,"Y")&lt;=40,"dev",IF(COUNTIF(I$3:I315,"Y")&lt;=120,"test","extra"))),"")</f>
        <v/>
      </c>
      <c r="C315" s="11" t="str">
        <f aca="false">IF(I315="Y",IF(COUNTA(K315,Q315,W315,AC315,AE315)=5,"done","in progress"),IF(I315="N","excluded",""))</f>
        <v/>
      </c>
      <c r="D315" s="11" t="s">
        <v>1370</v>
      </c>
      <c r="E315" s="12" t="s">
        <v>90</v>
      </c>
      <c r="F315" s="13" t="s">
        <v>1371</v>
      </c>
      <c r="G315" s="11" t="s">
        <v>705</v>
      </c>
      <c r="H315" s="11"/>
      <c r="I315" s="14"/>
      <c r="J315" s="14"/>
      <c r="K315" s="14"/>
      <c r="L315" s="15"/>
      <c r="M315" s="14"/>
      <c r="N315" s="15"/>
      <c r="O315" s="14"/>
      <c r="P315" s="15"/>
      <c r="Q315" s="14"/>
      <c r="R315" s="15"/>
      <c r="S315" s="14"/>
      <c r="T315" s="15"/>
      <c r="U315" s="14"/>
      <c r="V315" s="15"/>
      <c r="W315" s="14"/>
      <c r="X315" s="15"/>
      <c r="Y315" s="14"/>
      <c r="Z315" s="15"/>
      <c r="AA315" s="14"/>
      <c r="AB315" s="15"/>
      <c r="AC315" s="14"/>
      <c r="AD315" s="15"/>
      <c r="AE315" s="14"/>
      <c r="AF315" s="15"/>
      <c r="AG315" s="15"/>
      <c r="AH315" s="15"/>
      <c r="AI315" s="14"/>
      <c r="AJ315" s="14"/>
      <c r="AK315" s="17"/>
    </row>
    <row r="316" customFormat="false" ht="28.5" hidden="false" customHeight="true" outlineLevel="0" collapsed="false">
      <c r="A316" s="11" t="n">
        <v>314</v>
      </c>
      <c r="B316" s="11" t="str">
        <f aca="false">IF(I316="Y",IF(COUNTIF(I$3:I316,"Y")&lt;=20,"pilot",IF(COUNTIF(I$3:I316,"Y")&lt;=40,"dev",IF(COUNTIF(I$3:I316,"Y")&lt;=120,"test","extra"))),"")</f>
        <v/>
      </c>
      <c r="C316" s="11" t="str">
        <f aca="false">IF(I316="Y",IF(COUNTA(K316,Q316,W316,AC316,AE316)=5,"done","in progress"),IF(I316="N","excluded",""))</f>
        <v/>
      </c>
      <c r="D316" s="11" t="s">
        <v>1372</v>
      </c>
      <c r="E316" s="12" t="s">
        <v>90</v>
      </c>
      <c r="F316" s="13" t="s">
        <v>1373</v>
      </c>
      <c r="G316" s="11" t="s">
        <v>136</v>
      </c>
      <c r="H316" s="11"/>
      <c r="I316" s="14"/>
      <c r="J316" s="14"/>
      <c r="K316" s="14"/>
      <c r="L316" s="15"/>
      <c r="M316" s="14"/>
      <c r="N316" s="15"/>
      <c r="O316" s="14"/>
      <c r="P316" s="15"/>
      <c r="Q316" s="14"/>
      <c r="R316" s="15"/>
      <c r="S316" s="14"/>
      <c r="T316" s="15"/>
      <c r="U316" s="14"/>
      <c r="V316" s="15"/>
      <c r="W316" s="14"/>
      <c r="X316" s="15"/>
      <c r="Y316" s="14"/>
      <c r="Z316" s="15"/>
      <c r="AA316" s="14"/>
      <c r="AB316" s="15"/>
      <c r="AC316" s="14"/>
      <c r="AD316" s="15"/>
      <c r="AE316" s="14"/>
      <c r="AF316" s="15"/>
      <c r="AG316" s="15"/>
      <c r="AH316" s="15"/>
      <c r="AI316" s="14"/>
      <c r="AJ316" s="14"/>
      <c r="AK316" s="17"/>
    </row>
    <row r="317" customFormat="false" ht="42.75" hidden="false" customHeight="true" outlineLevel="0" collapsed="false">
      <c r="A317" s="11" t="n">
        <v>315</v>
      </c>
      <c r="B317" s="11" t="str">
        <f aca="false">IF(I317="Y",IF(COUNTIF(I$3:I317,"Y")&lt;=20,"pilot",IF(COUNTIF(I$3:I317,"Y")&lt;=40,"dev",IF(COUNTIF(I$3:I317,"Y")&lt;=120,"test","extra"))),"")</f>
        <v/>
      </c>
      <c r="C317" s="11" t="str">
        <f aca="false">IF(I317="Y",IF(COUNTA(K317,Q317,W317,AC317,AE317)=5,"done","in progress"),IF(I317="N","excluded",""))</f>
        <v/>
      </c>
      <c r="D317" s="11" t="s">
        <v>1374</v>
      </c>
      <c r="E317" s="12" t="s">
        <v>90</v>
      </c>
      <c r="F317" s="13" t="s">
        <v>1375</v>
      </c>
      <c r="G317" s="11" t="s">
        <v>1376</v>
      </c>
      <c r="H317" s="11"/>
      <c r="I317" s="14"/>
      <c r="J317" s="14"/>
      <c r="K317" s="14"/>
      <c r="L317" s="15"/>
      <c r="M317" s="14"/>
      <c r="N317" s="15"/>
      <c r="O317" s="14"/>
      <c r="P317" s="15"/>
      <c r="Q317" s="14"/>
      <c r="R317" s="15"/>
      <c r="S317" s="14"/>
      <c r="T317" s="15"/>
      <c r="U317" s="14"/>
      <c r="V317" s="15"/>
      <c r="W317" s="14"/>
      <c r="X317" s="15"/>
      <c r="Y317" s="14"/>
      <c r="Z317" s="15"/>
      <c r="AA317" s="14"/>
      <c r="AB317" s="15"/>
      <c r="AC317" s="14"/>
      <c r="AD317" s="15"/>
      <c r="AE317" s="14"/>
      <c r="AF317" s="15"/>
      <c r="AG317" s="15"/>
      <c r="AH317" s="15"/>
      <c r="AI317" s="14"/>
      <c r="AJ317" s="14"/>
      <c r="AK317" s="17"/>
    </row>
    <row r="318" customFormat="false" ht="42.75" hidden="false" customHeight="true" outlineLevel="0" collapsed="false">
      <c r="A318" s="11" t="n">
        <v>316</v>
      </c>
      <c r="B318" s="11" t="str">
        <f aca="false">IF(I318="Y",IF(COUNTIF(I$3:I318,"Y")&lt;=20,"pilot",IF(COUNTIF(I$3:I318,"Y")&lt;=40,"dev",IF(COUNTIF(I$3:I318,"Y")&lt;=120,"test","extra"))),"")</f>
        <v/>
      </c>
      <c r="C318" s="11" t="str">
        <f aca="false">IF(I318="Y",IF(COUNTA(K318,Q318,W318,AC318,AE318)=5,"done","in progress"),IF(I318="N","excluded",""))</f>
        <v/>
      </c>
      <c r="D318" s="11" t="s">
        <v>1377</v>
      </c>
      <c r="E318" s="12" t="s">
        <v>90</v>
      </c>
      <c r="F318" s="13" t="s">
        <v>1378</v>
      </c>
      <c r="G318" s="11" t="s">
        <v>1034</v>
      </c>
      <c r="H318" s="11"/>
      <c r="I318" s="14"/>
      <c r="J318" s="14"/>
      <c r="K318" s="14"/>
      <c r="L318" s="15"/>
      <c r="M318" s="14"/>
      <c r="N318" s="15"/>
      <c r="O318" s="14"/>
      <c r="P318" s="15"/>
      <c r="Q318" s="14"/>
      <c r="R318" s="15"/>
      <c r="S318" s="14"/>
      <c r="T318" s="15"/>
      <c r="U318" s="14"/>
      <c r="V318" s="15"/>
      <c r="W318" s="14"/>
      <c r="X318" s="15"/>
      <c r="Y318" s="14"/>
      <c r="Z318" s="15"/>
      <c r="AA318" s="14"/>
      <c r="AB318" s="15"/>
      <c r="AC318" s="14"/>
      <c r="AD318" s="15"/>
      <c r="AE318" s="14"/>
      <c r="AF318" s="15"/>
      <c r="AG318" s="15"/>
      <c r="AH318" s="15"/>
      <c r="AI318" s="14"/>
      <c r="AJ318" s="14"/>
      <c r="AK318" s="17"/>
    </row>
    <row r="319" customFormat="false" ht="42.75" hidden="false" customHeight="true" outlineLevel="0" collapsed="false">
      <c r="A319" s="11" t="n">
        <v>317</v>
      </c>
      <c r="B319" s="11" t="str">
        <f aca="false">IF(I319="Y",IF(COUNTIF(I$3:I319,"Y")&lt;=20,"pilot",IF(COUNTIF(I$3:I319,"Y")&lt;=40,"dev",IF(COUNTIF(I$3:I319,"Y")&lt;=120,"test","extra"))),"")</f>
        <v/>
      </c>
      <c r="C319" s="11" t="str">
        <f aca="false">IF(I319="Y",IF(COUNTA(K319,Q319,W319,AC319,AE319)=5,"done","in progress"),IF(I319="N","excluded",""))</f>
        <v/>
      </c>
      <c r="D319" s="11" t="s">
        <v>1379</v>
      </c>
      <c r="E319" s="12" t="s">
        <v>90</v>
      </c>
      <c r="F319" s="13" t="s">
        <v>1380</v>
      </c>
      <c r="G319" s="11" t="s">
        <v>1028</v>
      </c>
      <c r="H319" s="11"/>
      <c r="I319" s="14"/>
      <c r="J319" s="14"/>
      <c r="K319" s="14"/>
      <c r="L319" s="15"/>
      <c r="M319" s="14"/>
      <c r="N319" s="15"/>
      <c r="O319" s="14"/>
      <c r="P319" s="15"/>
      <c r="Q319" s="14"/>
      <c r="R319" s="15"/>
      <c r="S319" s="14"/>
      <c r="T319" s="15"/>
      <c r="U319" s="14"/>
      <c r="V319" s="15"/>
      <c r="W319" s="14"/>
      <c r="X319" s="15"/>
      <c r="Y319" s="14"/>
      <c r="Z319" s="15"/>
      <c r="AA319" s="14"/>
      <c r="AB319" s="15"/>
      <c r="AC319" s="14"/>
      <c r="AD319" s="15"/>
      <c r="AE319" s="14"/>
      <c r="AF319" s="15"/>
      <c r="AG319" s="15"/>
      <c r="AH319" s="15"/>
      <c r="AI319" s="14"/>
      <c r="AJ319" s="14"/>
      <c r="AK319" s="17"/>
    </row>
    <row r="320" customFormat="false" ht="42.75" hidden="false" customHeight="true" outlineLevel="0" collapsed="false">
      <c r="A320" s="11" t="n">
        <v>318</v>
      </c>
      <c r="B320" s="11" t="str">
        <f aca="false">IF(I320="Y",IF(COUNTIF(I$3:I320,"Y")&lt;=20,"pilot",IF(COUNTIF(I$3:I320,"Y")&lt;=40,"dev",IF(COUNTIF(I$3:I320,"Y")&lt;=120,"test","extra"))),"")</f>
        <v/>
      </c>
      <c r="C320" s="11" t="str">
        <f aca="false">IF(I320="Y",IF(COUNTA(K320,Q320,W320,AC320,AE320)=5,"done","in progress"),IF(I320="N","excluded",""))</f>
        <v/>
      </c>
      <c r="D320" s="11" t="s">
        <v>1381</v>
      </c>
      <c r="E320" s="12" t="s">
        <v>90</v>
      </c>
      <c r="F320" s="13" t="s">
        <v>1382</v>
      </c>
      <c r="G320" s="11" t="s">
        <v>118</v>
      </c>
      <c r="H320" s="11"/>
      <c r="I320" s="14"/>
      <c r="J320" s="14"/>
      <c r="K320" s="14"/>
      <c r="L320" s="15"/>
      <c r="M320" s="14"/>
      <c r="N320" s="15"/>
      <c r="O320" s="14"/>
      <c r="P320" s="15"/>
      <c r="Q320" s="14"/>
      <c r="R320" s="15"/>
      <c r="S320" s="14"/>
      <c r="T320" s="15"/>
      <c r="U320" s="14"/>
      <c r="V320" s="15"/>
      <c r="W320" s="14"/>
      <c r="X320" s="15"/>
      <c r="Y320" s="14"/>
      <c r="Z320" s="15"/>
      <c r="AA320" s="14"/>
      <c r="AB320" s="15"/>
      <c r="AC320" s="14"/>
      <c r="AD320" s="15"/>
      <c r="AE320" s="14"/>
      <c r="AF320" s="15"/>
      <c r="AG320" s="15"/>
      <c r="AH320" s="15"/>
      <c r="AI320" s="14"/>
      <c r="AJ320" s="14"/>
      <c r="AK320" s="17"/>
    </row>
    <row r="321" customFormat="false" ht="57" hidden="false" customHeight="true" outlineLevel="0" collapsed="false">
      <c r="A321" s="11" t="n">
        <v>319</v>
      </c>
      <c r="B321" s="11" t="str">
        <f aca="false">IF(I321="Y",IF(COUNTIF(I$3:I321,"Y")&lt;=20,"pilot",IF(COUNTIF(I$3:I321,"Y")&lt;=40,"dev",IF(COUNTIF(I$3:I321,"Y")&lt;=120,"test","extra"))),"")</f>
        <v/>
      </c>
      <c r="C321" s="11" t="str">
        <f aca="false">IF(I321="Y",IF(COUNTA(K321,Q321,W321,AC321,AE321)=5,"done","in progress"),IF(I321="N","excluded",""))</f>
        <v/>
      </c>
      <c r="D321" s="11" t="s">
        <v>1383</v>
      </c>
      <c r="E321" s="12" t="s">
        <v>90</v>
      </c>
      <c r="F321" s="13" t="s">
        <v>1384</v>
      </c>
      <c r="G321" s="11" t="s">
        <v>125</v>
      </c>
      <c r="H321" s="11"/>
      <c r="I321" s="14"/>
      <c r="J321" s="14"/>
      <c r="K321" s="14"/>
      <c r="L321" s="15"/>
      <c r="M321" s="14"/>
      <c r="N321" s="15"/>
      <c r="O321" s="14"/>
      <c r="P321" s="15"/>
      <c r="Q321" s="14"/>
      <c r="R321" s="15"/>
      <c r="S321" s="14"/>
      <c r="T321" s="15"/>
      <c r="U321" s="14"/>
      <c r="V321" s="15"/>
      <c r="W321" s="14"/>
      <c r="X321" s="15"/>
      <c r="Y321" s="14"/>
      <c r="Z321" s="15"/>
      <c r="AA321" s="14"/>
      <c r="AB321" s="15"/>
      <c r="AC321" s="14"/>
      <c r="AD321" s="15"/>
      <c r="AE321" s="14"/>
      <c r="AF321" s="15"/>
      <c r="AG321" s="15"/>
      <c r="AH321" s="15"/>
      <c r="AI321" s="14"/>
      <c r="AJ321" s="14"/>
      <c r="AK321" s="17"/>
    </row>
    <row r="322" customFormat="false" ht="42.75" hidden="false" customHeight="true" outlineLevel="0" collapsed="false">
      <c r="A322" s="11" t="n">
        <v>320</v>
      </c>
      <c r="B322" s="11" t="str">
        <f aca="false">IF(I322="Y",IF(COUNTIF(I$3:I322,"Y")&lt;=20,"pilot",IF(COUNTIF(I$3:I322,"Y")&lt;=40,"dev",IF(COUNTIF(I$3:I322,"Y")&lt;=120,"test","extra"))),"")</f>
        <v/>
      </c>
      <c r="C322" s="11" t="str">
        <f aca="false">IF(I322="Y",IF(COUNTA(K322,Q322,W322,AC322,AE322)=5,"done","in progress"),IF(I322="N","excluded",""))</f>
        <v/>
      </c>
      <c r="D322" s="11" t="s">
        <v>1385</v>
      </c>
      <c r="E322" s="12" t="s">
        <v>90</v>
      </c>
      <c r="F322" s="13" t="s">
        <v>1386</v>
      </c>
      <c r="G322" s="11" t="s">
        <v>1387</v>
      </c>
      <c r="H322" s="11"/>
      <c r="I322" s="14"/>
      <c r="J322" s="14"/>
      <c r="K322" s="14"/>
      <c r="L322" s="15"/>
      <c r="M322" s="14"/>
      <c r="N322" s="15"/>
      <c r="O322" s="14"/>
      <c r="P322" s="15"/>
      <c r="Q322" s="14"/>
      <c r="R322" s="15"/>
      <c r="S322" s="14"/>
      <c r="T322" s="15"/>
      <c r="U322" s="14"/>
      <c r="V322" s="15"/>
      <c r="W322" s="14"/>
      <c r="X322" s="15"/>
      <c r="Y322" s="14"/>
      <c r="Z322" s="15"/>
      <c r="AA322" s="14"/>
      <c r="AB322" s="15"/>
      <c r="AC322" s="14"/>
      <c r="AD322" s="15"/>
      <c r="AE322" s="14"/>
      <c r="AF322" s="15"/>
      <c r="AG322" s="15"/>
      <c r="AH322" s="15"/>
      <c r="AI322" s="14"/>
      <c r="AJ322" s="14"/>
      <c r="AK322" s="17"/>
    </row>
    <row r="323" customFormat="false" ht="42.75" hidden="false" customHeight="true" outlineLevel="0" collapsed="false">
      <c r="A323" s="11" t="n">
        <v>321</v>
      </c>
      <c r="B323" s="11" t="str">
        <f aca="false">IF(I323="Y",IF(COUNTIF(I$3:I323,"Y")&lt;=20,"pilot",IF(COUNTIF(I$3:I323,"Y")&lt;=40,"dev",IF(COUNTIF(I$3:I323,"Y")&lt;=120,"test","extra"))),"")</f>
        <v/>
      </c>
      <c r="C323" s="11" t="str">
        <f aca="false">IF(I323="Y",IF(COUNTA(K323,Q323,W323,AC323,AE323)=5,"done","in progress"),IF(I323="N","excluded",""))</f>
        <v/>
      </c>
      <c r="D323" s="11" t="s">
        <v>1388</v>
      </c>
      <c r="E323" s="12" t="s">
        <v>90</v>
      </c>
      <c r="F323" s="13" t="s">
        <v>1389</v>
      </c>
      <c r="G323" s="11" t="s">
        <v>508</v>
      </c>
      <c r="H323" s="11"/>
      <c r="I323" s="14"/>
      <c r="J323" s="14"/>
      <c r="K323" s="14"/>
      <c r="L323" s="15"/>
      <c r="M323" s="14"/>
      <c r="N323" s="15"/>
      <c r="O323" s="14"/>
      <c r="P323" s="15"/>
      <c r="Q323" s="14"/>
      <c r="R323" s="15"/>
      <c r="S323" s="14"/>
      <c r="T323" s="15"/>
      <c r="U323" s="14"/>
      <c r="V323" s="15"/>
      <c r="W323" s="14"/>
      <c r="X323" s="15"/>
      <c r="Y323" s="14"/>
      <c r="Z323" s="15"/>
      <c r="AA323" s="14"/>
      <c r="AB323" s="15"/>
      <c r="AC323" s="14"/>
      <c r="AD323" s="15"/>
      <c r="AE323" s="14"/>
      <c r="AF323" s="15"/>
      <c r="AG323" s="15"/>
      <c r="AH323" s="15"/>
      <c r="AI323" s="14"/>
      <c r="AJ323" s="14"/>
      <c r="AK323" s="17"/>
    </row>
    <row r="324" customFormat="false" ht="28.5" hidden="false" customHeight="true" outlineLevel="0" collapsed="false">
      <c r="A324" s="11" t="n">
        <v>322</v>
      </c>
      <c r="B324" s="11" t="str">
        <f aca="false">IF(I324="Y",IF(COUNTIF(I$3:I324,"Y")&lt;=20,"pilot",IF(COUNTIF(I$3:I324,"Y")&lt;=40,"dev",IF(COUNTIF(I$3:I324,"Y")&lt;=120,"test","extra"))),"")</f>
        <v/>
      </c>
      <c r="C324" s="11" t="str">
        <f aca="false">IF(I324="Y",IF(COUNTA(K324,Q324,W324,AC324,AE324)=5,"done","in progress"),IF(I324="N","excluded",""))</f>
        <v/>
      </c>
      <c r="D324" s="11" t="s">
        <v>1390</v>
      </c>
      <c r="E324" s="12" t="s">
        <v>90</v>
      </c>
      <c r="F324" s="13" t="s">
        <v>1391</v>
      </c>
      <c r="G324" s="11" t="s">
        <v>1392</v>
      </c>
      <c r="H324" s="11"/>
      <c r="I324" s="14"/>
      <c r="J324" s="14"/>
      <c r="K324" s="14"/>
      <c r="L324" s="15"/>
      <c r="M324" s="14"/>
      <c r="N324" s="15"/>
      <c r="O324" s="14"/>
      <c r="P324" s="15"/>
      <c r="Q324" s="14"/>
      <c r="R324" s="15"/>
      <c r="S324" s="14"/>
      <c r="T324" s="15"/>
      <c r="U324" s="14"/>
      <c r="V324" s="15"/>
      <c r="W324" s="14"/>
      <c r="X324" s="15"/>
      <c r="Y324" s="14"/>
      <c r="Z324" s="15"/>
      <c r="AA324" s="14"/>
      <c r="AB324" s="15"/>
      <c r="AC324" s="14"/>
      <c r="AD324" s="15"/>
      <c r="AE324" s="14"/>
      <c r="AF324" s="15"/>
      <c r="AG324" s="15"/>
      <c r="AH324" s="15"/>
      <c r="AI324" s="14"/>
      <c r="AJ324" s="14"/>
      <c r="AK324" s="17"/>
    </row>
    <row r="325" customFormat="false" ht="57" hidden="false" customHeight="true" outlineLevel="0" collapsed="false">
      <c r="A325" s="11" t="n">
        <v>323</v>
      </c>
      <c r="B325" s="11" t="str">
        <f aca="false">IF(I325="Y",IF(COUNTIF(I$3:I325,"Y")&lt;=20,"pilot",IF(COUNTIF(I$3:I325,"Y")&lt;=40,"dev",IF(COUNTIF(I$3:I325,"Y")&lt;=120,"test","extra"))),"")</f>
        <v/>
      </c>
      <c r="C325" s="11" t="str">
        <f aca="false">IF(I325="Y",IF(COUNTA(K325,Q325,W325,AC325,AE325)=5,"done","in progress"),IF(I325="N","excluded",""))</f>
        <v/>
      </c>
      <c r="D325" s="11" t="s">
        <v>1393</v>
      </c>
      <c r="E325" s="12" t="s">
        <v>90</v>
      </c>
      <c r="F325" s="13" t="s">
        <v>1394</v>
      </c>
      <c r="G325" s="11" t="s">
        <v>1395</v>
      </c>
      <c r="H325" s="11"/>
      <c r="I325" s="14"/>
      <c r="J325" s="14"/>
      <c r="K325" s="14"/>
      <c r="L325" s="15"/>
      <c r="M325" s="14"/>
      <c r="N325" s="15"/>
      <c r="O325" s="14"/>
      <c r="P325" s="15"/>
      <c r="Q325" s="14"/>
      <c r="R325" s="15"/>
      <c r="S325" s="14"/>
      <c r="T325" s="15"/>
      <c r="U325" s="14"/>
      <c r="V325" s="15"/>
      <c r="W325" s="14"/>
      <c r="X325" s="15"/>
      <c r="Y325" s="14"/>
      <c r="Z325" s="15"/>
      <c r="AA325" s="14"/>
      <c r="AB325" s="15"/>
      <c r="AC325" s="14"/>
      <c r="AD325" s="15"/>
      <c r="AE325" s="14"/>
      <c r="AF325" s="15"/>
      <c r="AG325" s="15"/>
      <c r="AH325" s="15"/>
      <c r="AI325" s="14"/>
      <c r="AJ325" s="14"/>
      <c r="AK325" s="17"/>
    </row>
    <row r="326" customFormat="false" ht="42.75" hidden="false" customHeight="true" outlineLevel="0" collapsed="false">
      <c r="A326" s="11" t="n">
        <v>324</v>
      </c>
      <c r="B326" s="11" t="str">
        <f aca="false">IF(I326="Y",IF(COUNTIF(I$3:I326,"Y")&lt;=20,"pilot",IF(COUNTIF(I$3:I326,"Y")&lt;=40,"dev",IF(COUNTIF(I$3:I326,"Y")&lt;=120,"test","extra"))),"")</f>
        <v/>
      </c>
      <c r="C326" s="11" t="str">
        <f aca="false">IF(I326="Y",IF(COUNTA(K326,Q326,W326,AC326,AE326)=5,"done","in progress"),IF(I326="N","excluded",""))</f>
        <v/>
      </c>
      <c r="D326" s="11" t="s">
        <v>1396</v>
      </c>
      <c r="E326" s="12" t="s">
        <v>90</v>
      </c>
      <c r="F326" s="13" t="s">
        <v>1397</v>
      </c>
      <c r="G326" s="11" t="s">
        <v>322</v>
      </c>
      <c r="H326" s="11"/>
      <c r="I326" s="14"/>
      <c r="J326" s="14"/>
      <c r="K326" s="14"/>
      <c r="L326" s="15"/>
      <c r="M326" s="14"/>
      <c r="N326" s="15"/>
      <c r="O326" s="14"/>
      <c r="P326" s="15"/>
      <c r="Q326" s="14"/>
      <c r="R326" s="15"/>
      <c r="S326" s="14"/>
      <c r="T326" s="15"/>
      <c r="U326" s="14"/>
      <c r="V326" s="15"/>
      <c r="W326" s="14"/>
      <c r="X326" s="15"/>
      <c r="Y326" s="14"/>
      <c r="Z326" s="15"/>
      <c r="AA326" s="14"/>
      <c r="AB326" s="15"/>
      <c r="AC326" s="14"/>
      <c r="AD326" s="15"/>
      <c r="AE326" s="14"/>
      <c r="AF326" s="15"/>
      <c r="AG326" s="15"/>
      <c r="AH326" s="15"/>
      <c r="AI326" s="14"/>
      <c r="AJ326" s="14"/>
      <c r="AK326" s="17"/>
    </row>
    <row r="327" customFormat="false" ht="42.75" hidden="false" customHeight="true" outlineLevel="0" collapsed="false">
      <c r="A327" s="11" t="n">
        <v>325</v>
      </c>
      <c r="B327" s="11" t="str">
        <f aca="false">IF(I327="Y",IF(COUNTIF(I$3:I327,"Y")&lt;=20,"pilot",IF(COUNTIF(I$3:I327,"Y")&lt;=40,"dev",IF(COUNTIF(I$3:I327,"Y")&lt;=120,"test","extra"))),"")</f>
        <v/>
      </c>
      <c r="C327" s="11" t="str">
        <f aca="false">IF(I327="Y",IF(COUNTA(K327,Q327,W327,AC327,AE327)=5,"done","in progress"),IF(I327="N","excluded",""))</f>
        <v/>
      </c>
      <c r="D327" s="11" t="s">
        <v>1398</v>
      </c>
      <c r="E327" s="12" t="s">
        <v>90</v>
      </c>
      <c r="F327" s="13" t="s">
        <v>1399</v>
      </c>
      <c r="G327" s="11" t="s">
        <v>118</v>
      </c>
      <c r="H327" s="11"/>
      <c r="I327" s="14"/>
      <c r="J327" s="14"/>
      <c r="K327" s="14"/>
      <c r="L327" s="15"/>
      <c r="M327" s="14"/>
      <c r="N327" s="15"/>
      <c r="O327" s="14"/>
      <c r="P327" s="15"/>
      <c r="Q327" s="14"/>
      <c r="R327" s="15"/>
      <c r="S327" s="14"/>
      <c r="T327" s="15"/>
      <c r="U327" s="14"/>
      <c r="V327" s="15"/>
      <c r="W327" s="14"/>
      <c r="X327" s="15"/>
      <c r="Y327" s="14"/>
      <c r="Z327" s="15"/>
      <c r="AA327" s="14"/>
      <c r="AB327" s="15"/>
      <c r="AC327" s="14"/>
      <c r="AD327" s="15"/>
      <c r="AE327" s="14"/>
      <c r="AF327" s="15"/>
      <c r="AG327" s="15"/>
      <c r="AH327" s="15"/>
      <c r="AI327" s="14"/>
      <c r="AJ327" s="14"/>
      <c r="AK327" s="17"/>
    </row>
    <row r="328" customFormat="false" ht="42.75" hidden="false" customHeight="true" outlineLevel="0" collapsed="false">
      <c r="A328" s="11" t="n">
        <v>326</v>
      </c>
      <c r="B328" s="11" t="str">
        <f aca="false">IF(I328="Y",IF(COUNTIF(I$3:I328,"Y")&lt;=20,"pilot",IF(COUNTIF(I$3:I328,"Y")&lt;=40,"dev",IF(COUNTIF(I$3:I328,"Y")&lt;=120,"test","extra"))),"")</f>
        <v/>
      </c>
      <c r="C328" s="11" t="str">
        <f aca="false">IF(I328="Y",IF(COUNTA(K328,Q328,W328,AC328,AE328)=5,"done","in progress"),IF(I328="N","excluded",""))</f>
        <v/>
      </c>
      <c r="D328" s="11" t="s">
        <v>1400</v>
      </c>
      <c r="E328" s="12" t="s">
        <v>90</v>
      </c>
      <c r="F328" s="13" t="s">
        <v>1401</v>
      </c>
      <c r="G328" s="11" t="s">
        <v>118</v>
      </c>
      <c r="H328" s="11"/>
      <c r="I328" s="14"/>
      <c r="J328" s="14"/>
      <c r="K328" s="14"/>
      <c r="L328" s="15"/>
      <c r="M328" s="14"/>
      <c r="N328" s="15"/>
      <c r="O328" s="14"/>
      <c r="P328" s="15"/>
      <c r="Q328" s="14"/>
      <c r="R328" s="15"/>
      <c r="S328" s="14"/>
      <c r="T328" s="15"/>
      <c r="U328" s="14"/>
      <c r="V328" s="15"/>
      <c r="W328" s="14"/>
      <c r="X328" s="15"/>
      <c r="Y328" s="14"/>
      <c r="Z328" s="15"/>
      <c r="AA328" s="14"/>
      <c r="AB328" s="15"/>
      <c r="AC328" s="14"/>
      <c r="AD328" s="15"/>
      <c r="AE328" s="14"/>
      <c r="AF328" s="15"/>
      <c r="AG328" s="15"/>
      <c r="AH328" s="15"/>
      <c r="AI328" s="14"/>
      <c r="AJ328" s="14"/>
      <c r="AK328" s="17"/>
    </row>
    <row r="329" customFormat="false" ht="42.75" hidden="false" customHeight="true" outlineLevel="0" collapsed="false">
      <c r="A329" s="11" t="n">
        <v>327</v>
      </c>
      <c r="B329" s="11" t="str">
        <f aca="false">IF(I329="Y",IF(COUNTIF(I$3:I329,"Y")&lt;=20,"pilot",IF(COUNTIF(I$3:I329,"Y")&lt;=40,"dev",IF(COUNTIF(I$3:I329,"Y")&lt;=120,"test","extra"))),"")</f>
        <v/>
      </c>
      <c r="C329" s="11" t="str">
        <f aca="false">IF(I329="Y",IF(COUNTA(K329,Q329,W329,AC329,AE329)=5,"done","in progress"),IF(I329="N","excluded",""))</f>
        <v/>
      </c>
      <c r="D329" s="11" t="s">
        <v>1402</v>
      </c>
      <c r="E329" s="12" t="s">
        <v>90</v>
      </c>
      <c r="F329" s="13" t="s">
        <v>1403</v>
      </c>
      <c r="G329" s="11" t="s">
        <v>168</v>
      </c>
      <c r="H329" s="11"/>
      <c r="I329" s="14"/>
      <c r="J329" s="14"/>
      <c r="K329" s="14"/>
      <c r="L329" s="15"/>
      <c r="M329" s="14"/>
      <c r="N329" s="15"/>
      <c r="O329" s="14"/>
      <c r="P329" s="15"/>
      <c r="Q329" s="14"/>
      <c r="R329" s="15"/>
      <c r="S329" s="14"/>
      <c r="T329" s="15"/>
      <c r="U329" s="14"/>
      <c r="V329" s="15"/>
      <c r="W329" s="14"/>
      <c r="X329" s="15"/>
      <c r="Y329" s="14"/>
      <c r="Z329" s="15"/>
      <c r="AA329" s="14"/>
      <c r="AB329" s="15"/>
      <c r="AC329" s="14"/>
      <c r="AD329" s="15"/>
      <c r="AE329" s="14"/>
      <c r="AF329" s="15"/>
      <c r="AG329" s="15"/>
      <c r="AH329" s="15"/>
      <c r="AI329" s="14"/>
      <c r="AJ329" s="14"/>
      <c r="AK329" s="17"/>
    </row>
    <row r="330" customFormat="false" ht="28.5" hidden="false" customHeight="true" outlineLevel="0" collapsed="false">
      <c r="A330" s="11" t="n">
        <v>328</v>
      </c>
      <c r="B330" s="11" t="str">
        <f aca="false">IF(I330="Y",IF(COUNTIF(I$3:I330,"Y")&lt;=20,"pilot",IF(COUNTIF(I$3:I330,"Y")&lt;=40,"dev",IF(COUNTIF(I$3:I330,"Y")&lt;=120,"test","extra"))),"")</f>
        <v/>
      </c>
      <c r="C330" s="11" t="str">
        <f aca="false">IF(I330="Y",IF(COUNTA(K330,Q330,W330,AC330,AE330)=5,"done","in progress"),IF(I330="N","excluded",""))</f>
        <v/>
      </c>
      <c r="D330" s="11" t="s">
        <v>1404</v>
      </c>
      <c r="E330" s="12" t="s">
        <v>90</v>
      </c>
      <c r="F330" s="13" t="s">
        <v>1405</v>
      </c>
      <c r="G330" s="11" t="s">
        <v>978</v>
      </c>
      <c r="H330" s="11"/>
      <c r="I330" s="14"/>
      <c r="J330" s="14"/>
      <c r="K330" s="14"/>
      <c r="L330" s="15"/>
      <c r="M330" s="14"/>
      <c r="N330" s="15"/>
      <c r="O330" s="14"/>
      <c r="P330" s="15"/>
      <c r="Q330" s="14"/>
      <c r="R330" s="15"/>
      <c r="S330" s="14"/>
      <c r="T330" s="15"/>
      <c r="U330" s="14"/>
      <c r="V330" s="15"/>
      <c r="W330" s="14"/>
      <c r="X330" s="15"/>
      <c r="Y330" s="14"/>
      <c r="Z330" s="15"/>
      <c r="AA330" s="14"/>
      <c r="AB330" s="15"/>
      <c r="AC330" s="14"/>
      <c r="AD330" s="15"/>
      <c r="AE330" s="14"/>
      <c r="AF330" s="15"/>
      <c r="AG330" s="15"/>
      <c r="AH330" s="15"/>
      <c r="AI330" s="14"/>
      <c r="AJ330" s="14"/>
      <c r="AK330" s="17"/>
    </row>
    <row r="331" customFormat="false" ht="28.5" hidden="false" customHeight="true" outlineLevel="0" collapsed="false">
      <c r="A331" s="11" t="n">
        <v>329</v>
      </c>
      <c r="B331" s="11" t="str">
        <f aca="false">IF(I331="Y",IF(COUNTIF(I$3:I331,"Y")&lt;=20,"pilot",IF(COUNTIF(I$3:I331,"Y")&lt;=40,"dev",IF(COUNTIF(I$3:I331,"Y")&lt;=120,"test","extra"))),"")</f>
        <v/>
      </c>
      <c r="C331" s="11" t="str">
        <f aca="false">IF(I331="Y",IF(COUNTA(K331,Q331,W331,AC331,AE331)=5,"done","in progress"),IF(I331="N","excluded",""))</f>
        <v/>
      </c>
      <c r="D331" s="11" t="s">
        <v>1406</v>
      </c>
      <c r="E331" s="12" t="s">
        <v>90</v>
      </c>
      <c r="F331" s="13" t="s">
        <v>1407</v>
      </c>
      <c r="G331" s="11" t="s">
        <v>1408</v>
      </c>
      <c r="H331" s="11"/>
      <c r="I331" s="14"/>
      <c r="J331" s="14"/>
      <c r="K331" s="14"/>
      <c r="L331" s="15"/>
      <c r="M331" s="14"/>
      <c r="N331" s="15"/>
      <c r="O331" s="14"/>
      <c r="P331" s="15"/>
      <c r="Q331" s="14"/>
      <c r="R331" s="15"/>
      <c r="S331" s="14"/>
      <c r="T331" s="15"/>
      <c r="U331" s="14"/>
      <c r="V331" s="15"/>
      <c r="W331" s="14"/>
      <c r="X331" s="15"/>
      <c r="Y331" s="14"/>
      <c r="Z331" s="15"/>
      <c r="AA331" s="14"/>
      <c r="AB331" s="15"/>
      <c r="AC331" s="14"/>
      <c r="AD331" s="15"/>
      <c r="AE331" s="14"/>
      <c r="AF331" s="15"/>
      <c r="AG331" s="15"/>
      <c r="AH331" s="15"/>
      <c r="AI331" s="14"/>
      <c r="AJ331" s="14"/>
      <c r="AK331" s="17"/>
    </row>
    <row r="332" customFormat="false" ht="28.5" hidden="false" customHeight="true" outlineLevel="0" collapsed="false">
      <c r="A332" s="11" t="n">
        <v>330</v>
      </c>
      <c r="B332" s="11" t="str">
        <f aca="false">IF(I332="Y",IF(COUNTIF(I$3:I332,"Y")&lt;=20,"pilot",IF(COUNTIF(I$3:I332,"Y")&lt;=40,"dev",IF(COUNTIF(I$3:I332,"Y")&lt;=120,"test","extra"))),"")</f>
        <v/>
      </c>
      <c r="C332" s="11" t="str">
        <f aca="false">IF(I332="Y",IF(COUNTA(K332,Q332,W332,AC332,AE332)=5,"done","in progress"),IF(I332="N","excluded",""))</f>
        <v/>
      </c>
      <c r="D332" s="11" t="s">
        <v>1409</v>
      </c>
      <c r="E332" s="12" t="s">
        <v>90</v>
      </c>
      <c r="F332" s="13" t="s">
        <v>1410</v>
      </c>
      <c r="G332" s="11" t="s">
        <v>1411</v>
      </c>
      <c r="H332" s="11"/>
      <c r="I332" s="14"/>
      <c r="J332" s="14"/>
      <c r="K332" s="14"/>
      <c r="L332" s="15"/>
      <c r="M332" s="14"/>
      <c r="N332" s="15"/>
      <c r="O332" s="14"/>
      <c r="P332" s="15"/>
      <c r="Q332" s="14"/>
      <c r="R332" s="15"/>
      <c r="S332" s="14"/>
      <c r="T332" s="15"/>
      <c r="U332" s="14"/>
      <c r="V332" s="15"/>
      <c r="W332" s="14"/>
      <c r="X332" s="15"/>
      <c r="Y332" s="14"/>
      <c r="Z332" s="15"/>
      <c r="AA332" s="14"/>
      <c r="AB332" s="15"/>
      <c r="AC332" s="14"/>
      <c r="AD332" s="15"/>
      <c r="AE332" s="14"/>
      <c r="AF332" s="15"/>
      <c r="AG332" s="15"/>
      <c r="AH332" s="15"/>
      <c r="AI332" s="14"/>
      <c r="AJ332" s="14"/>
      <c r="AK332" s="17"/>
    </row>
    <row r="333" customFormat="false" ht="42.75" hidden="false" customHeight="true" outlineLevel="0" collapsed="false">
      <c r="A333" s="11" t="n">
        <v>331</v>
      </c>
      <c r="B333" s="11" t="str">
        <f aca="false">IF(I333="Y",IF(COUNTIF(I$3:I333,"Y")&lt;=20,"pilot",IF(COUNTIF(I$3:I333,"Y")&lt;=40,"dev",IF(COUNTIF(I$3:I333,"Y")&lt;=120,"test","extra"))),"")</f>
        <v/>
      </c>
      <c r="C333" s="11" t="str">
        <f aca="false">IF(I333="Y",IF(COUNTA(K333,Q333,W333,AC333,AE333)=5,"done","in progress"),IF(I333="N","excluded",""))</f>
        <v/>
      </c>
      <c r="D333" s="11" t="s">
        <v>1412</v>
      </c>
      <c r="E333" s="12" t="s">
        <v>90</v>
      </c>
      <c r="F333" s="13" t="s">
        <v>1413</v>
      </c>
      <c r="G333" s="11" t="s">
        <v>1414</v>
      </c>
      <c r="H333" s="11"/>
      <c r="I333" s="14"/>
      <c r="J333" s="14"/>
      <c r="K333" s="14"/>
      <c r="L333" s="15"/>
      <c r="M333" s="14"/>
      <c r="N333" s="15"/>
      <c r="O333" s="14"/>
      <c r="P333" s="15"/>
      <c r="Q333" s="14"/>
      <c r="R333" s="15"/>
      <c r="S333" s="14"/>
      <c r="T333" s="15"/>
      <c r="U333" s="14"/>
      <c r="V333" s="15"/>
      <c r="W333" s="14"/>
      <c r="X333" s="15"/>
      <c r="Y333" s="14"/>
      <c r="Z333" s="15"/>
      <c r="AA333" s="14"/>
      <c r="AB333" s="15"/>
      <c r="AC333" s="14"/>
      <c r="AD333" s="15"/>
      <c r="AE333" s="14"/>
      <c r="AF333" s="15"/>
      <c r="AG333" s="15"/>
      <c r="AH333" s="15"/>
      <c r="AI333" s="14"/>
      <c r="AJ333" s="14"/>
      <c r="AK333" s="17"/>
    </row>
    <row r="334" customFormat="false" ht="42.75" hidden="false" customHeight="true" outlineLevel="0" collapsed="false">
      <c r="A334" s="11" t="n">
        <v>332</v>
      </c>
      <c r="B334" s="11" t="str">
        <f aca="false">IF(I334="Y",IF(COUNTIF(I$3:I334,"Y")&lt;=20,"pilot",IF(COUNTIF(I$3:I334,"Y")&lt;=40,"dev",IF(COUNTIF(I$3:I334,"Y")&lt;=120,"test","extra"))),"")</f>
        <v/>
      </c>
      <c r="C334" s="11" t="str">
        <f aca="false">IF(I334="Y",IF(COUNTA(K334,Q334,W334,AC334,AE334)=5,"done","in progress"),IF(I334="N","excluded",""))</f>
        <v/>
      </c>
      <c r="D334" s="11" t="s">
        <v>1415</v>
      </c>
      <c r="E334" s="12" t="s">
        <v>90</v>
      </c>
      <c r="F334" s="13" t="s">
        <v>1416</v>
      </c>
      <c r="G334" s="11" t="s">
        <v>806</v>
      </c>
      <c r="H334" s="11"/>
      <c r="I334" s="14"/>
      <c r="J334" s="14"/>
      <c r="K334" s="14"/>
      <c r="L334" s="15"/>
      <c r="M334" s="14"/>
      <c r="N334" s="15"/>
      <c r="O334" s="14"/>
      <c r="P334" s="15"/>
      <c r="Q334" s="14"/>
      <c r="R334" s="15"/>
      <c r="S334" s="14"/>
      <c r="T334" s="15"/>
      <c r="U334" s="14"/>
      <c r="V334" s="15"/>
      <c r="W334" s="14"/>
      <c r="X334" s="15"/>
      <c r="Y334" s="14"/>
      <c r="Z334" s="15"/>
      <c r="AA334" s="14"/>
      <c r="AB334" s="15"/>
      <c r="AC334" s="14"/>
      <c r="AD334" s="15"/>
      <c r="AE334" s="14"/>
      <c r="AF334" s="15"/>
      <c r="AG334" s="15"/>
      <c r="AH334" s="15"/>
      <c r="AI334" s="14"/>
      <c r="AJ334" s="14"/>
      <c r="AK334" s="17"/>
    </row>
    <row r="335" customFormat="false" ht="42.75" hidden="false" customHeight="true" outlineLevel="0" collapsed="false">
      <c r="A335" s="11" t="n">
        <v>333</v>
      </c>
      <c r="B335" s="11" t="str">
        <f aca="false">IF(I335="Y",IF(COUNTIF(I$3:I335,"Y")&lt;=20,"pilot",IF(COUNTIF(I$3:I335,"Y")&lt;=40,"dev",IF(COUNTIF(I$3:I335,"Y")&lt;=120,"test","extra"))),"")</f>
        <v/>
      </c>
      <c r="C335" s="11" t="str">
        <f aca="false">IF(I335="Y",IF(COUNTA(K335,Q335,W335,AC335,AE335)=5,"done","in progress"),IF(I335="N","excluded",""))</f>
        <v/>
      </c>
      <c r="D335" s="11" t="s">
        <v>1417</v>
      </c>
      <c r="E335" s="12" t="s">
        <v>90</v>
      </c>
      <c r="F335" s="13" t="s">
        <v>1418</v>
      </c>
      <c r="G335" s="11" t="s">
        <v>193</v>
      </c>
      <c r="H335" s="11"/>
      <c r="I335" s="14"/>
      <c r="J335" s="14"/>
      <c r="K335" s="14"/>
      <c r="L335" s="15"/>
      <c r="M335" s="14"/>
      <c r="N335" s="15"/>
      <c r="O335" s="14"/>
      <c r="P335" s="15"/>
      <c r="Q335" s="14"/>
      <c r="R335" s="15"/>
      <c r="S335" s="14"/>
      <c r="T335" s="15"/>
      <c r="U335" s="14"/>
      <c r="V335" s="15"/>
      <c r="W335" s="14"/>
      <c r="X335" s="15"/>
      <c r="Y335" s="14"/>
      <c r="Z335" s="15"/>
      <c r="AA335" s="14"/>
      <c r="AB335" s="15"/>
      <c r="AC335" s="14"/>
      <c r="AD335" s="15"/>
      <c r="AE335" s="14"/>
      <c r="AF335" s="15"/>
      <c r="AG335" s="15"/>
      <c r="AH335" s="15"/>
      <c r="AI335" s="14"/>
      <c r="AJ335" s="14"/>
      <c r="AK335" s="17"/>
    </row>
    <row r="336" customFormat="false" ht="42.75" hidden="false" customHeight="true" outlineLevel="0" collapsed="false">
      <c r="A336" s="11" t="n">
        <v>334</v>
      </c>
      <c r="B336" s="11" t="str">
        <f aca="false">IF(I336="Y",IF(COUNTIF(I$3:I336,"Y")&lt;=20,"pilot",IF(COUNTIF(I$3:I336,"Y")&lt;=40,"dev",IF(COUNTIF(I$3:I336,"Y")&lt;=120,"test","extra"))),"")</f>
        <v/>
      </c>
      <c r="C336" s="11" t="str">
        <f aca="false">IF(I336="Y",IF(COUNTA(K336,Q336,W336,AC336,AE336)=5,"done","in progress"),IF(I336="N","excluded",""))</f>
        <v/>
      </c>
      <c r="D336" s="11" t="s">
        <v>1419</v>
      </c>
      <c r="E336" s="12" t="s">
        <v>90</v>
      </c>
      <c r="F336" s="13" t="s">
        <v>1420</v>
      </c>
      <c r="G336" s="11" t="s">
        <v>145</v>
      </c>
      <c r="H336" s="11"/>
      <c r="I336" s="14"/>
      <c r="J336" s="14"/>
      <c r="K336" s="14"/>
      <c r="L336" s="15"/>
      <c r="M336" s="14"/>
      <c r="N336" s="15"/>
      <c r="O336" s="14"/>
      <c r="P336" s="15"/>
      <c r="Q336" s="14"/>
      <c r="R336" s="15"/>
      <c r="S336" s="14"/>
      <c r="T336" s="15"/>
      <c r="U336" s="14"/>
      <c r="V336" s="15"/>
      <c r="W336" s="14"/>
      <c r="X336" s="15"/>
      <c r="Y336" s="14"/>
      <c r="Z336" s="15"/>
      <c r="AA336" s="14"/>
      <c r="AB336" s="15"/>
      <c r="AC336" s="14"/>
      <c r="AD336" s="15"/>
      <c r="AE336" s="14"/>
      <c r="AF336" s="15"/>
      <c r="AG336" s="15"/>
      <c r="AH336" s="15"/>
      <c r="AI336" s="14"/>
      <c r="AJ336" s="14"/>
      <c r="AK336" s="17"/>
    </row>
    <row r="337" customFormat="false" ht="42.75" hidden="false" customHeight="true" outlineLevel="0" collapsed="false">
      <c r="A337" s="11" t="n">
        <v>335</v>
      </c>
      <c r="B337" s="11" t="str">
        <f aca="false">IF(I337="Y",IF(COUNTIF(I$3:I337,"Y")&lt;=20,"pilot",IF(COUNTIF(I$3:I337,"Y")&lt;=40,"dev",IF(COUNTIF(I$3:I337,"Y")&lt;=120,"test","extra"))),"")</f>
        <v/>
      </c>
      <c r="C337" s="11" t="str">
        <f aca="false">IF(I337="Y",IF(COUNTA(K337,Q337,W337,AC337,AE337)=5,"done","in progress"),IF(I337="N","excluded",""))</f>
        <v/>
      </c>
      <c r="D337" s="11" t="s">
        <v>1421</v>
      </c>
      <c r="E337" s="12" t="s">
        <v>90</v>
      </c>
      <c r="F337" s="13" t="s">
        <v>1422</v>
      </c>
      <c r="G337" s="11" t="s">
        <v>193</v>
      </c>
      <c r="H337" s="11"/>
      <c r="I337" s="14"/>
      <c r="J337" s="14"/>
      <c r="K337" s="14"/>
      <c r="L337" s="15"/>
      <c r="M337" s="14"/>
      <c r="N337" s="15"/>
      <c r="O337" s="14"/>
      <c r="P337" s="15"/>
      <c r="Q337" s="14"/>
      <c r="R337" s="15"/>
      <c r="S337" s="14"/>
      <c r="T337" s="15"/>
      <c r="U337" s="14"/>
      <c r="V337" s="15"/>
      <c r="W337" s="14"/>
      <c r="X337" s="15"/>
      <c r="Y337" s="14"/>
      <c r="Z337" s="15"/>
      <c r="AA337" s="14"/>
      <c r="AB337" s="15"/>
      <c r="AC337" s="14"/>
      <c r="AD337" s="15"/>
      <c r="AE337" s="14"/>
      <c r="AF337" s="15"/>
      <c r="AG337" s="15"/>
      <c r="AH337" s="15"/>
      <c r="AI337" s="14"/>
      <c r="AJ337" s="14"/>
      <c r="AK337" s="17"/>
    </row>
    <row r="338" customFormat="false" ht="42.75" hidden="false" customHeight="true" outlineLevel="0" collapsed="false">
      <c r="A338" s="11" t="n">
        <v>336</v>
      </c>
      <c r="B338" s="11" t="str">
        <f aca="false">IF(I338="Y",IF(COUNTIF(I$3:I338,"Y")&lt;=20,"pilot",IF(COUNTIF(I$3:I338,"Y")&lt;=40,"dev",IF(COUNTIF(I$3:I338,"Y")&lt;=120,"test","extra"))),"")</f>
        <v/>
      </c>
      <c r="C338" s="11" t="str">
        <f aca="false">IF(I338="Y",IF(COUNTA(K338,Q338,W338,AC338,AE338)=5,"done","in progress"),IF(I338="N","excluded",""))</f>
        <v/>
      </c>
      <c r="D338" s="11" t="s">
        <v>1423</v>
      </c>
      <c r="E338" s="12" t="s">
        <v>90</v>
      </c>
      <c r="F338" s="13" t="s">
        <v>1424</v>
      </c>
      <c r="G338" s="11" t="s">
        <v>168</v>
      </c>
      <c r="H338" s="11"/>
      <c r="I338" s="14"/>
      <c r="J338" s="14"/>
      <c r="K338" s="14"/>
      <c r="L338" s="15"/>
      <c r="M338" s="14"/>
      <c r="N338" s="15"/>
      <c r="O338" s="14"/>
      <c r="P338" s="15"/>
      <c r="Q338" s="14"/>
      <c r="R338" s="15"/>
      <c r="S338" s="14"/>
      <c r="T338" s="15"/>
      <c r="U338" s="14"/>
      <c r="V338" s="15"/>
      <c r="W338" s="14"/>
      <c r="X338" s="15"/>
      <c r="Y338" s="14"/>
      <c r="Z338" s="15"/>
      <c r="AA338" s="14"/>
      <c r="AB338" s="15"/>
      <c r="AC338" s="14"/>
      <c r="AD338" s="15"/>
      <c r="AE338" s="14"/>
      <c r="AF338" s="15"/>
      <c r="AG338" s="15"/>
      <c r="AH338" s="15"/>
      <c r="AI338" s="14"/>
      <c r="AJ338" s="14"/>
      <c r="AK338" s="17"/>
    </row>
    <row r="339" customFormat="false" ht="28.5" hidden="false" customHeight="true" outlineLevel="0" collapsed="false">
      <c r="A339" s="11" t="n">
        <v>337</v>
      </c>
      <c r="B339" s="11" t="str">
        <f aca="false">IF(I339="Y",IF(COUNTIF(I$3:I339,"Y")&lt;=20,"pilot",IF(COUNTIF(I$3:I339,"Y")&lt;=40,"dev",IF(COUNTIF(I$3:I339,"Y")&lt;=120,"test","extra"))),"")</f>
        <v/>
      </c>
      <c r="C339" s="11" t="str">
        <f aca="false">IF(I339="Y",IF(COUNTA(K339,Q339,W339,AC339,AE339)=5,"done","in progress"),IF(I339="N","excluded",""))</f>
        <v/>
      </c>
      <c r="D339" s="11" t="s">
        <v>1425</v>
      </c>
      <c r="E339" s="12" t="s">
        <v>90</v>
      </c>
      <c r="F339" s="13" t="s">
        <v>1426</v>
      </c>
      <c r="G339" s="11" t="s">
        <v>1427</v>
      </c>
      <c r="H339" s="11"/>
      <c r="I339" s="14"/>
      <c r="J339" s="14"/>
      <c r="K339" s="14"/>
      <c r="L339" s="15"/>
      <c r="M339" s="14"/>
      <c r="N339" s="15"/>
      <c r="O339" s="14"/>
      <c r="P339" s="15"/>
      <c r="Q339" s="14"/>
      <c r="R339" s="15"/>
      <c r="S339" s="14"/>
      <c r="T339" s="15"/>
      <c r="U339" s="14"/>
      <c r="V339" s="15"/>
      <c r="W339" s="14"/>
      <c r="X339" s="15"/>
      <c r="Y339" s="14"/>
      <c r="Z339" s="15"/>
      <c r="AA339" s="14"/>
      <c r="AB339" s="15"/>
      <c r="AC339" s="14"/>
      <c r="AD339" s="15"/>
      <c r="AE339" s="14"/>
      <c r="AF339" s="15"/>
      <c r="AG339" s="15"/>
      <c r="AH339" s="15"/>
      <c r="AI339" s="14"/>
      <c r="AJ339" s="14"/>
      <c r="AK339" s="17"/>
    </row>
    <row r="340" customFormat="false" ht="28.5" hidden="false" customHeight="true" outlineLevel="0" collapsed="false">
      <c r="A340" s="11" t="n">
        <v>338</v>
      </c>
      <c r="B340" s="11" t="str">
        <f aca="false">IF(I340="Y",IF(COUNTIF(I$3:I340,"Y")&lt;=20,"pilot",IF(COUNTIF(I$3:I340,"Y")&lt;=40,"dev",IF(COUNTIF(I$3:I340,"Y")&lt;=120,"test","extra"))),"")</f>
        <v/>
      </c>
      <c r="C340" s="11" t="str">
        <f aca="false">IF(I340="Y",IF(COUNTA(K340,Q340,W340,AC340,AE340)=5,"done","in progress"),IF(I340="N","excluded",""))</f>
        <v/>
      </c>
      <c r="D340" s="11" t="s">
        <v>1428</v>
      </c>
      <c r="E340" s="12" t="s">
        <v>90</v>
      </c>
      <c r="F340" s="13" t="s">
        <v>1429</v>
      </c>
      <c r="G340" s="11" t="s">
        <v>1430</v>
      </c>
      <c r="H340" s="11" t="s">
        <v>1431</v>
      </c>
      <c r="I340" s="14"/>
      <c r="J340" s="14"/>
      <c r="K340" s="14"/>
      <c r="L340" s="15"/>
      <c r="M340" s="14"/>
      <c r="N340" s="15"/>
      <c r="O340" s="14"/>
      <c r="P340" s="15"/>
      <c r="Q340" s="14"/>
      <c r="R340" s="15"/>
      <c r="S340" s="14"/>
      <c r="T340" s="15"/>
      <c r="U340" s="14"/>
      <c r="V340" s="15"/>
      <c r="W340" s="14"/>
      <c r="X340" s="15"/>
      <c r="Y340" s="14"/>
      <c r="Z340" s="15"/>
      <c r="AA340" s="14"/>
      <c r="AB340" s="15"/>
      <c r="AC340" s="14"/>
      <c r="AD340" s="15"/>
      <c r="AE340" s="14"/>
      <c r="AF340" s="15"/>
      <c r="AG340" s="15"/>
      <c r="AH340" s="15"/>
      <c r="AI340" s="14"/>
      <c r="AJ340" s="14"/>
      <c r="AK340" s="17"/>
    </row>
    <row r="341" customFormat="false" ht="42.75" hidden="false" customHeight="true" outlineLevel="0" collapsed="false">
      <c r="A341" s="11" t="n">
        <v>339</v>
      </c>
      <c r="B341" s="11" t="str">
        <f aca="false">IF(I341="Y",IF(COUNTIF(I$3:I341,"Y")&lt;=20,"pilot",IF(COUNTIF(I$3:I341,"Y")&lt;=40,"dev",IF(COUNTIF(I$3:I341,"Y")&lt;=120,"test","extra"))),"")</f>
        <v/>
      </c>
      <c r="C341" s="11" t="str">
        <f aca="false">IF(I341="Y",IF(COUNTA(K341,Q341,W341,AC341,AE341)=5,"done","in progress"),IF(I341="N","excluded",""))</f>
        <v/>
      </c>
      <c r="D341" s="11" t="s">
        <v>1432</v>
      </c>
      <c r="E341" s="12" t="s">
        <v>90</v>
      </c>
      <c r="F341" s="13" t="s">
        <v>1433</v>
      </c>
      <c r="G341" s="11" t="s">
        <v>168</v>
      </c>
      <c r="H341" s="11" t="s">
        <v>366</v>
      </c>
      <c r="I341" s="14"/>
      <c r="J341" s="14"/>
      <c r="K341" s="14"/>
      <c r="L341" s="15"/>
      <c r="M341" s="14"/>
      <c r="N341" s="15"/>
      <c r="O341" s="14"/>
      <c r="P341" s="15"/>
      <c r="Q341" s="14"/>
      <c r="R341" s="15"/>
      <c r="S341" s="14"/>
      <c r="T341" s="15"/>
      <c r="U341" s="14"/>
      <c r="V341" s="15"/>
      <c r="W341" s="14"/>
      <c r="X341" s="15"/>
      <c r="Y341" s="14"/>
      <c r="Z341" s="15"/>
      <c r="AA341" s="14"/>
      <c r="AB341" s="15"/>
      <c r="AC341" s="14"/>
      <c r="AD341" s="15"/>
      <c r="AE341" s="14"/>
      <c r="AF341" s="15"/>
      <c r="AG341" s="15"/>
      <c r="AH341" s="15"/>
      <c r="AI341" s="14"/>
      <c r="AJ341" s="14"/>
      <c r="AK341" s="17"/>
    </row>
    <row r="342" customFormat="false" ht="57" hidden="false" customHeight="true" outlineLevel="0" collapsed="false">
      <c r="A342" s="11" t="n">
        <v>340</v>
      </c>
      <c r="B342" s="11" t="str">
        <f aca="false">IF(I342="Y",IF(COUNTIF(I$3:I342,"Y")&lt;=20,"pilot",IF(COUNTIF(I$3:I342,"Y")&lt;=40,"dev",IF(COUNTIF(I$3:I342,"Y")&lt;=120,"test","extra"))),"")</f>
        <v/>
      </c>
      <c r="C342" s="11" t="str">
        <f aca="false">IF(I342="Y",IF(COUNTA(K342,Q342,W342,AC342,AE342)=5,"done","in progress"),IF(I342="N","excluded",""))</f>
        <v/>
      </c>
      <c r="D342" s="11" t="s">
        <v>1434</v>
      </c>
      <c r="E342" s="12" t="s">
        <v>90</v>
      </c>
      <c r="F342" s="13" t="s">
        <v>1435</v>
      </c>
      <c r="G342" s="11" t="s">
        <v>644</v>
      </c>
      <c r="H342" s="11"/>
      <c r="I342" s="14"/>
      <c r="J342" s="14"/>
      <c r="K342" s="14"/>
      <c r="L342" s="15"/>
      <c r="M342" s="14"/>
      <c r="N342" s="15"/>
      <c r="O342" s="14"/>
      <c r="P342" s="15"/>
      <c r="Q342" s="14"/>
      <c r="R342" s="15"/>
      <c r="S342" s="14"/>
      <c r="T342" s="15"/>
      <c r="U342" s="14"/>
      <c r="V342" s="15"/>
      <c r="W342" s="14"/>
      <c r="X342" s="15"/>
      <c r="Y342" s="14"/>
      <c r="Z342" s="15"/>
      <c r="AA342" s="14"/>
      <c r="AB342" s="15"/>
      <c r="AC342" s="14"/>
      <c r="AD342" s="15"/>
      <c r="AE342" s="14"/>
      <c r="AF342" s="15"/>
      <c r="AG342" s="15"/>
      <c r="AH342" s="15"/>
      <c r="AI342" s="14"/>
      <c r="AJ342" s="14"/>
      <c r="AK342" s="17"/>
    </row>
    <row r="343" customFormat="false" ht="42.75" hidden="false" customHeight="true" outlineLevel="0" collapsed="false">
      <c r="A343" s="11" t="n">
        <v>341</v>
      </c>
      <c r="B343" s="11" t="str">
        <f aca="false">IF(I343="Y",IF(COUNTIF(I$3:I343,"Y")&lt;=20,"pilot",IF(COUNTIF(I$3:I343,"Y")&lt;=40,"dev",IF(COUNTIF(I$3:I343,"Y")&lt;=120,"test","extra"))),"")</f>
        <v/>
      </c>
      <c r="C343" s="11" t="str">
        <f aca="false">IF(I343="Y",IF(COUNTA(K343,Q343,W343,AC343,AE343)=5,"done","in progress"),IF(I343="N","excluded",""))</f>
        <v/>
      </c>
      <c r="D343" s="11" t="s">
        <v>1436</v>
      </c>
      <c r="E343" s="12" t="s">
        <v>90</v>
      </c>
      <c r="F343" s="13" t="s">
        <v>1437</v>
      </c>
      <c r="G343" s="11" t="s">
        <v>978</v>
      </c>
      <c r="H343" s="11"/>
      <c r="I343" s="14"/>
      <c r="J343" s="14"/>
      <c r="K343" s="14"/>
      <c r="L343" s="15"/>
      <c r="M343" s="14"/>
      <c r="N343" s="15"/>
      <c r="O343" s="14"/>
      <c r="P343" s="15"/>
      <c r="Q343" s="14"/>
      <c r="R343" s="15"/>
      <c r="S343" s="14"/>
      <c r="T343" s="15"/>
      <c r="U343" s="14"/>
      <c r="V343" s="15"/>
      <c r="W343" s="14"/>
      <c r="X343" s="15"/>
      <c r="Y343" s="14"/>
      <c r="Z343" s="15"/>
      <c r="AA343" s="14"/>
      <c r="AB343" s="15"/>
      <c r="AC343" s="14"/>
      <c r="AD343" s="15"/>
      <c r="AE343" s="14"/>
      <c r="AF343" s="15"/>
      <c r="AG343" s="15"/>
      <c r="AH343" s="15"/>
      <c r="AI343" s="14"/>
      <c r="AJ343" s="14"/>
      <c r="AK343" s="17"/>
    </row>
    <row r="344" customFormat="false" ht="42.75" hidden="false" customHeight="true" outlineLevel="0" collapsed="false">
      <c r="A344" s="11" t="n">
        <v>342</v>
      </c>
      <c r="B344" s="11" t="str">
        <f aca="false">IF(I344="Y",IF(COUNTIF(I$3:I344,"Y")&lt;=20,"pilot",IF(COUNTIF(I$3:I344,"Y")&lt;=40,"dev",IF(COUNTIF(I$3:I344,"Y")&lt;=120,"test","extra"))),"")</f>
        <v/>
      </c>
      <c r="C344" s="11" t="str">
        <f aca="false">IF(I344="Y",IF(COUNTA(K344,Q344,W344,AC344,AE344)=5,"done","in progress"),IF(I344="N","excluded",""))</f>
        <v/>
      </c>
      <c r="D344" s="11" t="s">
        <v>1438</v>
      </c>
      <c r="E344" s="12" t="s">
        <v>90</v>
      </c>
      <c r="F344" s="13" t="s">
        <v>1439</v>
      </c>
      <c r="G344" s="11" t="s">
        <v>1440</v>
      </c>
      <c r="H344" s="11"/>
      <c r="I344" s="14"/>
      <c r="J344" s="14"/>
      <c r="K344" s="14"/>
      <c r="L344" s="15"/>
      <c r="M344" s="14"/>
      <c r="N344" s="15"/>
      <c r="O344" s="14"/>
      <c r="P344" s="15"/>
      <c r="Q344" s="14"/>
      <c r="R344" s="15"/>
      <c r="S344" s="14"/>
      <c r="T344" s="15"/>
      <c r="U344" s="14"/>
      <c r="V344" s="15"/>
      <c r="W344" s="14"/>
      <c r="X344" s="15"/>
      <c r="Y344" s="14"/>
      <c r="Z344" s="15"/>
      <c r="AA344" s="14"/>
      <c r="AB344" s="15"/>
      <c r="AC344" s="14"/>
      <c r="AD344" s="15"/>
      <c r="AE344" s="14"/>
      <c r="AF344" s="15"/>
      <c r="AG344" s="15"/>
      <c r="AH344" s="15"/>
      <c r="AI344" s="14"/>
      <c r="AJ344" s="14"/>
      <c r="AK344" s="17"/>
    </row>
    <row r="345" customFormat="false" ht="57" hidden="false" customHeight="true" outlineLevel="0" collapsed="false">
      <c r="A345" s="11" t="n">
        <v>343</v>
      </c>
      <c r="B345" s="11" t="str">
        <f aca="false">IF(I345="Y",IF(COUNTIF(I$3:I345,"Y")&lt;=20,"pilot",IF(COUNTIF(I$3:I345,"Y")&lt;=40,"dev",IF(COUNTIF(I$3:I345,"Y")&lt;=120,"test","extra"))),"")</f>
        <v/>
      </c>
      <c r="C345" s="11" t="str">
        <f aca="false">IF(I345="Y",IF(COUNTA(K345,Q345,W345,AC345,AE345)=5,"done","in progress"),IF(I345="N","excluded",""))</f>
        <v/>
      </c>
      <c r="D345" s="11" t="s">
        <v>1441</v>
      </c>
      <c r="E345" s="12" t="s">
        <v>90</v>
      </c>
      <c r="F345" s="13" t="s">
        <v>1442</v>
      </c>
      <c r="G345" s="11" t="s">
        <v>1443</v>
      </c>
      <c r="H345" s="11"/>
      <c r="I345" s="14"/>
      <c r="J345" s="14"/>
      <c r="K345" s="14"/>
      <c r="L345" s="15"/>
      <c r="M345" s="14"/>
      <c r="N345" s="15"/>
      <c r="O345" s="14"/>
      <c r="P345" s="15"/>
      <c r="Q345" s="14"/>
      <c r="R345" s="15"/>
      <c r="S345" s="14"/>
      <c r="T345" s="15"/>
      <c r="U345" s="14"/>
      <c r="V345" s="15"/>
      <c r="W345" s="14"/>
      <c r="X345" s="15"/>
      <c r="Y345" s="14"/>
      <c r="Z345" s="15"/>
      <c r="AA345" s="14"/>
      <c r="AB345" s="15"/>
      <c r="AC345" s="14"/>
      <c r="AD345" s="15"/>
      <c r="AE345" s="14"/>
      <c r="AF345" s="15"/>
      <c r="AG345" s="15"/>
      <c r="AH345" s="15"/>
      <c r="AI345" s="14"/>
      <c r="AJ345" s="14"/>
      <c r="AK345" s="17"/>
    </row>
    <row r="346" customFormat="false" ht="42.75" hidden="false" customHeight="true" outlineLevel="0" collapsed="false">
      <c r="A346" s="11" t="n">
        <v>344</v>
      </c>
      <c r="B346" s="11" t="str">
        <f aca="false">IF(I346="Y",IF(COUNTIF(I$3:I346,"Y")&lt;=20,"pilot",IF(COUNTIF(I$3:I346,"Y")&lt;=40,"dev",IF(COUNTIF(I$3:I346,"Y")&lt;=120,"test","extra"))),"")</f>
        <v/>
      </c>
      <c r="C346" s="11" t="str">
        <f aca="false">IF(I346="Y",IF(COUNTA(K346,Q346,W346,AC346,AE346)=5,"done","in progress"),IF(I346="N","excluded",""))</f>
        <v/>
      </c>
      <c r="D346" s="11" t="s">
        <v>1444</v>
      </c>
      <c r="E346" s="12" t="s">
        <v>90</v>
      </c>
      <c r="F346" s="13" t="s">
        <v>1445</v>
      </c>
      <c r="G346" s="11" t="s">
        <v>476</v>
      </c>
      <c r="H346" s="11"/>
      <c r="I346" s="14"/>
      <c r="J346" s="14"/>
      <c r="K346" s="14"/>
      <c r="L346" s="15"/>
      <c r="M346" s="14"/>
      <c r="N346" s="15"/>
      <c r="O346" s="14"/>
      <c r="P346" s="15"/>
      <c r="Q346" s="14"/>
      <c r="R346" s="15"/>
      <c r="S346" s="14"/>
      <c r="T346" s="15"/>
      <c r="U346" s="14"/>
      <c r="V346" s="15"/>
      <c r="W346" s="14"/>
      <c r="X346" s="15"/>
      <c r="Y346" s="14"/>
      <c r="Z346" s="15"/>
      <c r="AA346" s="14"/>
      <c r="AB346" s="15"/>
      <c r="AC346" s="14"/>
      <c r="AD346" s="15"/>
      <c r="AE346" s="14"/>
      <c r="AF346" s="15"/>
      <c r="AG346" s="15"/>
      <c r="AH346" s="15"/>
      <c r="AI346" s="14"/>
      <c r="AJ346" s="14"/>
      <c r="AK346" s="17"/>
    </row>
    <row r="347" customFormat="false" ht="28.5" hidden="false" customHeight="true" outlineLevel="0" collapsed="false">
      <c r="A347" s="11" t="n">
        <v>345</v>
      </c>
      <c r="B347" s="11" t="str">
        <f aca="false">IF(I347="Y",IF(COUNTIF(I$3:I347,"Y")&lt;=20,"pilot",IF(COUNTIF(I$3:I347,"Y")&lt;=40,"dev",IF(COUNTIF(I$3:I347,"Y")&lt;=120,"test","extra"))),"")</f>
        <v/>
      </c>
      <c r="C347" s="11" t="str">
        <f aca="false">IF(I347="Y",IF(COUNTA(K347,Q347,W347,AC347,AE347)=5,"done","in progress"),IF(I347="N","excluded",""))</f>
        <v/>
      </c>
      <c r="D347" s="11" t="s">
        <v>1446</v>
      </c>
      <c r="E347" s="12" t="s">
        <v>90</v>
      </c>
      <c r="F347" s="13" t="s">
        <v>1447</v>
      </c>
      <c r="G347" s="11" t="s">
        <v>92</v>
      </c>
      <c r="H347" s="11"/>
      <c r="I347" s="14"/>
      <c r="J347" s="14"/>
      <c r="K347" s="14"/>
      <c r="L347" s="15"/>
      <c r="M347" s="14"/>
      <c r="N347" s="15"/>
      <c r="O347" s="14"/>
      <c r="P347" s="15"/>
      <c r="Q347" s="14"/>
      <c r="R347" s="15"/>
      <c r="S347" s="14"/>
      <c r="T347" s="15"/>
      <c r="U347" s="14"/>
      <c r="V347" s="15"/>
      <c r="W347" s="14"/>
      <c r="X347" s="15"/>
      <c r="Y347" s="14"/>
      <c r="Z347" s="15"/>
      <c r="AA347" s="14"/>
      <c r="AB347" s="15"/>
      <c r="AC347" s="14"/>
      <c r="AD347" s="15"/>
      <c r="AE347" s="14"/>
      <c r="AF347" s="15"/>
      <c r="AG347" s="15"/>
      <c r="AH347" s="15"/>
      <c r="AI347" s="14"/>
      <c r="AJ347" s="14"/>
      <c r="AK347" s="17"/>
    </row>
    <row r="348" customFormat="false" ht="42.75" hidden="false" customHeight="true" outlineLevel="0" collapsed="false">
      <c r="A348" s="11" t="n">
        <v>346</v>
      </c>
      <c r="B348" s="11" t="str">
        <f aca="false">IF(I348="Y",IF(COUNTIF(I$3:I348,"Y")&lt;=20,"pilot",IF(COUNTIF(I$3:I348,"Y")&lt;=40,"dev",IF(COUNTIF(I$3:I348,"Y")&lt;=120,"test","extra"))),"")</f>
        <v/>
      </c>
      <c r="C348" s="11" t="str">
        <f aca="false">IF(I348="Y",IF(COUNTA(K348,Q348,W348,AC348,AE348)=5,"done","in progress"),IF(I348="N","excluded",""))</f>
        <v/>
      </c>
      <c r="D348" s="11" t="s">
        <v>1448</v>
      </c>
      <c r="E348" s="12" t="s">
        <v>90</v>
      </c>
      <c r="F348" s="13" t="s">
        <v>1449</v>
      </c>
      <c r="G348" s="11" t="s">
        <v>1450</v>
      </c>
      <c r="H348" s="11"/>
      <c r="I348" s="14"/>
      <c r="J348" s="14"/>
      <c r="K348" s="14"/>
      <c r="L348" s="15"/>
      <c r="M348" s="14"/>
      <c r="N348" s="15"/>
      <c r="O348" s="14"/>
      <c r="P348" s="15"/>
      <c r="Q348" s="14"/>
      <c r="R348" s="15"/>
      <c r="S348" s="14"/>
      <c r="T348" s="15"/>
      <c r="U348" s="14"/>
      <c r="V348" s="15"/>
      <c r="W348" s="14"/>
      <c r="X348" s="15"/>
      <c r="Y348" s="14"/>
      <c r="Z348" s="15"/>
      <c r="AA348" s="14"/>
      <c r="AB348" s="15"/>
      <c r="AC348" s="14"/>
      <c r="AD348" s="15"/>
      <c r="AE348" s="14"/>
      <c r="AF348" s="15"/>
      <c r="AG348" s="15"/>
      <c r="AH348" s="15"/>
      <c r="AI348" s="14"/>
      <c r="AJ348" s="14"/>
      <c r="AK348" s="17"/>
    </row>
    <row r="349" customFormat="false" ht="42.75" hidden="false" customHeight="true" outlineLevel="0" collapsed="false">
      <c r="A349" s="11" t="n">
        <v>347</v>
      </c>
      <c r="B349" s="11" t="str">
        <f aca="false">IF(I349="Y",IF(COUNTIF(I$3:I349,"Y")&lt;=20,"pilot",IF(COUNTIF(I$3:I349,"Y")&lt;=40,"dev",IF(COUNTIF(I$3:I349,"Y")&lt;=120,"test","extra"))),"")</f>
        <v/>
      </c>
      <c r="C349" s="11" t="str">
        <f aca="false">IF(I349="Y",IF(COUNTA(K349,Q349,W349,AC349,AE349)=5,"done","in progress"),IF(I349="N","excluded",""))</f>
        <v/>
      </c>
      <c r="D349" s="11" t="s">
        <v>1451</v>
      </c>
      <c r="E349" s="12" t="s">
        <v>90</v>
      </c>
      <c r="F349" s="13" t="s">
        <v>1452</v>
      </c>
      <c r="G349" s="11" t="s">
        <v>168</v>
      </c>
      <c r="H349" s="11"/>
      <c r="I349" s="14"/>
      <c r="J349" s="14"/>
      <c r="K349" s="14"/>
      <c r="L349" s="15"/>
      <c r="M349" s="14"/>
      <c r="N349" s="15"/>
      <c r="O349" s="14"/>
      <c r="P349" s="15"/>
      <c r="Q349" s="14"/>
      <c r="R349" s="15"/>
      <c r="S349" s="14"/>
      <c r="T349" s="15"/>
      <c r="U349" s="14"/>
      <c r="V349" s="15"/>
      <c r="W349" s="14"/>
      <c r="X349" s="15"/>
      <c r="Y349" s="14"/>
      <c r="Z349" s="15"/>
      <c r="AA349" s="14"/>
      <c r="AB349" s="15"/>
      <c r="AC349" s="14"/>
      <c r="AD349" s="15"/>
      <c r="AE349" s="14"/>
      <c r="AF349" s="15"/>
      <c r="AG349" s="15"/>
      <c r="AH349" s="15"/>
      <c r="AI349" s="14"/>
      <c r="AJ349" s="14"/>
      <c r="AK349" s="17"/>
    </row>
    <row r="350" customFormat="false" ht="57" hidden="false" customHeight="true" outlineLevel="0" collapsed="false">
      <c r="A350" s="11" t="n">
        <v>348</v>
      </c>
      <c r="B350" s="11" t="str">
        <f aca="false">IF(I350="Y",IF(COUNTIF(I$3:I350,"Y")&lt;=20,"pilot",IF(COUNTIF(I$3:I350,"Y")&lt;=40,"dev",IF(COUNTIF(I$3:I350,"Y")&lt;=120,"test","extra"))),"")</f>
        <v/>
      </c>
      <c r="C350" s="11" t="str">
        <f aca="false">IF(I350="Y",IF(COUNTA(K350,Q350,W350,AC350,AE350)=5,"done","in progress"),IF(I350="N","excluded",""))</f>
        <v/>
      </c>
      <c r="D350" s="11" t="s">
        <v>1453</v>
      </c>
      <c r="E350" s="12" t="s">
        <v>90</v>
      </c>
      <c r="F350" s="13" t="s">
        <v>1454</v>
      </c>
      <c r="G350" s="11" t="s">
        <v>92</v>
      </c>
      <c r="H350" s="11"/>
      <c r="I350" s="14"/>
      <c r="J350" s="14"/>
      <c r="K350" s="14"/>
      <c r="L350" s="15"/>
      <c r="M350" s="14"/>
      <c r="N350" s="15"/>
      <c r="O350" s="14"/>
      <c r="P350" s="15"/>
      <c r="Q350" s="14"/>
      <c r="R350" s="15"/>
      <c r="S350" s="14"/>
      <c r="T350" s="15"/>
      <c r="U350" s="14"/>
      <c r="V350" s="15"/>
      <c r="W350" s="14"/>
      <c r="X350" s="15"/>
      <c r="Y350" s="14"/>
      <c r="Z350" s="15"/>
      <c r="AA350" s="14"/>
      <c r="AB350" s="15"/>
      <c r="AC350" s="14"/>
      <c r="AD350" s="15"/>
      <c r="AE350" s="14"/>
      <c r="AF350" s="15"/>
      <c r="AG350" s="15"/>
      <c r="AH350" s="15"/>
      <c r="AI350" s="14"/>
      <c r="AJ350" s="14"/>
      <c r="AK350" s="17"/>
    </row>
    <row r="351" customFormat="false" ht="42.75" hidden="false" customHeight="true" outlineLevel="0" collapsed="false">
      <c r="A351" s="11" t="n">
        <v>349</v>
      </c>
      <c r="B351" s="11" t="str">
        <f aca="false">IF(I351="Y",IF(COUNTIF(I$3:I351,"Y")&lt;=20,"pilot",IF(COUNTIF(I$3:I351,"Y")&lt;=40,"dev",IF(COUNTIF(I$3:I351,"Y")&lt;=120,"test","extra"))),"")</f>
        <v/>
      </c>
      <c r="C351" s="11" t="str">
        <f aca="false">IF(I351="Y",IF(COUNTA(K351,Q351,W351,AC351,AE351)=5,"done","in progress"),IF(I351="N","excluded",""))</f>
        <v/>
      </c>
      <c r="D351" s="11" t="s">
        <v>1455</v>
      </c>
      <c r="E351" s="12" t="s">
        <v>90</v>
      </c>
      <c r="F351" s="13" t="s">
        <v>1456</v>
      </c>
      <c r="G351" s="11" t="s">
        <v>125</v>
      </c>
      <c r="H351" s="11"/>
      <c r="I351" s="14"/>
      <c r="J351" s="14"/>
      <c r="K351" s="14"/>
      <c r="L351" s="15"/>
      <c r="M351" s="14"/>
      <c r="N351" s="15"/>
      <c r="O351" s="14"/>
      <c r="P351" s="15"/>
      <c r="Q351" s="14"/>
      <c r="R351" s="15"/>
      <c r="S351" s="14"/>
      <c r="T351" s="15"/>
      <c r="U351" s="14"/>
      <c r="V351" s="15"/>
      <c r="W351" s="14"/>
      <c r="X351" s="15"/>
      <c r="Y351" s="14"/>
      <c r="Z351" s="15"/>
      <c r="AA351" s="14"/>
      <c r="AB351" s="15"/>
      <c r="AC351" s="14"/>
      <c r="AD351" s="15"/>
      <c r="AE351" s="14"/>
      <c r="AF351" s="15"/>
      <c r="AG351" s="15"/>
      <c r="AH351" s="15"/>
      <c r="AI351" s="14"/>
      <c r="AJ351" s="14"/>
      <c r="AK351" s="17"/>
    </row>
    <row r="352" customFormat="false" ht="28.5" hidden="false" customHeight="true" outlineLevel="0" collapsed="false">
      <c r="A352" s="11" t="n">
        <v>350</v>
      </c>
      <c r="B352" s="11" t="str">
        <f aca="false">IF(I352="Y",IF(COUNTIF(I$3:I352,"Y")&lt;=20,"pilot",IF(COUNTIF(I$3:I352,"Y")&lt;=40,"dev",IF(COUNTIF(I$3:I352,"Y")&lt;=120,"test","extra"))),"")</f>
        <v/>
      </c>
      <c r="C352" s="11" t="str">
        <f aca="false">IF(I352="Y",IF(COUNTA(K352,Q352,W352,AC352,AE352)=5,"done","in progress"),IF(I352="N","excluded",""))</f>
        <v/>
      </c>
      <c r="D352" s="11" t="s">
        <v>1457</v>
      </c>
      <c r="E352" s="12" t="s">
        <v>90</v>
      </c>
      <c r="F352" s="13" t="s">
        <v>1458</v>
      </c>
      <c r="G352" s="11" t="s">
        <v>1459</v>
      </c>
      <c r="H352" s="11"/>
      <c r="I352" s="14"/>
      <c r="J352" s="14"/>
      <c r="K352" s="14"/>
      <c r="L352" s="15"/>
      <c r="M352" s="14"/>
      <c r="N352" s="15"/>
      <c r="O352" s="14"/>
      <c r="P352" s="15"/>
      <c r="Q352" s="14"/>
      <c r="R352" s="15"/>
      <c r="S352" s="14"/>
      <c r="T352" s="15"/>
      <c r="U352" s="14"/>
      <c r="V352" s="15"/>
      <c r="W352" s="14"/>
      <c r="X352" s="15"/>
      <c r="Y352" s="14"/>
      <c r="Z352" s="15"/>
      <c r="AA352" s="14"/>
      <c r="AB352" s="15"/>
      <c r="AC352" s="14"/>
      <c r="AD352" s="15"/>
      <c r="AE352" s="14"/>
      <c r="AF352" s="15"/>
      <c r="AG352" s="15"/>
      <c r="AH352" s="15"/>
      <c r="AI352" s="14"/>
      <c r="AJ352" s="14"/>
      <c r="AK352" s="17"/>
    </row>
    <row r="353" customFormat="false" ht="57" hidden="false" customHeight="true" outlineLevel="0" collapsed="false">
      <c r="A353" s="11" t="n">
        <v>351</v>
      </c>
      <c r="B353" s="11" t="str">
        <f aca="false">IF(I353="Y",IF(COUNTIF(I$3:I353,"Y")&lt;=20,"pilot",IF(COUNTIF(I$3:I353,"Y")&lt;=40,"dev",IF(COUNTIF(I$3:I353,"Y")&lt;=120,"test","extra"))),"")</f>
        <v/>
      </c>
      <c r="C353" s="11" t="str">
        <f aca="false">IF(I353="Y",IF(COUNTA(K353,Q353,W353,AC353,AE353)=5,"done","in progress"),IF(I353="N","excluded",""))</f>
        <v/>
      </c>
      <c r="D353" s="11" t="s">
        <v>1460</v>
      </c>
      <c r="E353" s="12" t="s">
        <v>90</v>
      </c>
      <c r="F353" s="13" t="s">
        <v>1461</v>
      </c>
      <c r="G353" s="11" t="s">
        <v>1462</v>
      </c>
      <c r="H353" s="11" t="s">
        <v>1463</v>
      </c>
      <c r="I353" s="14"/>
      <c r="J353" s="14"/>
      <c r="K353" s="14"/>
      <c r="L353" s="15"/>
      <c r="M353" s="14"/>
      <c r="N353" s="15"/>
      <c r="O353" s="14"/>
      <c r="P353" s="15"/>
      <c r="Q353" s="14"/>
      <c r="R353" s="15"/>
      <c r="S353" s="14"/>
      <c r="T353" s="15"/>
      <c r="U353" s="14"/>
      <c r="V353" s="15"/>
      <c r="W353" s="14"/>
      <c r="X353" s="15"/>
      <c r="Y353" s="14"/>
      <c r="Z353" s="15"/>
      <c r="AA353" s="14"/>
      <c r="AB353" s="15"/>
      <c r="AC353" s="14"/>
      <c r="AD353" s="15"/>
      <c r="AE353" s="14"/>
      <c r="AF353" s="15"/>
      <c r="AG353" s="15"/>
      <c r="AH353" s="15"/>
      <c r="AI353" s="14"/>
      <c r="AJ353" s="14"/>
      <c r="AK353" s="17"/>
    </row>
    <row r="354" customFormat="false" ht="42.75" hidden="false" customHeight="true" outlineLevel="0" collapsed="false">
      <c r="A354" s="11" t="n">
        <v>352</v>
      </c>
      <c r="B354" s="11" t="str">
        <f aca="false">IF(I354="Y",IF(COUNTIF(I$3:I354,"Y")&lt;=20,"pilot",IF(COUNTIF(I$3:I354,"Y")&lt;=40,"dev",IF(COUNTIF(I$3:I354,"Y")&lt;=120,"test","extra"))),"")</f>
        <v/>
      </c>
      <c r="C354" s="11" t="str">
        <f aca="false">IF(I354="Y",IF(COUNTA(K354,Q354,W354,AC354,AE354)=5,"done","in progress"),IF(I354="N","excluded",""))</f>
        <v/>
      </c>
      <c r="D354" s="11" t="s">
        <v>1464</v>
      </c>
      <c r="E354" s="12" t="s">
        <v>90</v>
      </c>
      <c r="F354" s="13" t="s">
        <v>1465</v>
      </c>
      <c r="G354" s="11" t="s">
        <v>92</v>
      </c>
      <c r="H354" s="11"/>
      <c r="I354" s="14"/>
      <c r="J354" s="14"/>
      <c r="K354" s="14"/>
      <c r="L354" s="15"/>
      <c r="M354" s="14"/>
      <c r="N354" s="15"/>
      <c r="O354" s="14"/>
      <c r="P354" s="15"/>
      <c r="Q354" s="14"/>
      <c r="R354" s="15"/>
      <c r="S354" s="14"/>
      <c r="T354" s="15"/>
      <c r="U354" s="14"/>
      <c r="V354" s="15"/>
      <c r="W354" s="14"/>
      <c r="X354" s="15"/>
      <c r="Y354" s="14"/>
      <c r="Z354" s="15"/>
      <c r="AA354" s="14"/>
      <c r="AB354" s="15"/>
      <c r="AC354" s="14"/>
      <c r="AD354" s="15"/>
      <c r="AE354" s="14"/>
      <c r="AF354" s="15"/>
      <c r="AG354" s="15"/>
      <c r="AH354" s="15"/>
      <c r="AI354" s="14"/>
      <c r="AJ354" s="14"/>
      <c r="AK354" s="17"/>
    </row>
    <row r="355" customFormat="false" ht="28.5" hidden="false" customHeight="true" outlineLevel="0" collapsed="false">
      <c r="A355" s="11" t="n">
        <v>353</v>
      </c>
      <c r="B355" s="11" t="str">
        <f aca="false">IF(I355="Y",IF(COUNTIF(I$3:I355,"Y")&lt;=20,"pilot",IF(COUNTIF(I$3:I355,"Y")&lt;=40,"dev",IF(COUNTIF(I$3:I355,"Y")&lt;=120,"test","extra"))),"")</f>
        <v/>
      </c>
      <c r="C355" s="11" t="str">
        <f aca="false">IF(I355="Y",IF(COUNTA(K355,Q355,W355,AC355,AE355)=5,"done","in progress"),IF(I355="N","excluded",""))</f>
        <v/>
      </c>
      <c r="D355" s="11" t="s">
        <v>1466</v>
      </c>
      <c r="E355" s="12" t="s">
        <v>90</v>
      </c>
      <c r="F355" s="13" t="s">
        <v>1467</v>
      </c>
      <c r="G355" s="11" t="s">
        <v>193</v>
      </c>
      <c r="H355" s="11"/>
      <c r="I355" s="14"/>
      <c r="J355" s="14"/>
      <c r="K355" s="14"/>
      <c r="L355" s="15"/>
      <c r="M355" s="14"/>
      <c r="N355" s="15"/>
      <c r="O355" s="14"/>
      <c r="P355" s="15"/>
      <c r="Q355" s="14"/>
      <c r="R355" s="15"/>
      <c r="S355" s="14"/>
      <c r="T355" s="15"/>
      <c r="U355" s="14"/>
      <c r="V355" s="15"/>
      <c r="W355" s="14"/>
      <c r="X355" s="15"/>
      <c r="Y355" s="14"/>
      <c r="Z355" s="15"/>
      <c r="AA355" s="14"/>
      <c r="AB355" s="15"/>
      <c r="AC355" s="14"/>
      <c r="AD355" s="15"/>
      <c r="AE355" s="14"/>
      <c r="AF355" s="15"/>
      <c r="AG355" s="15"/>
      <c r="AH355" s="15"/>
      <c r="AI355" s="14"/>
      <c r="AJ355" s="14"/>
      <c r="AK355" s="17"/>
    </row>
    <row r="356" customFormat="false" ht="42.75" hidden="false" customHeight="true" outlineLevel="0" collapsed="false">
      <c r="A356" s="11" t="n">
        <v>354</v>
      </c>
      <c r="B356" s="11" t="str">
        <f aca="false">IF(I356="Y",IF(COUNTIF(I$3:I356,"Y")&lt;=20,"pilot",IF(COUNTIF(I$3:I356,"Y")&lt;=40,"dev",IF(COUNTIF(I$3:I356,"Y")&lt;=120,"test","extra"))),"")</f>
        <v/>
      </c>
      <c r="C356" s="11" t="str">
        <f aca="false">IF(I356="Y",IF(COUNTA(K356,Q356,W356,AC356,AE356)=5,"done","in progress"),IF(I356="N","excluded",""))</f>
        <v/>
      </c>
      <c r="D356" s="11" t="s">
        <v>1468</v>
      </c>
      <c r="E356" s="12" t="s">
        <v>90</v>
      </c>
      <c r="F356" s="13" t="s">
        <v>1469</v>
      </c>
      <c r="G356" s="11" t="s">
        <v>168</v>
      </c>
      <c r="H356" s="11"/>
      <c r="I356" s="14"/>
      <c r="J356" s="14"/>
      <c r="K356" s="14"/>
      <c r="L356" s="15"/>
      <c r="M356" s="14"/>
      <c r="N356" s="15"/>
      <c r="O356" s="14"/>
      <c r="P356" s="15"/>
      <c r="Q356" s="14"/>
      <c r="R356" s="15"/>
      <c r="S356" s="14"/>
      <c r="T356" s="15"/>
      <c r="U356" s="14"/>
      <c r="V356" s="15"/>
      <c r="W356" s="14"/>
      <c r="X356" s="15"/>
      <c r="Y356" s="14"/>
      <c r="Z356" s="15"/>
      <c r="AA356" s="14"/>
      <c r="AB356" s="15"/>
      <c r="AC356" s="14"/>
      <c r="AD356" s="15"/>
      <c r="AE356" s="14"/>
      <c r="AF356" s="15"/>
      <c r="AG356" s="15"/>
      <c r="AH356" s="15"/>
      <c r="AI356" s="14"/>
      <c r="AJ356" s="14"/>
      <c r="AK356" s="17"/>
    </row>
    <row r="357" customFormat="false" ht="42.75" hidden="false" customHeight="true" outlineLevel="0" collapsed="false">
      <c r="A357" s="11" t="n">
        <v>355</v>
      </c>
      <c r="B357" s="11" t="str">
        <f aca="false">IF(I357="Y",IF(COUNTIF(I$3:I357,"Y")&lt;=20,"pilot",IF(COUNTIF(I$3:I357,"Y")&lt;=40,"dev",IF(COUNTIF(I$3:I357,"Y")&lt;=120,"test","extra"))),"")</f>
        <v/>
      </c>
      <c r="C357" s="11" t="str">
        <f aca="false">IF(I357="Y",IF(COUNTA(K357,Q357,W357,AC357,AE357)=5,"done","in progress"),IF(I357="N","excluded",""))</f>
        <v/>
      </c>
      <c r="D357" s="11" t="s">
        <v>1470</v>
      </c>
      <c r="E357" s="12" t="s">
        <v>90</v>
      </c>
      <c r="F357" s="13" t="s">
        <v>1471</v>
      </c>
      <c r="G357" s="11" t="s">
        <v>125</v>
      </c>
      <c r="H357" s="11"/>
      <c r="I357" s="14"/>
      <c r="J357" s="14"/>
      <c r="K357" s="14"/>
      <c r="L357" s="15"/>
      <c r="M357" s="14"/>
      <c r="N357" s="15"/>
      <c r="O357" s="14"/>
      <c r="P357" s="15"/>
      <c r="Q357" s="14"/>
      <c r="R357" s="15"/>
      <c r="S357" s="14"/>
      <c r="T357" s="15"/>
      <c r="U357" s="14"/>
      <c r="V357" s="15"/>
      <c r="W357" s="14"/>
      <c r="X357" s="15"/>
      <c r="Y357" s="14"/>
      <c r="Z357" s="15"/>
      <c r="AA357" s="14"/>
      <c r="AB357" s="15"/>
      <c r="AC357" s="14"/>
      <c r="AD357" s="15"/>
      <c r="AE357" s="14"/>
      <c r="AF357" s="15"/>
      <c r="AG357" s="15"/>
      <c r="AH357" s="15"/>
      <c r="AI357" s="14"/>
      <c r="AJ357" s="14"/>
      <c r="AK357" s="17"/>
    </row>
    <row r="358" customFormat="false" ht="42.75" hidden="false" customHeight="true" outlineLevel="0" collapsed="false">
      <c r="A358" s="11" t="n">
        <v>356</v>
      </c>
      <c r="B358" s="11" t="str">
        <f aca="false">IF(I358="Y",IF(COUNTIF(I$3:I358,"Y")&lt;=20,"pilot",IF(COUNTIF(I$3:I358,"Y")&lt;=40,"dev",IF(COUNTIF(I$3:I358,"Y")&lt;=120,"test","extra"))),"")</f>
        <v/>
      </c>
      <c r="C358" s="11" t="str">
        <f aca="false">IF(I358="Y",IF(COUNTA(K358,Q358,W358,AC358,AE358)=5,"done","in progress"),IF(I358="N","excluded",""))</f>
        <v/>
      </c>
      <c r="D358" s="11" t="s">
        <v>1472</v>
      </c>
      <c r="E358" s="12" t="s">
        <v>90</v>
      </c>
      <c r="F358" s="13" t="s">
        <v>1473</v>
      </c>
      <c r="G358" s="11" t="s">
        <v>1474</v>
      </c>
      <c r="H358" s="11"/>
      <c r="I358" s="14"/>
      <c r="J358" s="14"/>
      <c r="K358" s="14"/>
      <c r="L358" s="15"/>
      <c r="M358" s="14"/>
      <c r="N358" s="15"/>
      <c r="O358" s="14"/>
      <c r="P358" s="15"/>
      <c r="Q358" s="14"/>
      <c r="R358" s="15"/>
      <c r="S358" s="14"/>
      <c r="T358" s="15"/>
      <c r="U358" s="14"/>
      <c r="V358" s="15"/>
      <c r="W358" s="14"/>
      <c r="X358" s="15"/>
      <c r="Y358" s="14"/>
      <c r="Z358" s="15"/>
      <c r="AA358" s="14"/>
      <c r="AB358" s="15"/>
      <c r="AC358" s="14"/>
      <c r="AD358" s="15"/>
      <c r="AE358" s="14"/>
      <c r="AF358" s="15"/>
      <c r="AG358" s="15"/>
      <c r="AH358" s="15"/>
      <c r="AI358" s="14"/>
      <c r="AJ358" s="14"/>
      <c r="AK358" s="17"/>
    </row>
    <row r="359" customFormat="false" ht="42.75" hidden="false" customHeight="true" outlineLevel="0" collapsed="false">
      <c r="A359" s="11" t="n">
        <v>357</v>
      </c>
      <c r="B359" s="11" t="str">
        <f aca="false">IF(I359="Y",IF(COUNTIF(I$3:I359,"Y")&lt;=20,"pilot",IF(COUNTIF(I$3:I359,"Y")&lt;=40,"dev",IF(COUNTIF(I$3:I359,"Y")&lt;=120,"test","extra"))),"")</f>
        <v/>
      </c>
      <c r="C359" s="11" t="str">
        <f aca="false">IF(I359="Y",IF(COUNTA(K359,Q359,W359,AC359,AE359)=5,"done","in progress"),IF(I359="N","excluded",""))</f>
        <v/>
      </c>
      <c r="D359" s="11" t="s">
        <v>1475</v>
      </c>
      <c r="E359" s="12" t="s">
        <v>90</v>
      </c>
      <c r="F359" s="13" t="s">
        <v>1476</v>
      </c>
      <c r="G359" s="11" t="s">
        <v>288</v>
      </c>
      <c r="H359" s="11"/>
      <c r="I359" s="14"/>
      <c r="J359" s="14"/>
      <c r="K359" s="14"/>
      <c r="L359" s="15"/>
      <c r="M359" s="14"/>
      <c r="N359" s="15"/>
      <c r="O359" s="14"/>
      <c r="P359" s="15"/>
      <c r="Q359" s="14"/>
      <c r="R359" s="15"/>
      <c r="S359" s="14"/>
      <c r="T359" s="15"/>
      <c r="U359" s="14"/>
      <c r="V359" s="15"/>
      <c r="W359" s="14"/>
      <c r="X359" s="15"/>
      <c r="Y359" s="14"/>
      <c r="Z359" s="15"/>
      <c r="AA359" s="14"/>
      <c r="AB359" s="15"/>
      <c r="AC359" s="14"/>
      <c r="AD359" s="15"/>
      <c r="AE359" s="14"/>
      <c r="AF359" s="15"/>
      <c r="AG359" s="15"/>
      <c r="AH359" s="15"/>
      <c r="AI359" s="14"/>
      <c r="AJ359" s="14"/>
      <c r="AK359" s="17"/>
    </row>
    <row r="360" customFormat="false" ht="57" hidden="false" customHeight="true" outlineLevel="0" collapsed="false">
      <c r="A360" s="11" t="n">
        <v>358</v>
      </c>
      <c r="B360" s="11" t="str">
        <f aca="false">IF(I360="Y",IF(COUNTIF(I$3:I360,"Y")&lt;=20,"pilot",IF(COUNTIF(I$3:I360,"Y")&lt;=40,"dev",IF(COUNTIF(I$3:I360,"Y")&lt;=120,"test","extra"))),"")</f>
        <v/>
      </c>
      <c r="C360" s="11" t="str">
        <f aca="false">IF(I360="Y",IF(COUNTA(K360,Q360,W360,AC360,AE360)=5,"done","in progress"),IF(I360="N","excluded",""))</f>
        <v/>
      </c>
      <c r="D360" s="11" t="s">
        <v>1477</v>
      </c>
      <c r="E360" s="12" t="s">
        <v>90</v>
      </c>
      <c r="F360" s="13" t="s">
        <v>1478</v>
      </c>
      <c r="G360" s="11" t="s">
        <v>1479</v>
      </c>
      <c r="H360" s="11"/>
      <c r="I360" s="14"/>
      <c r="J360" s="14"/>
      <c r="K360" s="14"/>
      <c r="L360" s="15"/>
      <c r="M360" s="14"/>
      <c r="N360" s="15"/>
      <c r="O360" s="14"/>
      <c r="P360" s="15"/>
      <c r="Q360" s="14"/>
      <c r="R360" s="15"/>
      <c r="S360" s="14"/>
      <c r="T360" s="15"/>
      <c r="U360" s="14"/>
      <c r="V360" s="15"/>
      <c r="W360" s="14"/>
      <c r="X360" s="15"/>
      <c r="Y360" s="14"/>
      <c r="Z360" s="15"/>
      <c r="AA360" s="14"/>
      <c r="AB360" s="15"/>
      <c r="AC360" s="14"/>
      <c r="AD360" s="15"/>
      <c r="AE360" s="14"/>
      <c r="AF360" s="15"/>
      <c r="AG360" s="15"/>
      <c r="AH360" s="15"/>
      <c r="AI360" s="14"/>
      <c r="AJ360" s="14"/>
      <c r="AK360" s="17"/>
    </row>
    <row r="361" customFormat="false" ht="71.25" hidden="false" customHeight="true" outlineLevel="0" collapsed="false">
      <c r="A361" s="11" t="n">
        <v>359</v>
      </c>
      <c r="B361" s="11" t="str">
        <f aca="false">IF(I361="Y",IF(COUNTIF(I$3:I361,"Y")&lt;=20,"pilot",IF(COUNTIF(I$3:I361,"Y")&lt;=40,"dev",IF(COUNTIF(I$3:I361,"Y")&lt;=120,"test","extra"))),"")</f>
        <v/>
      </c>
      <c r="C361" s="11" t="str">
        <f aca="false">IF(I361="Y",IF(COUNTA(K361,Q361,W361,AC361,AE361)=5,"done","in progress"),IF(I361="N","excluded",""))</f>
        <v/>
      </c>
      <c r="D361" s="11" t="s">
        <v>1480</v>
      </c>
      <c r="E361" s="12" t="s">
        <v>90</v>
      </c>
      <c r="F361" s="13" t="s">
        <v>1481</v>
      </c>
      <c r="G361" s="11" t="s">
        <v>1482</v>
      </c>
      <c r="H361" s="11"/>
      <c r="I361" s="14"/>
      <c r="J361" s="14"/>
      <c r="K361" s="14"/>
      <c r="L361" s="15"/>
      <c r="M361" s="14"/>
      <c r="N361" s="15"/>
      <c r="O361" s="14"/>
      <c r="P361" s="15"/>
      <c r="Q361" s="14"/>
      <c r="R361" s="15"/>
      <c r="S361" s="14"/>
      <c r="T361" s="15"/>
      <c r="U361" s="14"/>
      <c r="V361" s="15"/>
      <c r="W361" s="14"/>
      <c r="X361" s="15"/>
      <c r="Y361" s="14"/>
      <c r="Z361" s="15"/>
      <c r="AA361" s="14"/>
      <c r="AB361" s="15"/>
      <c r="AC361" s="14"/>
      <c r="AD361" s="15"/>
      <c r="AE361" s="14"/>
      <c r="AF361" s="15"/>
      <c r="AG361" s="15"/>
      <c r="AH361" s="15"/>
      <c r="AI361" s="14"/>
      <c r="AJ361" s="14"/>
      <c r="AK361" s="17"/>
    </row>
    <row r="362" customFormat="false" ht="42.75" hidden="false" customHeight="true" outlineLevel="0" collapsed="false">
      <c r="A362" s="11" t="n">
        <v>360</v>
      </c>
      <c r="B362" s="11" t="str">
        <f aca="false">IF(I362="Y",IF(COUNTIF(I$3:I362,"Y")&lt;=20,"pilot",IF(COUNTIF(I$3:I362,"Y")&lt;=40,"dev",IF(COUNTIF(I$3:I362,"Y")&lt;=120,"test","extra"))),"")</f>
        <v/>
      </c>
      <c r="C362" s="11" t="str">
        <f aca="false">IF(I362="Y",IF(COUNTA(K362,Q362,W362,AC362,AE362)=5,"done","in progress"),IF(I362="N","excluded",""))</f>
        <v/>
      </c>
      <c r="D362" s="11" t="s">
        <v>1483</v>
      </c>
      <c r="E362" s="12" t="s">
        <v>90</v>
      </c>
      <c r="F362" s="13" t="s">
        <v>1484</v>
      </c>
      <c r="G362" s="11" t="s">
        <v>651</v>
      </c>
      <c r="H362" s="11"/>
      <c r="I362" s="14"/>
      <c r="J362" s="14"/>
      <c r="K362" s="14"/>
      <c r="L362" s="15"/>
      <c r="M362" s="14"/>
      <c r="N362" s="15"/>
      <c r="O362" s="14"/>
      <c r="P362" s="15"/>
      <c r="Q362" s="14"/>
      <c r="R362" s="15"/>
      <c r="S362" s="14"/>
      <c r="T362" s="15"/>
      <c r="U362" s="14"/>
      <c r="V362" s="15"/>
      <c r="W362" s="14"/>
      <c r="X362" s="15"/>
      <c r="Y362" s="14"/>
      <c r="Z362" s="15"/>
      <c r="AA362" s="14"/>
      <c r="AB362" s="15"/>
      <c r="AC362" s="14"/>
      <c r="AD362" s="15"/>
      <c r="AE362" s="14"/>
      <c r="AF362" s="15"/>
      <c r="AG362" s="15"/>
      <c r="AH362" s="15"/>
      <c r="AI362" s="14"/>
      <c r="AJ362" s="14"/>
      <c r="AK362" s="17"/>
    </row>
    <row r="363" customFormat="false" ht="57" hidden="false" customHeight="true" outlineLevel="0" collapsed="false">
      <c r="A363" s="11" t="n">
        <v>361</v>
      </c>
      <c r="B363" s="11" t="str">
        <f aca="false">IF(I363="Y",IF(COUNTIF(I$3:I363,"Y")&lt;=20,"pilot",IF(COUNTIF(I$3:I363,"Y")&lt;=40,"dev",IF(COUNTIF(I$3:I363,"Y")&lt;=120,"test","extra"))),"")</f>
        <v/>
      </c>
      <c r="C363" s="11" t="str">
        <f aca="false">IF(I363="Y",IF(COUNTA(K363,Q363,W363,AC363,AE363)=5,"done","in progress"),IF(I363="N","excluded",""))</f>
        <v/>
      </c>
      <c r="D363" s="11" t="s">
        <v>1485</v>
      </c>
      <c r="E363" s="12" t="s">
        <v>90</v>
      </c>
      <c r="F363" s="13" t="s">
        <v>1486</v>
      </c>
      <c r="G363" s="11" t="s">
        <v>1034</v>
      </c>
      <c r="H363" s="11"/>
      <c r="I363" s="14"/>
      <c r="J363" s="14"/>
      <c r="K363" s="14"/>
      <c r="L363" s="15"/>
      <c r="M363" s="14"/>
      <c r="N363" s="15"/>
      <c r="O363" s="14"/>
      <c r="P363" s="15"/>
      <c r="Q363" s="14"/>
      <c r="R363" s="15"/>
      <c r="S363" s="14"/>
      <c r="T363" s="15"/>
      <c r="U363" s="14"/>
      <c r="V363" s="15"/>
      <c r="W363" s="14"/>
      <c r="X363" s="15"/>
      <c r="Y363" s="14"/>
      <c r="Z363" s="15"/>
      <c r="AA363" s="14"/>
      <c r="AB363" s="15"/>
      <c r="AC363" s="14"/>
      <c r="AD363" s="15"/>
      <c r="AE363" s="14"/>
      <c r="AF363" s="15"/>
      <c r="AG363" s="15"/>
      <c r="AH363" s="15"/>
      <c r="AI363" s="14"/>
      <c r="AJ363" s="14"/>
      <c r="AK363" s="17"/>
    </row>
    <row r="364" customFormat="false" ht="28.5" hidden="false" customHeight="true" outlineLevel="0" collapsed="false">
      <c r="A364" s="11" t="n">
        <v>362</v>
      </c>
      <c r="B364" s="11" t="str">
        <f aca="false">IF(I364="Y",IF(COUNTIF(I$3:I364,"Y")&lt;=20,"pilot",IF(COUNTIF(I$3:I364,"Y")&lt;=40,"dev",IF(COUNTIF(I$3:I364,"Y")&lt;=120,"test","extra"))),"")</f>
        <v/>
      </c>
      <c r="C364" s="11" t="str">
        <f aca="false">IF(I364="Y",IF(COUNTA(K364,Q364,W364,AC364,AE364)=5,"done","in progress"),IF(I364="N","excluded",""))</f>
        <v/>
      </c>
      <c r="D364" s="11" t="s">
        <v>1487</v>
      </c>
      <c r="E364" s="12" t="s">
        <v>90</v>
      </c>
      <c r="F364" s="13" t="s">
        <v>1488</v>
      </c>
      <c r="G364" s="11" t="s">
        <v>125</v>
      </c>
      <c r="H364" s="11"/>
      <c r="I364" s="14"/>
      <c r="J364" s="14"/>
      <c r="K364" s="14"/>
      <c r="L364" s="15"/>
      <c r="M364" s="14"/>
      <c r="N364" s="15"/>
      <c r="O364" s="14"/>
      <c r="P364" s="15"/>
      <c r="Q364" s="14"/>
      <c r="R364" s="15"/>
      <c r="S364" s="14"/>
      <c r="T364" s="15"/>
      <c r="U364" s="14"/>
      <c r="V364" s="15"/>
      <c r="W364" s="14"/>
      <c r="X364" s="15"/>
      <c r="Y364" s="14"/>
      <c r="Z364" s="15"/>
      <c r="AA364" s="14"/>
      <c r="AB364" s="15"/>
      <c r="AC364" s="14"/>
      <c r="AD364" s="15"/>
      <c r="AE364" s="14"/>
      <c r="AF364" s="15"/>
      <c r="AG364" s="15"/>
      <c r="AH364" s="15"/>
      <c r="AI364" s="14"/>
      <c r="AJ364" s="14"/>
      <c r="AK364" s="17"/>
    </row>
    <row r="365" customFormat="false" ht="42.75" hidden="false" customHeight="true" outlineLevel="0" collapsed="false">
      <c r="A365" s="11" t="n">
        <v>363</v>
      </c>
      <c r="B365" s="11" t="str">
        <f aca="false">IF(I365="Y",IF(COUNTIF(I$3:I365,"Y")&lt;=20,"pilot",IF(COUNTIF(I$3:I365,"Y")&lt;=40,"dev",IF(COUNTIF(I$3:I365,"Y")&lt;=120,"test","extra"))),"")</f>
        <v/>
      </c>
      <c r="C365" s="11" t="str">
        <f aca="false">IF(I365="Y",IF(COUNTA(K365,Q365,W365,AC365,AE365)=5,"done","in progress"),IF(I365="N","excluded",""))</f>
        <v/>
      </c>
      <c r="D365" s="11" t="s">
        <v>1489</v>
      </c>
      <c r="E365" s="12" t="s">
        <v>90</v>
      </c>
      <c r="F365" s="13" t="s">
        <v>1490</v>
      </c>
      <c r="G365" s="11" t="s">
        <v>136</v>
      </c>
      <c r="H365" s="11"/>
      <c r="I365" s="14"/>
      <c r="J365" s="14"/>
      <c r="K365" s="14"/>
      <c r="L365" s="15"/>
      <c r="M365" s="14"/>
      <c r="N365" s="15"/>
      <c r="O365" s="14"/>
      <c r="P365" s="15"/>
      <c r="Q365" s="14"/>
      <c r="R365" s="15"/>
      <c r="S365" s="14"/>
      <c r="T365" s="15"/>
      <c r="U365" s="14"/>
      <c r="V365" s="15"/>
      <c r="W365" s="14"/>
      <c r="X365" s="15"/>
      <c r="Y365" s="14"/>
      <c r="Z365" s="15"/>
      <c r="AA365" s="14"/>
      <c r="AB365" s="15"/>
      <c r="AC365" s="14"/>
      <c r="AD365" s="15"/>
      <c r="AE365" s="14"/>
      <c r="AF365" s="15"/>
      <c r="AG365" s="15"/>
      <c r="AH365" s="15"/>
      <c r="AI365" s="14"/>
      <c r="AJ365" s="14"/>
      <c r="AK365" s="17"/>
    </row>
    <row r="366" customFormat="false" ht="57" hidden="false" customHeight="true" outlineLevel="0" collapsed="false">
      <c r="A366" s="11" t="n">
        <v>364</v>
      </c>
      <c r="B366" s="11" t="str">
        <f aca="false">IF(I366="Y",IF(COUNTIF(I$3:I366,"Y")&lt;=20,"pilot",IF(COUNTIF(I$3:I366,"Y")&lt;=40,"dev",IF(COUNTIF(I$3:I366,"Y")&lt;=120,"test","extra"))),"")</f>
        <v/>
      </c>
      <c r="C366" s="11" t="str">
        <f aca="false">IF(I366="Y",IF(COUNTA(K366,Q366,W366,AC366,AE366)=5,"done","in progress"),IF(I366="N","excluded",""))</f>
        <v/>
      </c>
      <c r="D366" s="11" t="s">
        <v>1491</v>
      </c>
      <c r="E366" s="12" t="s">
        <v>90</v>
      </c>
      <c r="F366" s="13" t="s">
        <v>1492</v>
      </c>
      <c r="G366" s="11" t="s">
        <v>1006</v>
      </c>
      <c r="H366" s="11"/>
      <c r="I366" s="14"/>
      <c r="J366" s="14"/>
      <c r="K366" s="14"/>
      <c r="L366" s="15"/>
      <c r="M366" s="14"/>
      <c r="N366" s="15"/>
      <c r="O366" s="14"/>
      <c r="P366" s="15"/>
      <c r="Q366" s="14"/>
      <c r="R366" s="15"/>
      <c r="S366" s="14"/>
      <c r="T366" s="15"/>
      <c r="U366" s="14"/>
      <c r="V366" s="15"/>
      <c r="W366" s="14"/>
      <c r="X366" s="15"/>
      <c r="Y366" s="14"/>
      <c r="Z366" s="15"/>
      <c r="AA366" s="14"/>
      <c r="AB366" s="15"/>
      <c r="AC366" s="14"/>
      <c r="AD366" s="15"/>
      <c r="AE366" s="14"/>
      <c r="AF366" s="15"/>
      <c r="AG366" s="15"/>
      <c r="AH366" s="15"/>
      <c r="AI366" s="14"/>
      <c r="AJ366" s="14"/>
      <c r="AK366" s="17"/>
    </row>
    <row r="367" customFormat="false" ht="57" hidden="false" customHeight="true" outlineLevel="0" collapsed="false">
      <c r="A367" s="11" t="n">
        <v>365</v>
      </c>
      <c r="B367" s="11" t="str">
        <f aca="false">IF(I367="Y",IF(COUNTIF(I$3:I367,"Y")&lt;=20,"pilot",IF(COUNTIF(I$3:I367,"Y")&lt;=40,"dev",IF(COUNTIF(I$3:I367,"Y")&lt;=120,"test","extra"))),"")</f>
        <v/>
      </c>
      <c r="C367" s="11" t="str">
        <f aca="false">IF(I367="Y",IF(COUNTA(K367,Q367,W367,AC367,AE367)=5,"done","in progress"),IF(I367="N","excluded",""))</f>
        <v/>
      </c>
      <c r="D367" s="11" t="s">
        <v>1493</v>
      </c>
      <c r="E367" s="12" t="s">
        <v>90</v>
      </c>
      <c r="F367" s="13" t="s">
        <v>1494</v>
      </c>
      <c r="G367" s="11" t="s">
        <v>235</v>
      </c>
      <c r="H367" s="11"/>
      <c r="I367" s="14"/>
      <c r="J367" s="14"/>
      <c r="K367" s="14"/>
      <c r="L367" s="15"/>
      <c r="M367" s="14"/>
      <c r="N367" s="15"/>
      <c r="O367" s="14"/>
      <c r="P367" s="15"/>
      <c r="Q367" s="14"/>
      <c r="R367" s="15"/>
      <c r="S367" s="14"/>
      <c r="T367" s="15"/>
      <c r="U367" s="14"/>
      <c r="V367" s="15"/>
      <c r="W367" s="14"/>
      <c r="X367" s="15"/>
      <c r="Y367" s="14"/>
      <c r="Z367" s="15"/>
      <c r="AA367" s="14"/>
      <c r="AB367" s="15"/>
      <c r="AC367" s="14"/>
      <c r="AD367" s="15"/>
      <c r="AE367" s="14"/>
      <c r="AF367" s="15"/>
      <c r="AG367" s="15"/>
      <c r="AH367" s="15"/>
      <c r="AI367" s="14"/>
      <c r="AJ367" s="14"/>
      <c r="AK367" s="17"/>
    </row>
    <row r="368" customFormat="false" ht="42.75" hidden="false" customHeight="true" outlineLevel="0" collapsed="false">
      <c r="A368" s="11" t="n">
        <v>366</v>
      </c>
      <c r="B368" s="11" t="str">
        <f aca="false">IF(I368="Y",IF(COUNTIF(I$3:I368,"Y")&lt;=20,"pilot",IF(COUNTIF(I$3:I368,"Y")&lt;=40,"dev",IF(COUNTIF(I$3:I368,"Y")&lt;=120,"test","extra"))),"")</f>
        <v/>
      </c>
      <c r="C368" s="11" t="str">
        <f aca="false">IF(I368="Y",IF(COUNTA(K368,Q368,W368,AC368,AE368)=5,"done","in progress"),IF(I368="N","excluded",""))</f>
        <v/>
      </c>
      <c r="D368" s="11" t="s">
        <v>1495</v>
      </c>
      <c r="E368" s="12" t="s">
        <v>90</v>
      </c>
      <c r="F368" s="13" t="s">
        <v>1496</v>
      </c>
      <c r="G368" s="11" t="s">
        <v>92</v>
      </c>
      <c r="H368" s="11"/>
      <c r="I368" s="14"/>
      <c r="J368" s="14"/>
      <c r="K368" s="14"/>
      <c r="L368" s="15"/>
      <c r="M368" s="14"/>
      <c r="N368" s="15"/>
      <c r="O368" s="14"/>
      <c r="P368" s="15"/>
      <c r="Q368" s="14"/>
      <c r="R368" s="15"/>
      <c r="S368" s="14"/>
      <c r="T368" s="15"/>
      <c r="U368" s="14"/>
      <c r="V368" s="15"/>
      <c r="W368" s="14"/>
      <c r="X368" s="15"/>
      <c r="Y368" s="14"/>
      <c r="Z368" s="15"/>
      <c r="AA368" s="14"/>
      <c r="AB368" s="15"/>
      <c r="AC368" s="14"/>
      <c r="AD368" s="15"/>
      <c r="AE368" s="14"/>
      <c r="AF368" s="15"/>
      <c r="AG368" s="15"/>
      <c r="AH368" s="15"/>
      <c r="AI368" s="14"/>
      <c r="AJ368" s="14"/>
      <c r="AK368" s="17"/>
    </row>
    <row r="369" customFormat="false" ht="28.5" hidden="false" customHeight="true" outlineLevel="0" collapsed="false">
      <c r="A369" s="11" t="n">
        <v>367</v>
      </c>
      <c r="B369" s="11" t="str">
        <f aca="false">IF(I369="Y",IF(COUNTIF(I$3:I369,"Y")&lt;=20,"pilot",IF(COUNTIF(I$3:I369,"Y")&lt;=40,"dev",IF(COUNTIF(I$3:I369,"Y")&lt;=120,"test","extra"))),"")</f>
        <v/>
      </c>
      <c r="C369" s="11" t="str">
        <f aca="false">IF(I369="Y",IF(COUNTA(K369,Q369,W369,AC369,AE369)=5,"done","in progress"),IF(I369="N","excluded",""))</f>
        <v/>
      </c>
      <c r="D369" s="11" t="s">
        <v>1497</v>
      </c>
      <c r="E369" s="12" t="s">
        <v>90</v>
      </c>
      <c r="F369" s="13" t="s">
        <v>1498</v>
      </c>
      <c r="G369" s="11" t="s">
        <v>1034</v>
      </c>
      <c r="H369" s="11"/>
      <c r="I369" s="14"/>
      <c r="J369" s="14"/>
      <c r="K369" s="14"/>
      <c r="L369" s="15"/>
      <c r="M369" s="14"/>
      <c r="N369" s="15"/>
      <c r="O369" s="14"/>
      <c r="P369" s="15"/>
      <c r="Q369" s="14"/>
      <c r="R369" s="15"/>
      <c r="S369" s="14"/>
      <c r="T369" s="15"/>
      <c r="U369" s="14"/>
      <c r="V369" s="15"/>
      <c r="W369" s="14"/>
      <c r="X369" s="15"/>
      <c r="Y369" s="14"/>
      <c r="Z369" s="15"/>
      <c r="AA369" s="14"/>
      <c r="AB369" s="15"/>
      <c r="AC369" s="14"/>
      <c r="AD369" s="15"/>
      <c r="AE369" s="14"/>
      <c r="AF369" s="15"/>
      <c r="AG369" s="15"/>
      <c r="AH369" s="15"/>
      <c r="AI369" s="14"/>
      <c r="AJ369" s="14"/>
      <c r="AK369" s="17"/>
    </row>
    <row r="370" customFormat="false" ht="42.75" hidden="false" customHeight="true" outlineLevel="0" collapsed="false">
      <c r="A370" s="11" t="n">
        <v>368</v>
      </c>
      <c r="B370" s="11" t="str">
        <f aca="false">IF(I370="Y",IF(COUNTIF(I$3:I370,"Y")&lt;=20,"pilot",IF(COUNTIF(I$3:I370,"Y")&lt;=40,"dev",IF(COUNTIF(I$3:I370,"Y")&lt;=120,"test","extra"))),"")</f>
        <v/>
      </c>
      <c r="C370" s="11" t="str">
        <f aca="false">IF(I370="Y",IF(COUNTA(K370,Q370,W370,AC370,AE370)=5,"done","in progress"),IF(I370="N","excluded",""))</f>
        <v/>
      </c>
      <c r="D370" s="11" t="s">
        <v>1499</v>
      </c>
      <c r="E370" s="12" t="s">
        <v>90</v>
      </c>
      <c r="F370" s="13" t="s">
        <v>1500</v>
      </c>
      <c r="G370" s="11" t="s">
        <v>136</v>
      </c>
      <c r="H370" s="11"/>
      <c r="I370" s="14"/>
      <c r="J370" s="14"/>
      <c r="K370" s="14"/>
      <c r="L370" s="15"/>
      <c r="M370" s="14"/>
      <c r="N370" s="15"/>
      <c r="O370" s="14"/>
      <c r="P370" s="15"/>
      <c r="Q370" s="14"/>
      <c r="R370" s="15"/>
      <c r="S370" s="14"/>
      <c r="T370" s="15"/>
      <c r="U370" s="14"/>
      <c r="V370" s="15"/>
      <c r="W370" s="14"/>
      <c r="X370" s="15"/>
      <c r="Y370" s="14"/>
      <c r="Z370" s="15"/>
      <c r="AA370" s="14"/>
      <c r="AB370" s="15"/>
      <c r="AC370" s="14"/>
      <c r="AD370" s="15"/>
      <c r="AE370" s="14"/>
      <c r="AF370" s="15"/>
      <c r="AG370" s="15"/>
      <c r="AH370" s="15"/>
      <c r="AI370" s="14"/>
      <c r="AJ370" s="14"/>
      <c r="AK370" s="17"/>
    </row>
    <row r="371" customFormat="false" ht="42.75" hidden="false" customHeight="true" outlineLevel="0" collapsed="false">
      <c r="A371" s="11" t="n">
        <v>369</v>
      </c>
      <c r="B371" s="11" t="str">
        <f aca="false">IF(I371="Y",IF(COUNTIF(I$3:I371,"Y")&lt;=20,"pilot",IF(COUNTIF(I$3:I371,"Y")&lt;=40,"dev",IF(COUNTIF(I$3:I371,"Y")&lt;=120,"test","extra"))),"")</f>
        <v/>
      </c>
      <c r="C371" s="11" t="str">
        <f aca="false">IF(I371="Y",IF(COUNTA(K371,Q371,W371,AC371,AE371)=5,"done","in progress"),IF(I371="N","excluded",""))</f>
        <v/>
      </c>
      <c r="D371" s="11" t="s">
        <v>1501</v>
      </c>
      <c r="E371" s="12" t="s">
        <v>90</v>
      </c>
      <c r="F371" s="13" t="s">
        <v>1502</v>
      </c>
      <c r="G371" s="11" t="s">
        <v>476</v>
      </c>
      <c r="H371" s="11"/>
      <c r="I371" s="14"/>
      <c r="J371" s="14"/>
      <c r="K371" s="14"/>
      <c r="L371" s="15"/>
      <c r="M371" s="14"/>
      <c r="N371" s="15"/>
      <c r="O371" s="14"/>
      <c r="P371" s="15"/>
      <c r="Q371" s="14"/>
      <c r="R371" s="15"/>
      <c r="S371" s="14"/>
      <c r="T371" s="15"/>
      <c r="U371" s="14"/>
      <c r="V371" s="15"/>
      <c r="W371" s="14"/>
      <c r="X371" s="15"/>
      <c r="Y371" s="14"/>
      <c r="Z371" s="15"/>
      <c r="AA371" s="14"/>
      <c r="AB371" s="15"/>
      <c r="AC371" s="14"/>
      <c r="AD371" s="15"/>
      <c r="AE371" s="14"/>
      <c r="AF371" s="15"/>
      <c r="AG371" s="15"/>
      <c r="AH371" s="15"/>
      <c r="AI371" s="14"/>
      <c r="AJ371" s="14"/>
      <c r="AK371" s="17"/>
    </row>
    <row r="372" customFormat="false" ht="28.5" hidden="false" customHeight="true" outlineLevel="0" collapsed="false">
      <c r="A372" s="11" t="n">
        <v>370</v>
      </c>
      <c r="B372" s="11" t="str">
        <f aca="false">IF(I372="Y",IF(COUNTIF(I$3:I372,"Y")&lt;=20,"pilot",IF(COUNTIF(I$3:I372,"Y")&lt;=40,"dev",IF(COUNTIF(I$3:I372,"Y")&lt;=120,"test","extra"))),"")</f>
        <v/>
      </c>
      <c r="C372" s="11" t="str">
        <f aca="false">IF(I372="Y",IF(COUNTA(K372,Q372,W372,AC372,AE372)=5,"done","in progress"),IF(I372="N","excluded",""))</f>
        <v/>
      </c>
      <c r="D372" s="11" t="s">
        <v>1503</v>
      </c>
      <c r="E372" s="12" t="s">
        <v>90</v>
      </c>
      <c r="F372" s="13" t="s">
        <v>1504</v>
      </c>
      <c r="G372" s="11" t="s">
        <v>168</v>
      </c>
      <c r="H372" s="11"/>
      <c r="I372" s="14"/>
      <c r="J372" s="14"/>
      <c r="K372" s="14"/>
      <c r="L372" s="15"/>
      <c r="M372" s="14"/>
      <c r="N372" s="15"/>
      <c r="O372" s="14"/>
      <c r="P372" s="15"/>
      <c r="Q372" s="14"/>
      <c r="R372" s="15"/>
      <c r="S372" s="14"/>
      <c r="T372" s="15"/>
      <c r="U372" s="14"/>
      <c r="V372" s="15"/>
      <c r="W372" s="14"/>
      <c r="X372" s="15"/>
      <c r="Y372" s="14"/>
      <c r="Z372" s="15"/>
      <c r="AA372" s="14"/>
      <c r="AB372" s="15"/>
      <c r="AC372" s="14"/>
      <c r="AD372" s="15"/>
      <c r="AE372" s="14"/>
      <c r="AF372" s="15"/>
      <c r="AG372" s="15"/>
      <c r="AH372" s="15"/>
      <c r="AI372" s="14"/>
      <c r="AJ372" s="14"/>
      <c r="AK372" s="17"/>
    </row>
    <row r="373" customFormat="false" ht="42.75" hidden="false" customHeight="true" outlineLevel="0" collapsed="false">
      <c r="A373" s="11" t="n">
        <v>371</v>
      </c>
      <c r="B373" s="11" t="str">
        <f aca="false">IF(I373="Y",IF(COUNTIF(I$3:I373,"Y")&lt;=20,"pilot",IF(COUNTIF(I$3:I373,"Y")&lt;=40,"dev",IF(COUNTIF(I$3:I373,"Y")&lt;=120,"test","extra"))),"")</f>
        <v/>
      </c>
      <c r="C373" s="11" t="str">
        <f aca="false">IF(I373="Y",IF(COUNTA(K373,Q373,W373,AC373,AE373)=5,"done","in progress"),IF(I373="N","excluded",""))</f>
        <v/>
      </c>
      <c r="D373" s="11" t="s">
        <v>1505</v>
      </c>
      <c r="E373" s="12" t="s">
        <v>90</v>
      </c>
      <c r="F373" s="13" t="s">
        <v>1506</v>
      </c>
      <c r="G373" s="11" t="s">
        <v>193</v>
      </c>
      <c r="H373" s="11"/>
      <c r="I373" s="14"/>
      <c r="J373" s="14"/>
      <c r="K373" s="14"/>
      <c r="L373" s="15"/>
      <c r="M373" s="14"/>
      <c r="N373" s="15"/>
      <c r="O373" s="14"/>
      <c r="P373" s="15"/>
      <c r="Q373" s="14"/>
      <c r="R373" s="15"/>
      <c r="S373" s="14"/>
      <c r="T373" s="15"/>
      <c r="U373" s="14"/>
      <c r="V373" s="15"/>
      <c r="W373" s="14"/>
      <c r="X373" s="15"/>
      <c r="Y373" s="14"/>
      <c r="Z373" s="15"/>
      <c r="AA373" s="14"/>
      <c r="AB373" s="15"/>
      <c r="AC373" s="14"/>
      <c r="AD373" s="15"/>
      <c r="AE373" s="14"/>
      <c r="AF373" s="15"/>
      <c r="AG373" s="15"/>
      <c r="AH373" s="15"/>
      <c r="AI373" s="14"/>
      <c r="AJ373" s="14"/>
      <c r="AK373" s="17"/>
    </row>
    <row r="374" customFormat="false" ht="42.75" hidden="false" customHeight="true" outlineLevel="0" collapsed="false">
      <c r="A374" s="11" t="n">
        <v>372</v>
      </c>
      <c r="B374" s="11" t="str">
        <f aca="false">IF(I374="Y",IF(COUNTIF(I$3:I374,"Y")&lt;=20,"pilot",IF(COUNTIF(I$3:I374,"Y")&lt;=40,"dev",IF(COUNTIF(I$3:I374,"Y")&lt;=120,"test","extra"))),"")</f>
        <v/>
      </c>
      <c r="C374" s="11" t="str">
        <f aca="false">IF(I374="Y",IF(COUNTA(K374,Q374,W374,AC374,AE374)=5,"done","in progress"),IF(I374="N","excluded",""))</f>
        <v/>
      </c>
      <c r="D374" s="11" t="s">
        <v>1507</v>
      </c>
      <c r="E374" s="12" t="s">
        <v>90</v>
      </c>
      <c r="F374" s="13" t="s">
        <v>1508</v>
      </c>
      <c r="G374" s="11" t="s">
        <v>168</v>
      </c>
      <c r="H374" s="11"/>
      <c r="I374" s="14"/>
      <c r="J374" s="14"/>
      <c r="K374" s="14"/>
      <c r="L374" s="15"/>
      <c r="M374" s="14"/>
      <c r="N374" s="15"/>
      <c r="O374" s="14"/>
      <c r="P374" s="15"/>
      <c r="Q374" s="14"/>
      <c r="R374" s="15"/>
      <c r="S374" s="14"/>
      <c r="T374" s="15"/>
      <c r="U374" s="14"/>
      <c r="V374" s="15"/>
      <c r="W374" s="14"/>
      <c r="X374" s="15"/>
      <c r="Y374" s="14"/>
      <c r="Z374" s="15"/>
      <c r="AA374" s="14"/>
      <c r="AB374" s="15"/>
      <c r="AC374" s="14"/>
      <c r="AD374" s="15"/>
      <c r="AE374" s="14"/>
      <c r="AF374" s="15"/>
      <c r="AG374" s="15"/>
      <c r="AH374" s="15"/>
      <c r="AI374" s="14"/>
      <c r="AJ374" s="14"/>
      <c r="AK374" s="17"/>
    </row>
    <row r="375" customFormat="false" ht="42.75" hidden="false" customHeight="true" outlineLevel="0" collapsed="false">
      <c r="A375" s="11" t="n">
        <v>373</v>
      </c>
      <c r="B375" s="11" t="str">
        <f aca="false">IF(I375="Y",IF(COUNTIF(I$3:I375,"Y")&lt;=20,"pilot",IF(COUNTIF(I$3:I375,"Y")&lt;=40,"dev",IF(COUNTIF(I$3:I375,"Y")&lt;=120,"test","extra"))),"")</f>
        <v/>
      </c>
      <c r="C375" s="11" t="str">
        <f aca="false">IF(I375="Y",IF(COUNTA(K375,Q375,W375,AC375,AE375)=5,"done","in progress"),IF(I375="N","excluded",""))</f>
        <v/>
      </c>
      <c r="D375" s="11" t="s">
        <v>1509</v>
      </c>
      <c r="E375" s="12" t="s">
        <v>90</v>
      </c>
      <c r="F375" s="13" t="s">
        <v>1510</v>
      </c>
      <c r="G375" s="11" t="s">
        <v>1511</v>
      </c>
      <c r="H375" s="11"/>
      <c r="I375" s="14"/>
      <c r="J375" s="14"/>
      <c r="K375" s="14"/>
      <c r="L375" s="15"/>
      <c r="M375" s="14"/>
      <c r="N375" s="15"/>
      <c r="O375" s="14"/>
      <c r="P375" s="15"/>
      <c r="Q375" s="14"/>
      <c r="R375" s="15"/>
      <c r="S375" s="14"/>
      <c r="T375" s="15"/>
      <c r="U375" s="14"/>
      <c r="V375" s="15"/>
      <c r="W375" s="14"/>
      <c r="X375" s="15"/>
      <c r="Y375" s="14"/>
      <c r="Z375" s="15"/>
      <c r="AA375" s="14"/>
      <c r="AB375" s="15"/>
      <c r="AC375" s="14"/>
      <c r="AD375" s="15"/>
      <c r="AE375" s="14"/>
      <c r="AF375" s="15"/>
      <c r="AG375" s="15"/>
      <c r="AH375" s="15"/>
      <c r="AI375" s="14"/>
      <c r="AJ375" s="14"/>
      <c r="AK375" s="17"/>
    </row>
    <row r="376" customFormat="false" ht="42.75" hidden="false" customHeight="true" outlineLevel="0" collapsed="false">
      <c r="A376" s="11" t="n">
        <v>374</v>
      </c>
      <c r="B376" s="11" t="str">
        <f aca="false">IF(I376="Y",IF(COUNTIF(I$3:I376,"Y")&lt;=20,"pilot",IF(COUNTIF(I$3:I376,"Y")&lt;=40,"dev",IF(COUNTIF(I$3:I376,"Y")&lt;=120,"test","extra"))),"")</f>
        <v/>
      </c>
      <c r="C376" s="11" t="str">
        <f aca="false">IF(I376="Y",IF(COUNTA(K376,Q376,W376,AC376,AE376)=5,"done","in progress"),IF(I376="N","excluded",""))</f>
        <v/>
      </c>
      <c r="D376" s="11" t="s">
        <v>1512</v>
      </c>
      <c r="E376" s="12" t="s">
        <v>90</v>
      </c>
      <c r="F376" s="13" t="s">
        <v>1513</v>
      </c>
      <c r="G376" s="11" t="s">
        <v>494</v>
      </c>
      <c r="H376" s="11"/>
      <c r="I376" s="14"/>
      <c r="J376" s="14"/>
      <c r="K376" s="14"/>
      <c r="L376" s="15"/>
      <c r="M376" s="14"/>
      <c r="N376" s="15"/>
      <c r="O376" s="14"/>
      <c r="P376" s="15"/>
      <c r="Q376" s="14"/>
      <c r="R376" s="15"/>
      <c r="S376" s="14"/>
      <c r="T376" s="15"/>
      <c r="U376" s="14"/>
      <c r="V376" s="15"/>
      <c r="W376" s="14"/>
      <c r="X376" s="15"/>
      <c r="Y376" s="14"/>
      <c r="Z376" s="15"/>
      <c r="AA376" s="14"/>
      <c r="AB376" s="15"/>
      <c r="AC376" s="14"/>
      <c r="AD376" s="15"/>
      <c r="AE376" s="14"/>
      <c r="AF376" s="15"/>
      <c r="AG376" s="15"/>
      <c r="AH376" s="15"/>
      <c r="AI376" s="14"/>
      <c r="AJ376" s="14"/>
      <c r="AK376" s="17"/>
    </row>
    <row r="377" customFormat="false" ht="42.75" hidden="false" customHeight="true" outlineLevel="0" collapsed="false">
      <c r="A377" s="11" t="n">
        <v>375</v>
      </c>
      <c r="B377" s="11" t="str">
        <f aca="false">IF(I377="Y",IF(COUNTIF(I$3:I377,"Y")&lt;=20,"pilot",IF(COUNTIF(I$3:I377,"Y")&lt;=40,"dev",IF(COUNTIF(I$3:I377,"Y")&lt;=120,"test","extra"))),"")</f>
        <v/>
      </c>
      <c r="C377" s="11" t="str">
        <f aca="false">IF(I377="Y",IF(COUNTA(K377,Q377,W377,AC377,AE377)=5,"done","in progress"),IF(I377="N","excluded",""))</f>
        <v/>
      </c>
      <c r="D377" s="11" t="s">
        <v>1514</v>
      </c>
      <c r="E377" s="12" t="s">
        <v>90</v>
      </c>
      <c r="F377" s="13" t="s">
        <v>1515</v>
      </c>
      <c r="G377" s="11" t="s">
        <v>193</v>
      </c>
      <c r="H377" s="11"/>
      <c r="I377" s="14"/>
      <c r="J377" s="14"/>
      <c r="K377" s="14"/>
      <c r="L377" s="15"/>
      <c r="M377" s="14"/>
      <c r="N377" s="15"/>
      <c r="O377" s="14"/>
      <c r="P377" s="15"/>
      <c r="Q377" s="14"/>
      <c r="R377" s="15"/>
      <c r="S377" s="14"/>
      <c r="T377" s="15"/>
      <c r="U377" s="14"/>
      <c r="V377" s="15"/>
      <c r="W377" s="14"/>
      <c r="X377" s="15"/>
      <c r="Y377" s="14"/>
      <c r="Z377" s="15"/>
      <c r="AA377" s="14"/>
      <c r="AB377" s="15"/>
      <c r="AC377" s="14"/>
      <c r="AD377" s="15"/>
      <c r="AE377" s="14"/>
      <c r="AF377" s="15"/>
      <c r="AG377" s="15"/>
      <c r="AH377" s="15"/>
      <c r="AI377" s="14"/>
      <c r="AJ377" s="14"/>
      <c r="AK377" s="17"/>
    </row>
    <row r="378" customFormat="false" ht="42.75" hidden="false" customHeight="true" outlineLevel="0" collapsed="false">
      <c r="A378" s="11" t="n">
        <v>376</v>
      </c>
      <c r="B378" s="11" t="str">
        <f aca="false">IF(I378="Y",IF(COUNTIF(I$3:I378,"Y")&lt;=20,"pilot",IF(COUNTIF(I$3:I378,"Y")&lt;=40,"dev",IF(COUNTIF(I$3:I378,"Y")&lt;=120,"test","extra"))),"")</f>
        <v/>
      </c>
      <c r="C378" s="11" t="str">
        <f aca="false">IF(I378="Y",IF(COUNTA(K378,Q378,W378,AC378,AE378)=5,"done","in progress"),IF(I378="N","excluded",""))</f>
        <v/>
      </c>
      <c r="D378" s="11" t="s">
        <v>1516</v>
      </c>
      <c r="E378" s="12" t="s">
        <v>90</v>
      </c>
      <c r="F378" s="13" t="s">
        <v>1517</v>
      </c>
      <c r="G378" s="11" t="s">
        <v>168</v>
      </c>
      <c r="H378" s="11"/>
      <c r="I378" s="14"/>
      <c r="J378" s="14"/>
      <c r="K378" s="14"/>
      <c r="L378" s="15"/>
      <c r="M378" s="14"/>
      <c r="N378" s="15"/>
      <c r="O378" s="14"/>
      <c r="P378" s="15"/>
      <c r="Q378" s="14"/>
      <c r="R378" s="15"/>
      <c r="S378" s="14"/>
      <c r="T378" s="15"/>
      <c r="U378" s="14"/>
      <c r="V378" s="15"/>
      <c r="W378" s="14"/>
      <c r="X378" s="15"/>
      <c r="Y378" s="14"/>
      <c r="Z378" s="15"/>
      <c r="AA378" s="14"/>
      <c r="AB378" s="15"/>
      <c r="AC378" s="14"/>
      <c r="AD378" s="15"/>
      <c r="AE378" s="14"/>
      <c r="AF378" s="15"/>
      <c r="AG378" s="15"/>
      <c r="AH378" s="15"/>
      <c r="AI378" s="14"/>
      <c r="AJ378" s="14"/>
      <c r="AK378" s="17"/>
    </row>
    <row r="379" customFormat="false" ht="42.75" hidden="false" customHeight="true" outlineLevel="0" collapsed="false">
      <c r="A379" s="11" t="n">
        <v>377</v>
      </c>
      <c r="B379" s="11" t="str">
        <f aca="false">IF(I379="Y",IF(COUNTIF(I$3:I379,"Y")&lt;=20,"pilot",IF(COUNTIF(I$3:I379,"Y")&lt;=40,"dev",IF(COUNTIF(I$3:I379,"Y")&lt;=120,"test","extra"))),"")</f>
        <v/>
      </c>
      <c r="C379" s="11" t="str">
        <f aca="false">IF(I379="Y",IF(COUNTA(K379,Q379,W379,AC379,AE379)=5,"done","in progress"),IF(I379="N","excluded",""))</f>
        <v/>
      </c>
      <c r="D379" s="11" t="s">
        <v>1518</v>
      </c>
      <c r="E379" s="12" t="s">
        <v>90</v>
      </c>
      <c r="F379" s="13" t="s">
        <v>1519</v>
      </c>
      <c r="G379" s="11" t="s">
        <v>145</v>
      </c>
      <c r="H379" s="11"/>
      <c r="I379" s="14"/>
      <c r="J379" s="14"/>
      <c r="K379" s="14"/>
      <c r="L379" s="15"/>
      <c r="M379" s="14"/>
      <c r="N379" s="15"/>
      <c r="O379" s="14"/>
      <c r="P379" s="15"/>
      <c r="Q379" s="14"/>
      <c r="R379" s="15"/>
      <c r="S379" s="14"/>
      <c r="T379" s="15"/>
      <c r="U379" s="14"/>
      <c r="V379" s="15"/>
      <c r="W379" s="14"/>
      <c r="X379" s="15"/>
      <c r="Y379" s="14"/>
      <c r="Z379" s="15"/>
      <c r="AA379" s="14"/>
      <c r="AB379" s="15"/>
      <c r="AC379" s="14"/>
      <c r="AD379" s="15"/>
      <c r="AE379" s="14"/>
      <c r="AF379" s="15"/>
      <c r="AG379" s="15"/>
      <c r="AH379" s="15"/>
      <c r="AI379" s="14"/>
      <c r="AJ379" s="14"/>
      <c r="AK379" s="17"/>
    </row>
    <row r="380" customFormat="false" ht="28.5" hidden="false" customHeight="true" outlineLevel="0" collapsed="false">
      <c r="A380" s="11" t="n">
        <v>378</v>
      </c>
      <c r="B380" s="11" t="str">
        <f aca="false">IF(I380="Y",IF(COUNTIF(I$3:I380,"Y")&lt;=20,"pilot",IF(COUNTIF(I$3:I380,"Y")&lt;=40,"dev",IF(COUNTIF(I$3:I380,"Y")&lt;=120,"test","extra"))),"")</f>
        <v/>
      </c>
      <c r="C380" s="11" t="str">
        <f aca="false">IF(I380="Y",IF(COUNTA(K380,Q380,W380,AC380,AE380)=5,"done","in progress"),IF(I380="N","excluded",""))</f>
        <v/>
      </c>
      <c r="D380" s="11" t="s">
        <v>1520</v>
      </c>
      <c r="E380" s="12" t="s">
        <v>90</v>
      </c>
      <c r="F380" s="13" t="s">
        <v>1521</v>
      </c>
      <c r="G380" s="11" t="s">
        <v>118</v>
      </c>
      <c r="H380" s="11"/>
      <c r="I380" s="14"/>
      <c r="J380" s="14"/>
      <c r="K380" s="14"/>
      <c r="L380" s="15"/>
      <c r="M380" s="14"/>
      <c r="N380" s="15"/>
      <c r="O380" s="14"/>
      <c r="P380" s="15"/>
      <c r="Q380" s="14"/>
      <c r="R380" s="15"/>
      <c r="S380" s="14"/>
      <c r="T380" s="15"/>
      <c r="U380" s="14"/>
      <c r="V380" s="15"/>
      <c r="W380" s="14"/>
      <c r="X380" s="15"/>
      <c r="Y380" s="14"/>
      <c r="Z380" s="15"/>
      <c r="AA380" s="14"/>
      <c r="AB380" s="15"/>
      <c r="AC380" s="14"/>
      <c r="AD380" s="15"/>
      <c r="AE380" s="14"/>
      <c r="AF380" s="15"/>
      <c r="AG380" s="15"/>
      <c r="AH380" s="15"/>
      <c r="AI380" s="14"/>
      <c r="AJ380" s="14"/>
      <c r="AK380" s="17"/>
    </row>
    <row r="381" customFormat="false" ht="28.5" hidden="false" customHeight="true" outlineLevel="0" collapsed="false">
      <c r="A381" s="11" t="n">
        <v>379</v>
      </c>
      <c r="B381" s="11" t="str">
        <f aca="false">IF(I381="Y",IF(COUNTIF(I$3:I381,"Y")&lt;=20,"pilot",IF(COUNTIF(I$3:I381,"Y")&lt;=40,"dev",IF(COUNTIF(I$3:I381,"Y")&lt;=120,"test","extra"))),"")</f>
        <v/>
      </c>
      <c r="C381" s="11" t="str">
        <f aca="false">IF(I381="Y",IF(COUNTA(K381,Q381,W381,AC381,AE381)=5,"done","in progress"),IF(I381="N","excluded",""))</f>
        <v/>
      </c>
      <c r="D381" s="11" t="s">
        <v>1522</v>
      </c>
      <c r="E381" s="12" t="s">
        <v>90</v>
      </c>
      <c r="F381" s="13" t="s">
        <v>1523</v>
      </c>
      <c r="G381" s="11" t="s">
        <v>193</v>
      </c>
      <c r="H381" s="11"/>
      <c r="I381" s="14"/>
      <c r="J381" s="14"/>
      <c r="K381" s="14"/>
      <c r="L381" s="15"/>
      <c r="M381" s="14"/>
      <c r="N381" s="15"/>
      <c r="O381" s="14"/>
      <c r="P381" s="15"/>
      <c r="Q381" s="14"/>
      <c r="R381" s="15"/>
      <c r="S381" s="14"/>
      <c r="T381" s="15"/>
      <c r="U381" s="14"/>
      <c r="V381" s="15"/>
      <c r="W381" s="14"/>
      <c r="X381" s="15"/>
      <c r="Y381" s="14"/>
      <c r="Z381" s="15"/>
      <c r="AA381" s="14"/>
      <c r="AB381" s="15"/>
      <c r="AC381" s="14"/>
      <c r="AD381" s="15"/>
      <c r="AE381" s="14"/>
      <c r="AF381" s="15"/>
      <c r="AG381" s="15"/>
      <c r="AH381" s="15"/>
      <c r="AI381" s="14"/>
      <c r="AJ381" s="14"/>
      <c r="AK381" s="17"/>
    </row>
    <row r="382" customFormat="false" ht="42.75" hidden="false" customHeight="true" outlineLevel="0" collapsed="false">
      <c r="A382" s="11" t="n">
        <v>380</v>
      </c>
      <c r="B382" s="11" t="str">
        <f aca="false">IF(I382="Y",IF(COUNTIF(I$3:I382,"Y")&lt;=20,"pilot",IF(COUNTIF(I$3:I382,"Y")&lt;=40,"dev",IF(COUNTIF(I$3:I382,"Y")&lt;=120,"test","extra"))),"")</f>
        <v/>
      </c>
      <c r="C382" s="11" t="str">
        <f aca="false">IF(I382="Y",IF(COUNTA(K382,Q382,W382,AC382,AE382)=5,"done","in progress"),IF(I382="N","excluded",""))</f>
        <v/>
      </c>
      <c r="D382" s="11" t="s">
        <v>1524</v>
      </c>
      <c r="E382" s="12" t="s">
        <v>90</v>
      </c>
      <c r="F382" s="13" t="s">
        <v>1525</v>
      </c>
      <c r="G382" s="11" t="s">
        <v>1526</v>
      </c>
      <c r="H382" s="11"/>
      <c r="I382" s="14"/>
      <c r="J382" s="14"/>
      <c r="K382" s="14"/>
      <c r="L382" s="15"/>
      <c r="M382" s="14"/>
      <c r="N382" s="15"/>
      <c r="O382" s="14"/>
      <c r="P382" s="15"/>
      <c r="Q382" s="14"/>
      <c r="R382" s="15"/>
      <c r="S382" s="14"/>
      <c r="T382" s="15"/>
      <c r="U382" s="14"/>
      <c r="V382" s="15"/>
      <c r="W382" s="14"/>
      <c r="X382" s="15"/>
      <c r="Y382" s="14"/>
      <c r="Z382" s="15"/>
      <c r="AA382" s="14"/>
      <c r="AB382" s="15"/>
      <c r="AC382" s="14"/>
      <c r="AD382" s="15"/>
      <c r="AE382" s="14"/>
      <c r="AF382" s="15"/>
      <c r="AG382" s="15"/>
      <c r="AH382" s="15"/>
      <c r="AI382" s="14"/>
      <c r="AJ382" s="14"/>
      <c r="AK382" s="17"/>
    </row>
    <row r="383" customFormat="false" ht="28.5" hidden="false" customHeight="true" outlineLevel="0" collapsed="false">
      <c r="A383" s="11" t="n">
        <v>381</v>
      </c>
      <c r="B383" s="11" t="str">
        <f aca="false">IF(I383="Y",IF(COUNTIF(I$3:I383,"Y")&lt;=20,"pilot",IF(COUNTIF(I$3:I383,"Y")&lt;=40,"dev",IF(COUNTIF(I$3:I383,"Y")&lt;=120,"test","extra"))),"")</f>
        <v/>
      </c>
      <c r="C383" s="11" t="str">
        <f aca="false">IF(I383="Y",IF(COUNTA(K383,Q383,W383,AC383,AE383)=5,"done","in progress"),IF(I383="N","excluded",""))</f>
        <v/>
      </c>
      <c r="D383" s="11" t="s">
        <v>1527</v>
      </c>
      <c r="E383" s="12" t="s">
        <v>90</v>
      </c>
      <c r="F383" s="13" t="s">
        <v>1528</v>
      </c>
      <c r="G383" s="11" t="s">
        <v>322</v>
      </c>
      <c r="H383" s="11"/>
      <c r="I383" s="14"/>
      <c r="J383" s="14"/>
      <c r="K383" s="14"/>
      <c r="L383" s="15"/>
      <c r="M383" s="14"/>
      <c r="N383" s="15"/>
      <c r="O383" s="14"/>
      <c r="P383" s="15"/>
      <c r="Q383" s="14"/>
      <c r="R383" s="15"/>
      <c r="S383" s="14"/>
      <c r="T383" s="15"/>
      <c r="U383" s="14"/>
      <c r="V383" s="15"/>
      <c r="W383" s="14"/>
      <c r="X383" s="15"/>
      <c r="Y383" s="14"/>
      <c r="Z383" s="15"/>
      <c r="AA383" s="14"/>
      <c r="AB383" s="15"/>
      <c r="AC383" s="14"/>
      <c r="AD383" s="15"/>
      <c r="AE383" s="14"/>
      <c r="AF383" s="15"/>
      <c r="AG383" s="15"/>
      <c r="AH383" s="15"/>
      <c r="AI383" s="14"/>
      <c r="AJ383" s="14"/>
      <c r="AK383" s="17"/>
    </row>
    <row r="384" customFormat="false" ht="42.75" hidden="false" customHeight="true" outlineLevel="0" collapsed="false">
      <c r="A384" s="11" t="n">
        <v>382</v>
      </c>
      <c r="B384" s="11" t="str">
        <f aca="false">IF(I384="Y",IF(COUNTIF(I$3:I384,"Y")&lt;=20,"pilot",IF(COUNTIF(I$3:I384,"Y")&lt;=40,"dev",IF(COUNTIF(I$3:I384,"Y")&lt;=120,"test","extra"))),"")</f>
        <v/>
      </c>
      <c r="C384" s="11" t="str">
        <f aca="false">IF(I384="Y",IF(COUNTA(K384,Q384,W384,AC384,AE384)=5,"done","in progress"),IF(I384="N","excluded",""))</f>
        <v/>
      </c>
      <c r="D384" s="11" t="s">
        <v>1529</v>
      </c>
      <c r="E384" s="12" t="s">
        <v>90</v>
      </c>
      <c r="F384" s="13" t="s">
        <v>1530</v>
      </c>
      <c r="G384" s="11" t="s">
        <v>1333</v>
      </c>
      <c r="H384" s="11"/>
      <c r="I384" s="14"/>
      <c r="J384" s="14"/>
      <c r="K384" s="14"/>
      <c r="L384" s="15"/>
      <c r="M384" s="14"/>
      <c r="N384" s="15"/>
      <c r="O384" s="14"/>
      <c r="P384" s="15"/>
      <c r="Q384" s="14"/>
      <c r="R384" s="15"/>
      <c r="S384" s="14"/>
      <c r="T384" s="15"/>
      <c r="U384" s="14"/>
      <c r="V384" s="15"/>
      <c r="W384" s="14"/>
      <c r="X384" s="15"/>
      <c r="Y384" s="14"/>
      <c r="Z384" s="15"/>
      <c r="AA384" s="14"/>
      <c r="AB384" s="15"/>
      <c r="AC384" s="14"/>
      <c r="AD384" s="15"/>
      <c r="AE384" s="14"/>
      <c r="AF384" s="15"/>
      <c r="AG384" s="15"/>
      <c r="AH384" s="15"/>
      <c r="AI384" s="14"/>
      <c r="AJ384" s="14"/>
      <c r="AK384" s="17"/>
    </row>
    <row r="385" customFormat="false" ht="42.75" hidden="false" customHeight="true" outlineLevel="0" collapsed="false">
      <c r="A385" s="11" t="n">
        <v>383</v>
      </c>
      <c r="B385" s="11" t="str">
        <f aca="false">IF(I385="Y",IF(COUNTIF(I$3:I385,"Y")&lt;=20,"pilot",IF(COUNTIF(I$3:I385,"Y")&lt;=40,"dev",IF(COUNTIF(I$3:I385,"Y")&lt;=120,"test","extra"))),"")</f>
        <v/>
      </c>
      <c r="C385" s="11" t="str">
        <f aca="false">IF(I385="Y",IF(COUNTA(K385,Q385,W385,AC385,AE385)=5,"done","in progress"),IF(I385="N","excluded",""))</f>
        <v/>
      </c>
      <c r="D385" s="11" t="s">
        <v>1531</v>
      </c>
      <c r="E385" s="12" t="s">
        <v>90</v>
      </c>
      <c r="F385" s="13" t="s">
        <v>1532</v>
      </c>
      <c r="G385" s="11" t="s">
        <v>724</v>
      </c>
      <c r="H385" s="11"/>
      <c r="I385" s="14"/>
      <c r="J385" s="14"/>
      <c r="K385" s="14"/>
      <c r="L385" s="15"/>
      <c r="M385" s="14"/>
      <c r="N385" s="15"/>
      <c r="O385" s="14"/>
      <c r="P385" s="15"/>
      <c r="Q385" s="14"/>
      <c r="R385" s="15"/>
      <c r="S385" s="14"/>
      <c r="T385" s="15"/>
      <c r="U385" s="14"/>
      <c r="V385" s="15"/>
      <c r="W385" s="14"/>
      <c r="X385" s="15"/>
      <c r="Y385" s="14"/>
      <c r="Z385" s="15"/>
      <c r="AA385" s="14"/>
      <c r="AB385" s="15"/>
      <c r="AC385" s="14"/>
      <c r="AD385" s="15"/>
      <c r="AE385" s="14"/>
      <c r="AF385" s="15"/>
      <c r="AG385" s="15"/>
      <c r="AH385" s="15"/>
      <c r="AI385" s="14"/>
      <c r="AJ385" s="14"/>
      <c r="AK385" s="17"/>
    </row>
    <row r="386" customFormat="false" ht="28.5" hidden="false" customHeight="true" outlineLevel="0" collapsed="false">
      <c r="A386" s="11" t="n">
        <v>384</v>
      </c>
      <c r="B386" s="11" t="str">
        <f aca="false">IF(I386="Y",IF(COUNTIF(I$3:I386,"Y")&lt;=20,"pilot",IF(COUNTIF(I$3:I386,"Y")&lt;=40,"dev",IF(COUNTIF(I$3:I386,"Y")&lt;=120,"test","extra"))),"")</f>
        <v/>
      </c>
      <c r="C386" s="11" t="str">
        <f aca="false">IF(I386="Y",IF(COUNTA(K386,Q386,W386,AC386,AE386)=5,"done","in progress"),IF(I386="N","excluded",""))</f>
        <v/>
      </c>
      <c r="D386" s="11" t="s">
        <v>1533</v>
      </c>
      <c r="E386" s="12" t="s">
        <v>90</v>
      </c>
      <c r="F386" s="13" t="s">
        <v>1534</v>
      </c>
      <c r="G386" s="11" t="s">
        <v>476</v>
      </c>
      <c r="H386" s="11"/>
      <c r="I386" s="14"/>
      <c r="J386" s="14"/>
      <c r="K386" s="14"/>
      <c r="L386" s="15"/>
      <c r="M386" s="14"/>
      <c r="N386" s="15"/>
      <c r="O386" s="14"/>
      <c r="P386" s="15"/>
      <c r="Q386" s="14"/>
      <c r="R386" s="15"/>
      <c r="S386" s="14"/>
      <c r="T386" s="15"/>
      <c r="U386" s="14"/>
      <c r="V386" s="15"/>
      <c r="W386" s="14"/>
      <c r="X386" s="15"/>
      <c r="Y386" s="14"/>
      <c r="Z386" s="15"/>
      <c r="AA386" s="14"/>
      <c r="AB386" s="15"/>
      <c r="AC386" s="14"/>
      <c r="AD386" s="15"/>
      <c r="AE386" s="14"/>
      <c r="AF386" s="15"/>
      <c r="AG386" s="15"/>
      <c r="AH386" s="15"/>
      <c r="AI386" s="14"/>
      <c r="AJ386" s="14"/>
      <c r="AK386" s="17"/>
    </row>
    <row r="387" customFormat="false" ht="42.75" hidden="false" customHeight="true" outlineLevel="0" collapsed="false">
      <c r="A387" s="11" t="n">
        <v>385</v>
      </c>
      <c r="B387" s="11" t="str">
        <f aca="false">IF(I387="Y",IF(COUNTIF(I$3:I387,"Y")&lt;=20,"pilot",IF(COUNTIF(I$3:I387,"Y")&lt;=40,"dev",IF(COUNTIF(I$3:I387,"Y")&lt;=120,"test","extra"))),"")</f>
        <v/>
      </c>
      <c r="C387" s="11" t="str">
        <f aca="false">IF(I387="Y",IF(COUNTA(K387,Q387,W387,AC387,AE387)=5,"done","in progress"),IF(I387="N","excluded",""))</f>
        <v/>
      </c>
      <c r="D387" s="11" t="s">
        <v>1535</v>
      </c>
      <c r="E387" s="12" t="s">
        <v>90</v>
      </c>
      <c r="F387" s="13" t="s">
        <v>1536</v>
      </c>
      <c r="G387" s="11" t="s">
        <v>1537</v>
      </c>
      <c r="H387" s="11"/>
      <c r="I387" s="14"/>
      <c r="J387" s="14"/>
      <c r="K387" s="14"/>
      <c r="L387" s="15"/>
      <c r="M387" s="14"/>
      <c r="N387" s="15"/>
      <c r="O387" s="14"/>
      <c r="P387" s="15"/>
      <c r="Q387" s="14"/>
      <c r="R387" s="15"/>
      <c r="S387" s="14"/>
      <c r="T387" s="15"/>
      <c r="U387" s="14"/>
      <c r="V387" s="15"/>
      <c r="W387" s="14"/>
      <c r="X387" s="15"/>
      <c r="Y387" s="14"/>
      <c r="Z387" s="15"/>
      <c r="AA387" s="14"/>
      <c r="AB387" s="15"/>
      <c r="AC387" s="14"/>
      <c r="AD387" s="15"/>
      <c r="AE387" s="14"/>
      <c r="AF387" s="15"/>
      <c r="AG387" s="15"/>
      <c r="AH387" s="15"/>
      <c r="AI387" s="14"/>
      <c r="AJ387" s="14"/>
      <c r="AK387" s="17"/>
    </row>
    <row r="388" customFormat="false" ht="42.75" hidden="false" customHeight="true" outlineLevel="0" collapsed="false">
      <c r="A388" s="11" t="n">
        <v>386</v>
      </c>
      <c r="B388" s="11" t="str">
        <f aca="false">IF(I388="Y",IF(COUNTIF(I$3:I388,"Y")&lt;=20,"pilot",IF(COUNTIF(I$3:I388,"Y")&lt;=40,"dev",IF(COUNTIF(I$3:I388,"Y")&lt;=120,"test","extra"))),"")</f>
        <v/>
      </c>
      <c r="C388" s="11" t="str">
        <f aca="false">IF(I388="Y",IF(COUNTA(K388,Q388,W388,AC388,AE388)=5,"done","in progress"),IF(I388="N","excluded",""))</f>
        <v/>
      </c>
      <c r="D388" s="11" t="s">
        <v>1538</v>
      </c>
      <c r="E388" s="12" t="s">
        <v>90</v>
      </c>
      <c r="F388" s="13" t="s">
        <v>1539</v>
      </c>
      <c r="G388" s="11" t="s">
        <v>1540</v>
      </c>
      <c r="H388" s="11"/>
      <c r="I388" s="14"/>
      <c r="J388" s="14"/>
      <c r="K388" s="14"/>
      <c r="L388" s="15"/>
      <c r="M388" s="14"/>
      <c r="N388" s="15"/>
      <c r="O388" s="14"/>
      <c r="P388" s="15"/>
      <c r="Q388" s="14"/>
      <c r="R388" s="15"/>
      <c r="S388" s="14"/>
      <c r="T388" s="15"/>
      <c r="U388" s="14"/>
      <c r="V388" s="15"/>
      <c r="W388" s="14"/>
      <c r="X388" s="15"/>
      <c r="Y388" s="14"/>
      <c r="Z388" s="15"/>
      <c r="AA388" s="14"/>
      <c r="AB388" s="15"/>
      <c r="AC388" s="14"/>
      <c r="AD388" s="15"/>
      <c r="AE388" s="14"/>
      <c r="AF388" s="15"/>
      <c r="AG388" s="15"/>
      <c r="AH388" s="15"/>
      <c r="AI388" s="14"/>
      <c r="AJ388" s="14"/>
      <c r="AK388" s="17"/>
    </row>
    <row r="389" customFormat="false" ht="42.75" hidden="false" customHeight="true" outlineLevel="0" collapsed="false">
      <c r="A389" s="11" t="n">
        <v>387</v>
      </c>
      <c r="B389" s="11" t="str">
        <f aca="false">IF(I389="Y",IF(COUNTIF(I$3:I389,"Y")&lt;=20,"pilot",IF(COUNTIF(I$3:I389,"Y")&lt;=40,"dev",IF(COUNTIF(I$3:I389,"Y")&lt;=120,"test","extra"))),"")</f>
        <v/>
      </c>
      <c r="C389" s="11" t="str">
        <f aca="false">IF(I389="Y",IF(COUNTA(K389,Q389,W389,AC389,AE389)=5,"done","in progress"),IF(I389="N","excluded",""))</f>
        <v/>
      </c>
      <c r="D389" s="11" t="s">
        <v>1541</v>
      </c>
      <c r="E389" s="12" t="s">
        <v>90</v>
      </c>
      <c r="F389" s="13" t="s">
        <v>1542</v>
      </c>
      <c r="G389" s="11" t="s">
        <v>1543</v>
      </c>
      <c r="H389" s="11"/>
      <c r="I389" s="14"/>
      <c r="J389" s="14"/>
      <c r="K389" s="14"/>
      <c r="L389" s="15"/>
      <c r="M389" s="14"/>
      <c r="N389" s="15"/>
      <c r="O389" s="14"/>
      <c r="P389" s="15"/>
      <c r="Q389" s="14"/>
      <c r="R389" s="15"/>
      <c r="S389" s="14"/>
      <c r="T389" s="15"/>
      <c r="U389" s="14"/>
      <c r="V389" s="15"/>
      <c r="W389" s="14"/>
      <c r="X389" s="15"/>
      <c r="Y389" s="14"/>
      <c r="Z389" s="15"/>
      <c r="AA389" s="14"/>
      <c r="AB389" s="15"/>
      <c r="AC389" s="14"/>
      <c r="AD389" s="15"/>
      <c r="AE389" s="14"/>
      <c r="AF389" s="15"/>
      <c r="AG389" s="15"/>
      <c r="AH389" s="15"/>
      <c r="AI389" s="14"/>
      <c r="AJ389" s="14"/>
      <c r="AK389" s="17"/>
    </row>
    <row r="390" customFormat="false" ht="28.5" hidden="false" customHeight="true" outlineLevel="0" collapsed="false">
      <c r="A390" s="11" t="n">
        <v>388</v>
      </c>
      <c r="B390" s="11" t="str">
        <f aca="false">IF(I390="Y",IF(COUNTIF(I$3:I390,"Y")&lt;=20,"pilot",IF(COUNTIF(I$3:I390,"Y")&lt;=40,"dev",IF(COUNTIF(I$3:I390,"Y")&lt;=120,"test","extra"))),"")</f>
        <v/>
      </c>
      <c r="C390" s="11" t="str">
        <f aca="false">IF(I390="Y",IF(COUNTA(K390,Q390,W390,AC390,AE390)=5,"done","in progress"),IF(I390="N","excluded",""))</f>
        <v/>
      </c>
      <c r="D390" s="11" t="s">
        <v>1544</v>
      </c>
      <c r="E390" s="12" t="s">
        <v>90</v>
      </c>
      <c r="F390" s="13" t="s">
        <v>1545</v>
      </c>
      <c r="G390" s="11" t="s">
        <v>322</v>
      </c>
      <c r="H390" s="11"/>
      <c r="I390" s="14"/>
      <c r="J390" s="14"/>
      <c r="K390" s="14"/>
      <c r="L390" s="15"/>
      <c r="M390" s="14"/>
      <c r="N390" s="15"/>
      <c r="O390" s="14"/>
      <c r="P390" s="15"/>
      <c r="Q390" s="14"/>
      <c r="R390" s="15"/>
      <c r="S390" s="14"/>
      <c r="T390" s="15"/>
      <c r="U390" s="14"/>
      <c r="V390" s="15"/>
      <c r="W390" s="14"/>
      <c r="X390" s="15"/>
      <c r="Y390" s="14"/>
      <c r="Z390" s="15"/>
      <c r="AA390" s="14"/>
      <c r="AB390" s="15"/>
      <c r="AC390" s="14"/>
      <c r="AD390" s="15"/>
      <c r="AE390" s="14"/>
      <c r="AF390" s="15"/>
      <c r="AG390" s="15"/>
      <c r="AH390" s="15"/>
      <c r="AI390" s="14"/>
      <c r="AJ390" s="14"/>
      <c r="AK390" s="17"/>
    </row>
    <row r="391" customFormat="false" ht="42.75" hidden="false" customHeight="true" outlineLevel="0" collapsed="false">
      <c r="A391" s="11" t="n">
        <v>389</v>
      </c>
      <c r="B391" s="11" t="str">
        <f aca="false">IF(I391="Y",IF(COUNTIF(I$3:I391,"Y")&lt;=20,"pilot",IF(COUNTIF(I$3:I391,"Y")&lt;=40,"dev",IF(COUNTIF(I$3:I391,"Y")&lt;=120,"test","extra"))),"")</f>
        <v/>
      </c>
      <c r="C391" s="11" t="str">
        <f aca="false">IF(I391="Y",IF(COUNTA(K391,Q391,W391,AC391,AE391)=5,"done","in progress"),IF(I391="N","excluded",""))</f>
        <v/>
      </c>
      <c r="D391" s="11" t="s">
        <v>1546</v>
      </c>
      <c r="E391" s="12" t="s">
        <v>90</v>
      </c>
      <c r="F391" s="13" t="s">
        <v>1547</v>
      </c>
      <c r="G391" s="11" t="s">
        <v>193</v>
      </c>
      <c r="H391" s="11"/>
      <c r="I391" s="14"/>
      <c r="J391" s="14"/>
      <c r="K391" s="14"/>
      <c r="L391" s="15"/>
      <c r="M391" s="14"/>
      <c r="N391" s="15"/>
      <c r="O391" s="14"/>
      <c r="P391" s="15"/>
      <c r="Q391" s="14"/>
      <c r="R391" s="15"/>
      <c r="S391" s="14"/>
      <c r="T391" s="15"/>
      <c r="U391" s="14"/>
      <c r="V391" s="15"/>
      <c r="W391" s="14"/>
      <c r="X391" s="15"/>
      <c r="Y391" s="14"/>
      <c r="Z391" s="15"/>
      <c r="AA391" s="14"/>
      <c r="AB391" s="15"/>
      <c r="AC391" s="14"/>
      <c r="AD391" s="15"/>
      <c r="AE391" s="14"/>
      <c r="AF391" s="15"/>
      <c r="AG391" s="15"/>
      <c r="AH391" s="15"/>
      <c r="AI391" s="14"/>
      <c r="AJ391" s="14"/>
      <c r="AK391" s="17"/>
    </row>
    <row r="392" customFormat="false" ht="28.5" hidden="false" customHeight="true" outlineLevel="0" collapsed="false">
      <c r="A392" s="11" t="n">
        <v>390</v>
      </c>
      <c r="B392" s="11" t="str">
        <f aca="false">IF(I392="Y",IF(COUNTIF(I$3:I392,"Y")&lt;=20,"pilot",IF(COUNTIF(I$3:I392,"Y")&lt;=40,"dev",IF(COUNTIF(I$3:I392,"Y")&lt;=120,"test","extra"))),"")</f>
        <v/>
      </c>
      <c r="C392" s="11" t="str">
        <f aca="false">IF(I392="Y",IF(COUNTA(K392,Q392,W392,AC392,AE392)=5,"done","in progress"),IF(I392="N","excluded",""))</f>
        <v/>
      </c>
      <c r="D392" s="11" t="s">
        <v>1548</v>
      </c>
      <c r="E392" s="12" t="s">
        <v>90</v>
      </c>
      <c r="F392" s="13" t="s">
        <v>1549</v>
      </c>
      <c r="G392" s="11" t="s">
        <v>1459</v>
      </c>
      <c r="H392" s="11"/>
      <c r="I392" s="14"/>
      <c r="J392" s="14"/>
      <c r="K392" s="14"/>
      <c r="L392" s="15"/>
      <c r="M392" s="14"/>
      <c r="N392" s="15"/>
      <c r="O392" s="14"/>
      <c r="P392" s="15"/>
      <c r="Q392" s="14"/>
      <c r="R392" s="15"/>
      <c r="S392" s="14"/>
      <c r="T392" s="15"/>
      <c r="U392" s="14"/>
      <c r="V392" s="15"/>
      <c r="W392" s="14"/>
      <c r="X392" s="15"/>
      <c r="Y392" s="14"/>
      <c r="Z392" s="15"/>
      <c r="AA392" s="14"/>
      <c r="AB392" s="15"/>
      <c r="AC392" s="14"/>
      <c r="AD392" s="15"/>
      <c r="AE392" s="14"/>
      <c r="AF392" s="15"/>
      <c r="AG392" s="15"/>
      <c r="AH392" s="15"/>
      <c r="AI392" s="14"/>
      <c r="AJ392" s="14"/>
      <c r="AK392" s="17"/>
    </row>
    <row r="393" customFormat="false" ht="28.5" hidden="false" customHeight="true" outlineLevel="0" collapsed="false">
      <c r="A393" s="11" t="n">
        <v>391</v>
      </c>
      <c r="B393" s="11" t="str">
        <f aca="false">IF(I393="Y",IF(COUNTIF(I$3:I393,"Y")&lt;=20,"pilot",IF(COUNTIF(I$3:I393,"Y")&lt;=40,"dev",IF(COUNTIF(I$3:I393,"Y")&lt;=120,"test","extra"))),"")</f>
        <v/>
      </c>
      <c r="C393" s="11" t="str">
        <f aca="false">IF(I393="Y",IF(COUNTA(K393,Q393,W393,AC393,AE393)=5,"done","in progress"),IF(I393="N","excluded",""))</f>
        <v/>
      </c>
      <c r="D393" s="11" t="s">
        <v>1550</v>
      </c>
      <c r="E393" s="12" t="s">
        <v>90</v>
      </c>
      <c r="F393" s="13" t="s">
        <v>1551</v>
      </c>
      <c r="G393" s="11" t="s">
        <v>978</v>
      </c>
      <c r="H393" s="11"/>
      <c r="I393" s="14"/>
      <c r="J393" s="14"/>
      <c r="K393" s="14"/>
      <c r="L393" s="15"/>
      <c r="M393" s="14"/>
      <c r="N393" s="15"/>
      <c r="O393" s="14"/>
      <c r="P393" s="15"/>
      <c r="Q393" s="14"/>
      <c r="R393" s="15"/>
      <c r="S393" s="14"/>
      <c r="T393" s="15"/>
      <c r="U393" s="14"/>
      <c r="V393" s="15"/>
      <c r="W393" s="14"/>
      <c r="X393" s="15"/>
      <c r="Y393" s="14"/>
      <c r="Z393" s="15"/>
      <c r="AA393" s="14"/>
      <c r="AB393" s="15"/>
      <c r="AC393" s="14"/>
      <c r="AD393" s="15"/>
      <c r="AE393" s="14"/>
      <c r="AF393" s="15"/>
      <c r="AG393" s="15"/>
      <c r="AH393" s="15"/>
      <c r="AI393" s="14"/>
      <c r="AJ393" s="14"/>
      <c r="AK393" s="17"/>
    </row>
    <row r="394" customFormat="false" ht="42.75" hidden="false" customHeight="true" outlineLevel="0" collapsed="false">
      <c r="A394" s="11" t="n">
        <v>392</v>
      </c>
      <c r="B394" s="11" t="str">
        <f aca="false">IF(I394="Y",IF(COUNTIF(I$3:I394,"Y")&lt;=20,"pilot",IF(COUNTIF(I$3:I394,"Y")&lt;=40,"dev",IF(COUNTIF(I$3:I394,"Y")&lt;=120,"test","extra"))),"")</f>
        <v/>
      </c>
      <c r="C394" s="11" t="str">
        <f aca="false">IF(I394="Y",IF(COUNTA(K394,Q394,W394,AC394,AE394)=5,"done","in progress"),IF(I394="N","excluded",""))</f>
        <v/>
      </c>
      <c r="D394" s="11" t="s">
        <v>1552</v>
      </c>
      <c r="E394" s="12" t="s">
        <v>90</v>
      </c>
      <c r="F394" s="13" t="s">
        <v>1553</v>
      </c>
      <c r="G394" s="11" t="s">
        <v>1459</v>
      </c>
      <c r="H394" s="11" t="s">
        <v>1463</v>
      </c>
      <c r="I394" s="14"/>
      <c r="J394" s="14"/>
      <c r="K394" s="14"/>
      <c r="L394" s="15"/>
      <c r="M394" s="14"/>
      <c r="N394" s="15"/>
      <c r="O394" s="14"/>
      <c r="P394" s="15"/>
      <c r="Q394" s="14"/>
      <c r="R394" s="15"/>
      <c r="S394" s="14"/>
      <c r="T394" s="15"/>
      <c r="U394" s="14"/>
      <c r="V394" s="15"/>
      <c r="W394" s="14"/>
      <c r="X394" s="15"/>
      <c r="Y394" s="14"/>
      <c r="Z394" s="15"/>
      <c r="AA394" s="14"/>
      <c r="AB394" s="15"/>
      <c r="AC394" s="14"/>
      <c r="AD394" s="15"/>
      <c r="AE394" s="14"/>
      <c r="AF394" s="15"/>
      <c r="AG394" s="15"/>
      <c r="AH394" s="15"/>
      <c r="AI394" s="14"/>
      <c r="AJ394" s="14"/>
      <c r="AK394" s="17"/>
    </row>
    <row r="395" customFormat="false" ht="28.5" hidden="false" customHeight="true" outlineLevel="0" collapsed="false">
      <c r="A395" s="11" t="n">
        <v>393</v>
      </c>
      <c r="B395" s="11" t="str">
        <f aca="false">IF(I395="Y",IF(COUNTIF(I$3:I395,"Y")&lt;=20,"pilot",IF(COUNTIF(I$3:I395,"Y")&lt;=40,"dev",IF(COUNTIF(I$3:I395,"Y")&lt;=120,"test","extra"))),"")</f>
        <v/>
      </c>
      <c r="C395" s="11" t="str">
        <f aca="false">IF(I395="Y",IF(COUNTA(K395,Q395,W395,AC395,AE395)=5,"done","in progress"),IF(I395="N","excluded",""))</f>
        <v/>
      </c>
      <c r="D395" s="11" t="s">
        <v>1554</v>
      </c>
      <c r="E395" s="12" t="s">
        <v>90</v>
      </c>
      <c r="F395" s="13" t="s">
        <v>1555</v>
      </c>
      <c r="G395" s="11" t="s">
        <v>476</v>
      </c>
      <c r="H395" s="11"/>
      <c r="I395" s="14"/>
      <c r="J395" s="14"/>
      <c r="K395" s="14"/>
      <c r="L395" s="15"/>
      <c r="M395" s="14"/>
      <c r="N395" s="15"/>
      <c r="O395" s="14"/>
      <c r="P395" s="15"/>
      <c r="Q395" s="14"/>
      <c r="R395" s="15"/>
      <c r="S395" s="14"/>
      <c r="T395" s="15"/>
      <c r="U395" s="14"/>
      <c r="V395" s="15"/>
      <c r="W395" s="14"/>
      <c r="X395" s="15"/>
      <c r="Y395" s="14"/>
      <c r="Z395" s="15"/>
      <c r="AA395" s="14"/>
      <c r="AB395" s="15"/>
      <c r="AC395" s="14"/>
      <c r="AD395" s="15"/>
      <c r="AE395" s="14"/>
      <c r="AF395" s="15"/>
      <c r="AG395" s="15"/>
      <c r="AH395" s="15"/>
      <c r="AI395" s="14"/>
      <c r="AJ395" s="14"/>
      <c r="AK395" s="17"/>
    </row>
    <row r="396" customFormat="false" ht="42.75" hidden="false" customHeight="true" outlineLevel="0" collapsed="false">
      <c r="A396" s="11" t="n">
        <v>394</v>
      </c>
      <c r="B396" s="11" t="str">
        <f aca="false">IF(I396="Y",IF(COUNTIF(I$3:I396,"Y")&lt;=20,"pilot",IF(COUNTIF(I$3:I396,"Y")&lt;=40,"dev",IF(COUNTIF(I$3:I396,"Y")&lt;=120,"test","extra"))),"")</f>
        <v/>
      </c>
      <c r="C396" s="11" t="str">
        <f aca="false">IF(I396="Y",IF(COUNTA(K396,Q396,W396,AC396,AE396)=5,"done","in progress"),IF(I396="N","excluded",""))</f>
        <v/>
      </c>
      <c r="D396" s="11" t="s">
        <v>1556</v>
      </c>
      <c r="E396" s="12" t="s">
        <v>90</v>
      </c>
      <c r="F396" s="13" t="s">
        <v>1557</v>
      </c>
      <c r="G396" s="11" t="s">
        <v>145</v>
      </c>
      <c r="H396" s="11"/>
      <c r="I396" s="14"/>
      <c r="J396" s="14"/>
      <c r="K396" s="14"/>
      <c r="L396" s="15"/>
      <c r="M396" s="14"/>
      <c r="N396" s="15"/>
      <c r="O396" s="14"/>
      <c r="P396" s="15"/>
      <c r="Q396" s="14"/>
      <c r="R396" s="15"/>
      <c r="S396" s="14"/>
      <c r="T396" s="15"/>
      <c r="U396" s="14"/>
      <c r="V396" s="15"/>
      <c r="W396" s="14"/>
      <c r="X396" s="15"/>
      <c r="Y396" s="14"/>
      <c r="Z396" s="15"/>
      <c r="AA396" s="14"/>
      <c r="AB396" s="15"/>
      <c r="AC396" s="14"/>
      <c r="AD396" s="15"/>
      <c r="AE396" s="14"/>
      <c r="AF396" s="15"/>
      <c r="AG396" s="15"/>
      <c r="AH396" s="15"/>
      <c r="AI396" s="14"/>
      <c r="AJ396" s="14"/>
      <c r="AK396" s="17"/>
    </row>
    <row r="397" customFormat="false" ht="42.75" hidden="false" customHeight="true" outlineLevel="0" collapsed="false">
      <c r="A397" s="11" t="n">
        <v>395</v>
      </c>
      <c r="B397" s="11" t="str">
        <f aca="false">IF(I397="Y",IF(COUNTIF(I$3:I397,"Y")&lt;=20,"pilot",IF(COUNTIF(I$3:I397,"Y")&lt;=40,"dev",IF(COUNTIF(I$3:I397,"Y")&lt;=120,"test","extra"))),"")</f>
        <v/>
      </c>
      <c r="C397" s="11" t="str">
        <f aca="false">IF(I397="Y",IF(COUNTA(K397,Q397,W397,AC397,AE397)=5,"done","in progress"),IF(I397="N","excluded",""))</f>
        <v/>
      </c>
      <c r="D397" s="11" t="s">
        <v>1558</v>
      </c>
      <c r="E397" s="12" t="s">
        <v>90</v>
      </c>
      <c r="F397" s="13" t="s">
        <v>1559</v>
      </c>
      <c r="G397" s="11" t="s">
        <v>322</v>
      </c>
      <c r="H397" s="11"/>
      <c r="I397" s="14"/>
      <c r="J397" s="14"/>
      <c r="K397" s="14"/>
      <c r="L397" s="15"/>
      <c r="M397" s="14"/>
      <c r="N397" s="15"/>
      <c r="O397" s="14"/>
      <c r="P397" s="15"/>
      <c r="Q397" s="14"/>
      <c r="R397" s="15"/>
      <c r="S397" s="14"/>
      <c r="T397" s="15"/>
      <c r="U397" s="14"/>
      <c r="V397" s="15"/>
      <c r="W397" s="14"/>
      <c r="X397" s="15"/>
      <c r="Y397" s="14"/>
      <c r="Z397" s="15"/>
      <c r="AA397" s="14"/>
      <c r="AB397" s="15"/>
      <c r="AC397" s="14"/>
      <c r="AD397" s="15"/>
      <c r="AE397" s="14"/>
      <c r="AF397" s="15"/>
      <c r="AG397" s="15"/>
      <c r="AH397" s="15"/>
      <c r="AI397" s="14"/>
      <c r="AJ397" s="14"/>
      <c r="AK397" s="17"/>
    </row>
    <row r="398" customFormat="false" ht="28.5" hidden="false" customHeight="true" outlineLevel="0" collapsed="false">
      <c r="A398" s="11" t="n">
        <v>396</v>
      </c>
      <c r="B398" s="11" t="str">
        <f aca="false">IF(I398="Y",IF(COUNTIF(I$3:I398,"Y")&lt;=20,"pilot",IF(COUNTIF(I$3:I398,"Y")&lt;=40,"dev",IF(COUNTIF(I$3:I398,"Y")&lt;=120,"test","extra"))),"")</f>
        <v/>
      </c>
      <c r="C398" s="11" t="str">
        <f aca="false">IF(I398="Y",IF(COUNTA(K398,Q398,W398,AC398,AE398)=5,"done","in progress"),IF(I398="N","excluded",""))</f>
        <v/>
      </c>
      <c r="D398" s="11" t="s">
        <v>1560</v>
      </c>
      <c r="E398" s="12" t="s">
        <v>90</v>
      </c>
      <c r="F398" s="13" t="s">
        <v>1561</v>
      </c>
      <c r="G398" s="11" t="s">
        <v>674</v>
      </c>
      <c r="H398" s="11"/>
      <c r="I398" s="14"/>
      <c r="J398" s="14"/>
      <c r="K398" s="14"/>
      <c r="L398" s="15"/>
      <c r="M398" s="14"/>
      <c r="N398" s="15"/>
      <c r="O398" s="14"/>
      <c r="P398" s="15"/>
      <c r="Q398" s="14"/>
      <c r="R398" s="15"/>
      <c r="S398" s="14"/>
      <c r="T398" s="15"/>
      <c r="U398" s="14"/>
      <c r="V398" s="15"/>
      <c r="W398" s="14"/>
      <c r="X398" s="15"/>
      <c r="Y398" s="14"/>
      <c r="Z398" s="15"/>
      <c r="AA398" s="14"/>
      <c r="AB398" s="15"/>
      <c r="AC398" s="14"/>
      <c r="AD398" s="15"/>
      <c r="AE398" s="14"/>
      <c r="AF398" s="15"/>
      <c r="AG398" s="15"/>
      <c r="AH398" s="15"/>
      <c r="AI398" s="14"/>
      <c r="AJ398" s="14"/>
      <c r="AK398" s="17"/>
    </row>
    <row r="399" customFormat="false" ht="42.75" hidden="false" customHeight="true" outlineLevel="0" collapsed="false">
      <c r="A399" s="11" t="n">
        <v>397</v>
      </c>
      <c r="B399" s="11" t="str">
        <f aca="false">IF(I399="Y",IF(COUNTIF(I$3:I399,"Y")&lt;=20,"pilot",IF(COUNTIF(I$3:I399,"Y")&lt;=40,"dev",IF(COUNTIF(I$3:I399,"Y")&lt;=120,"test","extra"))),"")</f>
        <v/>
      </c>
      <c r="C399" s="11" t="str">
        <f aca="false">IF(I399="Y",IF(COUNTA(K399,Q399,W399,AC399,AE399)=5,"done","in progress"),IF(I399="N","excluded",""))</f>
        <v/>
      </c>
      <c r="D399" s="11" t="s">
        <v>1562</v>
      </c>
      <c r="E399" s="12" t="s">
        <v>90</v>
      </c>
      <c r="F399" s="13" t="s">
        <v>1563</v>
      </c>
      <c r="G399" s="11" t="s">
        <v>1060</v>
      </c>
      <c r="H399" s="11"/>
      <c r="I399" s="14"/>
      <c r="J399" s="14"/>
      <c r="K399" s="14"/>
      <c r="L399" s="15"/>
      <c r="M399" s="14"/>
      <c r="N399" s="15"/>
      <c r="O399" s="14"/>
      <c r="P399" s="15"/>
      <c r="Q399" s="14"/>
      <c r="R399" s="15"/>
      <c r="S399" s="14"/>
      <c r="T399" s="15"/>
      <c r="U399" s="14"/>
      <c r="V399" s="15"/>
      <c r="W399" s="14"/>
      <c r="X399" s="15"/>
      <c r="Y399" s="14"/>
      <c r="Z399" s="15"/>
      <c r="AA399" s="14"/>
      <c r="AB399" s="15"/>
      <c r="AC399" s="14"/>
      <c r="AD399" s="15"/>
      <c r="AE399" s="14"/>
      <c r="AF399" s="15"/>
      <c r="AG399" s="15"/>
      <c r="AH399" s="15"/>
      <c r="AI399" s="14"/>
      <c r="AJ399" s="14"/>
      <c r="AK399" s="17"/>
    </row>
    <row r="400" customFormat="false" ht="42.75" hidden="false" customHeight="true" outlineLevel="0" collapsed="false">
      <c r="A400" s="11" t="n">
        <v>398</v>
      </c>
      <c r="B400" s="11" t="str">
        <f aca="false">IF(I400="Y",IF(COUNTIF(I$3:I400,"Y")&lt;=20,"pilot",IF(COUNTIF(I$3:I400,"Y")&lt;=40,"dev",IF(COUNTIF(I$3:I400,"Y")&lt;=120,"test","extra"))),"")</f>
        <v/>
      </c>
      <c r="C400" s="11" t="str">
        <f aca="false">IF(I400="Y",IF(COUNTA(K400,Q400,W400,AC400,AE400)=5,"done","in progress"),IF(I400="N","excluded",""))</f>
        <v/>
      </c>
      <c r="D400" s="11" t="s">
        <v>1564</v>
      </c>
      <c r="E400" s="12" t="s">
        <v>90</v>
      </c>
      <c r="F400" s="13" t="s">
        <v>1565</v>
      </c>
      <c r="G400" s="11" t="s">
        <v>630</v>
      </c>
      <c r="H400" s="11"/>
      <c r="I400" s="14"/>
      <c r="J400" s="14"/>
      <c r="K400" s="14"/>
      <c r="L400" s="15"/>
      <c r="M400" s="14"/>
      <c r="N400" s="15"/>
      <c r="O400" s="14"/>
      <c r="P400" s="15"/>
      <c r="Q400" s="14"/>
      <c r="R400" s="15"/>
      <c r="S400" s="14"/>
      <c r="T400" s="15"/>
      <c r="U400" s="14"/>
      <c r="V400" s="15"/>
      <c r="W400" s="14"/>
      <c r="X400" s="15"/>
      <c r="Y400" s="14"/>
      <c r="Z400" s="15"/>
      <c r="AA400" s="14"/>
      <c r="AB400" s="15"/>
      <c r="AC400" s="14"/>
      <c r="AD400" s="15"/>
      <c r="AE400" s="14"/>
      <c r="AF400" s="15"/>
      <c r="AG400" s="15"/>
      <c r="AH400" s="15"/>
      <c r="AI400" s="14"/>
      <c r="AJ400" s="14"/>
      <c r="AK400" s="17"/>
    </row>
    <row r="401" customFormat="false" ht="42.75" hidden="false" customHeight="true" outlineLevel="0" collapsed="false">
      <c r="A401" s="11" t="n">
        <v>399</v>
      </c>
      <c r="B401" s="11" t="str">
        <f aca="false">IF(I401="Y",IF(COUNTIF(I$3:I401,"Y")&lt;=20,"pilot",IF(COUNTIF(I$3:I401,"Y")&lt;=40,"dev",IF(COUNTIF(I$3:I401,"Y")&lt;=120,"test","extra"))),"")</f>
        <v/>
      </c>
      <c r="C401" s="11" t="str">
        <f aca="false">IF(I401="Y",IF(COUNTA(K401,Q401,W401,AC401,AE401)=5,"done","in progress"),IF(I401="N","excluded",""))</f>
        <v/>
      </c>
      <c r="D401" s="11" t="s">
        <v>1566</v>
      </c>
      <c r="E401" s="12" t="s">
        <v>90</v>
      </c>
      <c r="F401" s="13" t="s">
        <v>1567</v>
      </c>
      <c r="G401" s="11" t="s">
        <v>168</v>
      </c>
      <c r="H401" s="11"/>
      <c r="I401" s="14"/>
      <c r="J401" s="14"/>
      <c r="K401" s="14"/>
      <c r="L401" s="15"/>
      <c r="M401" s="14"/>
      <c r="N401" s="15"/>
      <c r="O401" s="14"/>
      <c r="P401" s="15"/>
      <c r="Q401" s="14"/>
      <c r="R401" s="15"/>
      <c r="S401" s="14"/>
      <c r="T401" s="15"/>
      <c r="U401" s="14"/>
      <c r="V401" s="15"/>
      <c r="W401" s="14"/>
      <c r="X401" s="15"/>
      <c r="Y401" s="14"/>
      <c r="Z401" s="15"/>
      <c r="AA401" s="14"/>
      <c r="AB401" s="15"/>
      <c r="AC401" s="14"/>
      <c r="AD401" s="15"/>
      <c r="AE401" s="14"/>
      <c r="AF401" s="15"/>
      <c r="AG401" s="15"/>
      <c r="AH401" s="15"/>
      <c r="AI401" s="14"/>
      <c r="AJ401" s="14"/>
      <c r="AK401" s="17"/>
    </row>
    <row r="402" customFormat="false" ht="28.5" hidden="false" customHeight="true" outlineLevel="0" collapsed="false">
      <c r="A402" s="11" t="n">
        <v>400</v>
      </c>
      <c r="B402" s="11" t="str">
        <f aca="false">IF(I402="Y",IF(COUNTIF(I$3:I402,"Y")&lt;=20,"pilot",IF(COUNTIF(I$3:I402,"Y")&lt;=40,"dev",IF(COUNTIF(I$3:I402,"Y")&lt;=120,"test","extra"))),"")</f>
        <v/>
      </c>
      <c r="C402" s="11" t="str">
        <f aca="false">IF(I402="Y",IF(COUNTA(K402,Q402,W402,AC402,AE402)=5,"done","in progress"),IF(I402="N","excluded",""))</f>
        <v/>
      </c>
      <c r="D402" s="11" t="s">
        <v>1568</v>
      </c>
      <c r="E402" s="12" t="s">
        <v>90</v>
      </c>
      <c r="F402" s="13" t="s">
        <v>1569</v>
      </c>
      <c r="G402" s="11" t="s">
        <v>1430</v>
      </c>
      <c r="H402" s="11" t="s">
        <v>1431</v>
      </c>
      <c r="I402" s="14"/>
      <c r="J402" s="14"/>
      <c r="K402" s="14"/>
      <c r="L402" s="15"/>
      <c r="M402" s="14"/>
      <c r="N402" s="15"/>
      <c r="O402" s="14"/>
      <c r="P402" s="15"/>
      <c r="Q402" s="14"/>
      <c r="R402" s="15"/>
      <c r="S402" s="14"/>
      <c r="T402" s="15"/>
      <c r="U402" s="14"/>
      <c r="V402" s="15"/>
      <c r="W402" s="14"/>
      <c r="X402" s="15"/>
      <c r="Y402" s="14"/>
      <c r="Z402" s="15"/>
      <c r="AA402" s="14"/>
      <c r="AB402" s="15"/>
      <c r="AC402" s="14"/>
      <c r="AD402" s="15"/>
      <c r="AE402" s="14"/>
      <c r="AF402" s="15"/>
      <c r="AG402" s="15"/>
      <c r="AH402" s="15"/>
      <c r="AI402" s="14"/>
      <c r="AJ402" s="14"/>
      <c r="AK402" s="17"/>
    </row>
    <row r="403" customFormat="false" ht="71.25" hidden="false" customHeight="true" outlineLevel="0" collapsed="false">
      <c r="A403" s="11" t="n">
        <v>401</v>
      </c>
      <c r="B403" s="11" t="str">
        <f aca="false">IF(I403="Y",IF(COUNTIF(I$3:I403,"Y")&lt;=20,"pilot",IF(COUNTIF(I$3:I403,"Y")&lt;=40,"dev",IF(COUNTIF(I$3:I403,"Y")&lt;=120,"test","extra"))),"")</f>
        <v/>
      </c>
      <c r="C403" s="11" t="str">
        <f aca="false">IF(I403="Y",IF(COUNTA(K403,Q403,W403,AC403,AE403)=5,"done","in progress"),IF(I403="N","excluded",""))</f>
        <v/>
      </c>
      <c r="D403" s="11" t="s">
        <v>1570</v>
      </c>
      <c r="E403" s="12" t="s">
        <v>90</v>
      </c>
      <c r="F403" s="13" t="s">
        <v>1571</v>
      </c>
      <c r="G403" s="11" t="s">
        <v>92</v>
      </c>
      <c r="H403" s="11"/>
      <c r="I403" s="14"/>
      <c r="J403" s="14"/>
      <c r="K403" s="14"/>
      <c r="L403" s="15"/>
      <c r="M403" s="14"/>
      <c r="N403" s="15"/>
      <c r="O403" s="14"/>
      <c r="P403" s="15"/>
      <c r="Q403" s="14"/>
      <c r="R403" s="15"/>
      <c r="S403" s="14"/>
      <c r="T403" s="15"/>
      <c r="U403" s="14"/>
      <c r="V403" s="15"/>
      <c r="W403" s="14"/>
      <c r="X403" s="15"/>
      <c r="Y403" s="14"/>
      <c r="Z403" s="15"/>
      <c r="AA403" s="14"/>
      <c r="AB403" s="15"/>
      <c r="AC403" s="14"/>
      <c r="AD403" s="15"/>
      <c r="AE403" s="14"/>
      <c r="AF403" s="15"/>
      <c r="AG403" s="15"/>
      <c r="AH403" s="15"/>
      <c r="AI403" s="14"/>
      <c r="AJ403" s="14"/>
      <c r="AK403" s="17"/>
    </row>
    <row r="404" customFormat="false" ht="42.75" hidden="false" customHeight="true" outlineLevel="0" collapsed="false">
      <c r="A404" s="11" t="n">
        <v>402</v>
      </c>
      <c r="B404" s="11" t="str">
        <f aca="false">IF(I404="Y",IF(COUNTIF(I$3:I404,"Y")&lt;=20,"pilot",IF(COUNTIF(I$3:I404,"Y")&lt;=40,"dev",IF(COUNTIF(I$3:I404,"Y")&lt;=120,"test","extra"))),"")</f>
        <v/>
      </c>
      <c r="C404" s="11" t="str">
        <f aca="false">IF(I404="Y",IF(COUNTA(K404,Q404,W404,AC404,AE404)=5,"done","in progress"),IF(I404="N","excluded",""))</f>
        <v/>
      </c>
      <c r="D404" s="11" t="s">
        <v>1572</v>
      </c>
      <c r="E404" s="12" t="s">
        <v>90</v>
      </c>
      <c r="F404" s="13" t="s">
        <v>1573</v>
      </c>
      <c r="G404" s="11" t="s">
        <v>1574</v>
      </c>
      <c r="H404" s="11"/>
      <c r="I404" s="14"/>
      <c r="J404" s="14"/>
      <c r="K404" s="14"/>
      <c r="L404" s="15"/>
      <c r="M404" s="14"/>
      <c r="N404" s="15"/>
      <c r="O404" s="14"/>
      <c r="P404" s="15"/>
      <c r="Q404" s="14"/>
      <c r="R404" s="15"/>
      <c r="S404" s="14"/>
      <c r="T404" s="15"/>
      <c r="U404" s="14"/>
      <c r="V404" s="15"/>
      <c r="W404" s="14"/>
      <c r="X404" s="15"/>
      <c r="Y404" s="14"/>
      <c r="Z404" s="15"/>
      <c r="AA404" s="14"/>
      <c r="AB404" s="15"/>
      <c r="AC404" s="14"/>
      <c r="AD404" s="15"/>
      <c r="AE404" s="14"/>
      <c r="AF404" s="15"/>
      <c r="AG404" s="15"/>
      <c r="AH404" s="15"/>
      <c r="AI404" s="14"/>
      <c r="AJ404" s="14"/>
      <c r="AK404" s="17"/>
    </row>
    <row r="405" customFormat="false" ht="42.75" hidden="false" customHeight="true" outlineLevel="0" collapsed="false">
      <c r="A405" s="11" t="n">
        <v>403</v>
      </c>
      <c r="B405" s="11" t="str">
        <f aca="false">IF(I405="Y",IF(COUNTIF(I$3:I405,"Y")&lt;=20,"pilot",IF(COUNTIF(I$3:I405,"Y")&lt;=40,"dev",IF(COUNTIF(I$3:I405,"Y")&lt;=120,"test","extra"))),"")</f>
        <v/>
      </c>
      <c r="C405" s="11" t="str">
        <f aca="false">IF(I405="Y",IF(COUNTA(K405,Q405,W405,AC405,AE405)=5,"done","in progress"),IF(I405="N","excluded",""))</f>
        <v/>
      </c>
      <c r="D405" s="11" t="s">
        <v>1575</v>
      </c>
      <c r="E405" s="12" t="s">
        <v>90</v>
      </c>
      <c r="F405" s="13" t="s">
        <v>1576</v>
      </c>
      <c r="G405" s="11" t="s">
        <v>774</v>
      </c>
      <c r="H405" s="11"/>
      <c r="I405" s="14"/>
      <c r="J405" s="14"/>
      <c r="K405" s="14"/>
      <c r="L405" s="15"/>
      <c r="M405" s="14"/>
      <c r="N405" s="15"/>
      <c r="O405" s="14"/>
      <c r="P405" s="15"/>
      <c r="Q405" s="14"/>
      <c r="R405" s="15"/>
      <c r="S405" s="14"/>
      <c r="T405" s="15"/>
      <c r="U405" s="14"/>
      <c r="V405" s="15"/>
      <c r="W405" s="14"/>
      <c r="X405" s="15"/>
      <c r="Y405" s="14"/>
      <c r="Z405" s="15"/>
      <c r="AA405" s="14"/>
      <c r="AB405" s="15"/>
      <c r="AC405" s="14"/>
      <c r="AD405" s="15"/>
      <c r="AE405" s="14"/>
      <c r="AF405" s="15"/>
      <c r="AG405" s="15"/>
      <c r="AH405" s="15"/>
      <c r="AI405" s="14"/>
      <c r="AJ405" s="14"/>
      <c r="AK405" s="17"/>
    </row>
    <row r="406" customFormat="false" ht="57" hidden="false" customHeight="true" outlineLevel="0" collapsed="false">
      <c r="A406" s="11" t="n">
        <v>404</v>
      </c>
      <c r="B406" s="11" t="str">
        <f aca="false">IF(I406="Y",IF(COUNTIF(I$3:I406,"Y")&lt;=20,"pilot",IF(COUNTIF(I$3:I406,"Y")&lt;=40,"dev",IF(COUNTIF(I$3:I406,"Y")&lt;=120,"test","extra"))),"")</f>
        <v/>
      </c>
      <c r="C406" s="11" t="str">
        <f aca="false">IF(I406="Y",IF(COUNTA(K406,Q406,W406,AC406,AE406)=5,"done","in progress"),IF(I406="N","excluded",""))</f>
        <v/>
      </c>
      <c r="D406" s="11" t="s">
        <v>1577</v>
      </c>
      <c r="E406" s="12" t="s">
        <v>90</v>
      </c>
      <c r="F406" s="13" t="s">
        <v>1578</v>
      </c>
      <c r="G406" s="11" t="s">
        <v>245</v>
      </c>
      <c r="H406" s="11"/>
      <c r="I406" s="14"/>
      <c r="J406" s="14"/>
      <c r="K406" s="14"/>
      <c r="L406" s="15"/>
      <c r="M406" s="14"/>
      <c r="N406" s="15"/>
      <c r="O406" s="14"/>
      <c r="P406" s="15"/>
      <c r="Q406" s="14"/>
      <c r="R406" s="15"/>
      <c r="S406" s="14"/>
      <c r="T406" s="15"/>
      <c r="U406" s="14"/>
      <c r="V406" s="15"/>
      <c r="W406" s="14"/>
      <c r="X406" s="15"/>
      <c r="Y406" s="14"/>
      <c r="Z406" s="15"/>
      <c r="AA406" s="14"/>
      <c r="AB406" s="15"/>
      <c r="AC406" s="14"/>
      <c r="AD406" s="15"/>
      <c r="AE406" s="14"/>
      <c r="AF406" s="15"/>
      <c r="AG406" s="15"/>
      <c r="AH406" s="15"/>
      <c r="AI406" s="14"/>
      <c r="AJ406" s="14"/>
      <c r="AK406" s="17"/>
    </row>
    <row r="407" customFormat="false" ht="42.75" hidden="false" customHeight="true" outlineLevel="0" collapsed="false">
      <c r="A407" s="11" t="n">
        <v>405</v>
      </c>
      <c r="B407" s="11" t="str">
        <f aca="false">IF(I407="Y",IF(COUNTIF(I$3:I407,"Y")&lt;=20,"pilot",IF(COUNTIF(I$3:I407,"Y")&lt;=40,"dev",IF(COUNTIF(I$3:I407,"Y")&lt;=120,"test","extra"))),"")</f>
        <v/>
      </c>
      <c r="C407" s="11" t="str">
        <f aca="false">IF(I407="Y",IF(COUNTA(K407,Q407,W407,AC407,AE407)=5,"done","in progress"),IF(I407="N","excluded",""))</f>
        <v/>
      </c>
      <c r="D407" s="11" t="s">
        <v>1579</v>
      </c>
      <c r="E407" s="12" t="s">
        <v>90</v>
      </c>
      <c r="F407" s="13" t="s">
        <v>1580</v>
      </c>
      <c r="G407" s="11" t="s">
        <v>1212</v>
      </c>
      <c r="H407" s="11"/>
      <c r="I407" s="14"/>
      <c r="J407" s="14"/>
      <c r="K407" s="14"/>
      <c r="L407" s="15"/>
      <c r="M407" s="14"/>
      <c r="N407" s="15"/>
      <c r="O407" s="14"/>
      <c r="P407" s="15"/>
      <c r="Q407" s="14"/>
      <c r="R407" s="15"/>
      <c r="S407" s="14"/>
      <c r="T407" s="15"/>
      <c r="U407" s="14"/>
      <c r="V407" s="15"/>
      <c r="W407" s="14"/>
      <c r="X407" s="15"/>
      <c r="Y407" s="14"/>
      <c r="Z407" s="15"/>
      <c r="AA407" s="14"/>
      <c r="AB407" s="15"/>
      <c r="AC407" s="14"/>
      <c r="AD407" s="15"/>
      <c r="AE407" s="14"/>
      <c r="AF407" s="15"/>
      <c r="AG407" s="15"/>
      <c r="AH407" s="15"/>
      <c r="AI407" s="14"/>
      <c r="AJ407" s="14"/>
      <c r="AK407" s="17"/>
    </row>
    <row r="408" customFormat="false" ht="57" hidden="false" customHeight="true" outlineLevel="0" collapsed="false">
      <c r="A408" s="11" t="n">
        <v>406</v>
      </c>
      <c r="B408" s="11" t="str">
        <f aca="false">IF(I408="Y",IF(COUNTIF(I$3:I408,"Y")&lt;=20,"pilot",IF(COUNTIF(I$3:I408,"Y")&lt;=40,"dev",IF(COUNTIF(I$3:I408,"Y")&lt;=120,"test","extra"))),"")</f>
        <v/>
      </c>
      <c r="C408" s="11" t="str">
        <f aca="false">IF(I408="Y",IF(COUNTA(K408,Q408,W408,AC408,AE408)=5,"done","in progress"),IF(I408="N","excluded",""))</f>
        <v/>
      </c>
      <c r="D408" s="11" t="s">
        <v>1581</v>
      </c>
      <c r="E408" s="12" t="s">
        <v>90</v>
      </c>
      <c r="F408" s="13" t="s">
        <v>1582</v>
      </c>
      <c r="G408" s="11" t="s">
        <v>644</v>
      </c>
      <c r="H408" s="11" t="s">
        <v>366</v>
      </c>
      <c r="I408" s="14"/>
      <c r="J408" s="14"/>
      <c r="K408" s="14"/>
      <c r="L408" s="15"/>
      <c r="M408" s="14"/>
      <c r="N408" s="15"/>
      <c r="O408" s="14"/>
      <c r="P408" s="15"/>
      <c r="Q408" s="14"/>
      <c r="R408" s="15"/>
      <c r="S408" s="14"/>
      <c r="T408" s="15"/>
      <c r="U408" s="14"/>
      <c r="V408" s="15"/>
      <c r="W408" s="14"/>
      <c r="X408" s="15"/>
      <c r="Y408" s="14"/>
      <c r="Z408" s="15"/>
      <c r="AA408" s="14"/>
      <c r="AB408" s="15"/>
      <c r="AC408" s="14"/>
      <c r="AD408" s="15"/>
      <c r="AE408" s="14"/>
      <c r="AF408" s="15"/>
      <c r="AG408" s="15"/>
      <c r="AH408" s="15"/>
      <c r="AI408" s="14"/>
      <c r="AJ408" s="14"/>
      <c r="AK408" s="17"/>
    </row>
    <row r="409" customFormat="false" ht="42.75" hidden="false" customHeight="true" outlineLevel="0" collapsed="false">
      <c r="A409" s="11" t="n">
        <v>407</v>
      </c>
      <c r="B409" s="11" t="str">
        <f aca="false">IF(I409="Y",IF(COUNTIF(I$3:I409,"Y")&lt;=20,"pilot",IF(COUNTIF(I$3:I409,"Y")&lt;=40,"dev",IF(COUNTIF(I$3:I409,"Y")&lt;=120,"test","extra"))),"")</f>
        <v/>
      </c>
      <c r="C409" s="11" t="str">
        <f aca="false">IF(I409="Y",IF(COUNTA(K409,Q409,W409,AC409,AE409)=5,"done","in progress"),IF(I409="N","excluded",""))</f>
        <v/>
      </c>
      <c r="D409" s="11" t="s">
        <v>1583</v>
      </c>
      <c r="E409" s="12" t="s">
        <v>90</v>
      </c>
      <c r="F409" s="13" t="s">
        <v>1584</v>
      </c>
      <c r="G409" s="11" t="s">
        <v>1585</v>
      </c>
      <c r="H409" s="11"/>
      <c r="I409" s="14"/>
      <c r="J409" s="14"/>
      <c r="K409" s="14"/>
      <c r="L409" s="15"/>
      <c r="M409" s="14"/>
      <c r="N409" s="15"/>
      <c r="O409" s="14"/>
      <c r="P409" s="15"/>
      <c r="Q409" s="14"/>
      <c r="R409" s="15"/>
      <c r="S409" s="14"/>
      <c r="T409" s="15"/>
      <c r="U409" s="14"/>
      <c r="V409" s="15"/>
      <c r="W409" s="14"/>
      <c r="X409" s="15"/>
      <c r="Y409" s="14"/>
      <c r="Z409" s="15"/>
      <c r="AA409" s="14"/>
      <c r="AB409" s="15"/>
      <c r="AC409" s="14"/>
      <c r="AD409" s="15"/>
      <c r="AE409" s="14"/>
      <c r="AF409" s="15"/>
      <c r="AG409" s="15"/>
      <c r="AH409" s="15"/>
      <c r="AI409" s="14"/>
      <c r="AJ409" s="14"/>
      <c r="AK409" s="17"/>
    </row>
    <row r="410" customFormat="false" ht="28.5" hidden="false" customHeight="true" outlineLevel="0" collapsed="false">
      <c r="A410" s="11" t="n">
        <v>408</v>
      </c>
      <c r="B410" s="11" t="str">
        <f aca="false">IF(I410="Y",IF(COUNTIF(I$3:I410,"Y")&lt;=20,"pilot",IF(COUNTIF(I$3:I410,"Y")&lt;=40,"dev",IF(COUNTIF(I$3:I410,"Y")&lt;=120,"test","extra"))),"")</f>
        <v/>
      </c>
      <c r="C410" s="11" t="str">
        <f aca="false">IF(I410="Y",IF(COUNTA(K410,Q410,W410,AC410,AE410)=5,"done","in progress"),IF(I410="N","excluded",""))</f>
        <v/>
      </c>
      <c r="D410" s="11" t="s">
        <v>1586</v>
      </c>
      <c r="E410" s="12" t="s">
        <v>90</v>
      </c>
      <c r="F410" s="13" t="s">
        <v>1587</v>
      </c>
      <c r="G410" s="11" t="s">
        <v>92</v>
      </c>
      <c r="H410" s="11"/>
      <c r="I410" s="14"/>
      <c r="J410" s="14"/>
      <c r="K410" s="14"/>
      <c r="L410" s="15"/>
      <c r="M410" s="14"/>
      <c r="N410" s="15"/>
      <c r="O410" s="14"/>
      <c r="P410" s="15"/>
      <c r="Q410" s="14"/>
      <c r="R410" s="15"/>
      <c r="S410" s="14"/>
      <c r="T410" s="15"/>
      <c r="U410" s="14"/>
      <c r="V410" s="15"/>
      <c r="W410" s="14"/>
      <c r="X410" s="15"/>
      <c r="Y410" s="14"/>
      <c r="Z410" s="15"/>
      <c r="AA410" s="14"/>
      <c r="AB410" s="15"/>
      <c r="AC410" s="14"/>
      <c r="AD410" s="15"/>
      <c r="AE410" s="14"/>
      <c r="AF410" s="15"/>
      <c r="AG410" s="15"/>
      <c r="AH410" s="15"/>
      <c r="AI410" s="14"/>
      <c r="AJ410" s="14"/>
      <c r="AK410" s="17"/>
    </row>
    <row r="411" customFormat="false" ht="42.75" hidden="false" customHeight="true" outlineLevel="0" collapsed="false">
      <c r="A411" s="11" t="n">
        <v>409</v>
      </c>
      <c r="B411" s="11" t="str">
        <f aca="false">IF(I411="Y",IF(COUNTIF(I$3:I411,"Y")&lt;=20,"pilot",IF(COUNTIF(I$3:I411,"Y")&lt;=40,"dev",IF(COUNTIF(I$3:I411,"Y")&lt;=120,"test","extra"))),"")</f>
        <v/>
      </c>
      <c r="C411" s="11" t="str">
        <f aca="false">IF(I411="Y",IF(COUNTA(K411,Q411,W411,AC411,AE411)=5,"done","in progress"),IF(I411="N","excluded",""))</f>
        <v/>
      </c>
      <c r="D411" s="11" t="s">
        <v>1588</v>
      </c>
      <c r="E411" s="12" t="s">
        <v>90</v>
      </c>
      <c r="F411" s="13" t="s">
        <v>1589</v>
      </c>
      <c r="G411" s="11" t="s">
        <v>145</v>
      </c>
      <c r="H411" s="11"/>
      <c r="I411" s="14"/>
      <c r="J411" s="14"/>
      <c r="K411" s="14"/>
      <c r="L411" s="15"/>
      <c r="M411" s="14"/>
      <c r="N411" s="15"/>
      <c r="O411" s="14"/>
      <c r="P411" s="15"/>
      <c r="Q411" s="14"/>
      <c r="R411" s="15"/>
      <c r="S411" s="14"/>
      <c r="T411" s="15"/>
      <c r="U411" s="14"/>
      <c r="V411" s="15"/>
      <c r="W411" s="14"/>
      <c r="X411" s="15"/>
      <c r="Y411" s="14"/>
      <c r="Z411" s="15"/>
      <c r="AA411" s="14"/>
      <c r="AB411" s="15"/>
      <c r="AC411" s="14"/>
      <c r="AD411" s="15"/>
      <c r="AE411" s="14"/>
      <c r="AF411" s="15"/>
      <c r="AG411" s="15"/>
      <c r="AH411" s="15"/>
      <c r="AI411" s="14"/>
      <c r="AJ411" s="14"/>
      <c r="AK411" s="17"/>
    </row>
    <row r="412" customFormat="false" ht="28.5" hidden="false" customHeight="true" outlineLevel="0" collapsed="false">
      <c r="A412" s="11" t="n">
        <v>410</v>
      </c>
      <c r="B412" s="11" t="str">
        <f aca="false">IF(I412="Y",IF(COUNTIF(I$3:I412,"Y")&lt;=20,"pilot",IF(COUNTIF(I$3:I412,"Y")&lt;=40,"dev",IF(COUNTIF(I$3:I412,"Y")&lt;=120,"test","extra"))),"")</f>
        <v/>
      </c>
      <c r="C412" s="11" t="str">
        <f aca="false">IF(I412="Y",IF(COUNTA(K412,Q412,W412,AC412,AE412)=5,"done","in progress"),IF(I412="N","excluded",""))</f>
        <v/>
      </c>
      <c r="D412" s="11" t="s">
        <v>1590</v>
      </c>
      <c r="E412" s="12" t="s">
        <v>90</v>
      </c>
      <c r="F412" s="13" t="s">
        <v>1591</v>
      </c>
      <c r="G412" s="11" t="s">
        <v>168</v>
      </c>
      <c r="H412" s="11"/>
      <c r="I412" s="14"/>
      <c r="J412" s="14"/>
      <c r="K412" s="14"/>
      <c r="L412" s="15"/>
      <c r="M412" s="14"/>
      <c r="N412" s="15"/>
      <c r="O412" s="14"/>
      <c r="P412" s="15"/>
      <c r="Q412" s="14"/>
      <c r="R412" s="15"/>
      <c r="S412" s="14"/>
      <c r="T412" s="15"/>
      <c r="U412" s="14"/>
      <c r="V412" s="15"/>
      <c r="W412" s="14"/>
      <c r="X412" s="15"/>
      <c r="Y412" s="14"/>
      <c r="Z412" s="15"/>
      <c r="AA412" s="14"/>
      <c r="AB412" s="15"/>
      <c r="AC412" s="14"/>
      <c r="AD412" s="15"/>
      <c r="AE412" s="14"/>
      <c r="AF412" s="15"/>
      <c r="AG412" s="15"/>
      <c r="AH412" s="15"/>
      <c r="AI412" s="14"/>
      <c r="AJ412" s="14"/>
      <c r="AK412" s="17"/>
    </row>
    <row r="413" customFormat="false" ht="42.75" hidden="false" customHeight="true" outlineLevel="0" collapsed="false">
      <c r="A413" s="11" t="n">
        <v>411</v>
      </c>
      <c r="B413" s="11" t="str">
        <f aca="false">IF(I413="Y",IF(COUNTIF(I$3:I413,"Y")&lt;=20,"pilot",IF(COUNTIF(I$3:I413,"Y")&lt;=40,"dev",IF(COUNTIF(I$3:I413,"Y")&lt;=120,"test","extra"))),"")</f>
        <v/>
      </c>
      <c r="C413" s="11" t="str">
        <f aca="false">IF(I413="Y",IF(COUNTA(K413,Q413,W413,AC413,AE413)=5,"done","in progress"),IF(I413="N","excluded",""))</f>
        <v/>
      </c>
      <c r="D413" s="11" t="s">
        <v>1592</v>
      </c>
      <c r="E413" s="12" t="s">
        <v>90</v>
      </c>
      <c r="F413" s="13" t="s">
        <v>1593</v>
      </c>
      <c r="G413" s="11" t="s">
        <v>168</v>
      </c>
      <c r="H413" s="11"/>
      <c r="I413" s="14"/>
      <c r="J413" s="14"/>
      <c r="K413" s="14"/>
      <c r="L413" s="15"/>
      <c r="M413" s="14"/>
      <c r="N413" s="15"/>
      <c r="O413" s="14"/>
      <c r="P413" s="15"/>
      <c r="Q413" s="14"/>
      <c r="R413" s="15"/>
      <c r="S413" s="14"/>
      <c r="T413" s="15"/>
      <c r="U413" s="14"/>
      <c r="V413" s="15"/>
      <c r="W413" s="14"/>
      <c r="X413" s="15"/>
      <c r="Y413" s="14"/>
      <c r="Z413" s="15"/>
      <c r="AA413" s="14"/>
      <c r="AB413" s="15"/>
      <c r="AC413" s="14"/>
      <c r="AD413" s="15"/>
      <c r="AE413" s="14"/>
      <c r="AF413" s="15"/>
      <c r="AG413" s="15"/>
      <c r="AH413" s="15"/>
      <c r="AI413" s="14"/>
      <c r="AJ413" s="14"/>
      <c r="AK413" s="17"/>
    </row>
    <row r="414" customFormat="false" ht="42.75" hidden="false" customHeight="true" outlineLevel="0" collapsed="false">
      <c r="A414" s="11" t="n">
        <v>412</v>
      </c>
      <c r="B414" s="11" t="str">
        <f aca="false">IF(I414="Y",IF(COUNTIF(I$3:I414,"Y")&lt;=20,"pilot",IF(COUNTIF(I$3:I414,"Y")&lt;=40,"dev",IF(COUNTIF(I$3:I414,"Y")&lt;=120,"test","extra"))),"")</f>
        <v/>
      </c>
      <c r="C414" s="11" t="str">
        <f aca="false">IF(I414="Y",IF(COUNTA(K414,Q414,W414,AC414,AE414)=5,"done","in progress"),IF(I414="N","excluded",""))</f>
        <v/>
      </c>
      <c r="D414" s="11" t="s">
        <v>1594</v>
      </c>
      <c r="E414" s="12" t="s">
        <v>90</v>
      </c>
      <c r="F414" s="13" t="s">
        <v>1595</v>
      </c>
      <c r="G414" s="11" t="s">
        <v>92</v>
      </c>
      <c r="H414" s="11"/>
      <c r="I414" s="14"/>
      <c r="J414" s="14"/>
      <c r="K414" s="14"/>
      <c r="L414" s="15"/>
      <c r="M414" s="14"/>
      <c r="N414" s="15"/>
      <c r="O414" s="14"/>
      <c r="P414" s="15"/>
      <c r="Q414" s="14"/>
      <c r="R414" s="15"/>
      <c r="S414" s="14"/>
      <c r="T414" s="15"/>
      <c r="U414" s="14"/>
      <c r="V414" s="15"/>
      <c r="W414" s="14"/>
      <c r="X414" s="15"/>
      <c r="Y414" s="14"/>
      <c r="Z414" s="15"/>
      <c r="AA414" s="14"/>
      <c r="AB414" s="15"/>
      <c r="AC414" s="14"/>
      <c r="AD414" s="15"/>
      <c r="AE414" s="14"/>
      <c r="AF414" s="15"/>
      <c r="AG414" s="15"/>
      <c r="AH414" s="15"/>
      <c r="AI414" s="14"/>
      <c r="AJ414" s="14"/>
      <c r="AK414" s="17"/>
    </row>
    <row r="415" customFormat="false" ht="28.5" hidden="false" customHeight="true" outlineLevel="0" collapsed="false">
      <c r="A415" s="11" t="n">
        <v>413</v>
      </c>
      <c r="B415" s="11" t="str">
        <f aca="false">IF(I415="Y",IF(COUNTIF(I$3:I415,"Y")&lt;=20,"pilot",IF(COUNTIF(I$3:I415,"Y")&lt;=40,"dev",IF(COUNTIF(I$3:I415,"Y")&lt;=120,"test","extra"))),"")</f>
        <v/>
      </c>
      <c r="C415" s="11" t="str">
        <f aca="false">IF(I415="Y",IF(COUNTA(K415,Q415,W415,AC415,AE415)=5,"done","in progress"),IF(I415="N","excluded",""))</f>
        <v/>
      </c>
      <c r="D415" s="11" t="s">
        <v>1596</v>
      </c>
      <c r="E415" s="12" t="s">
        <v>90</v>
      </c>
      <c r="F415" s="13" t="s">
        <v>1597</v>
      </c>
      <c r="G415" s="11" t="s">
        <v>92</v>
      </c>
      <c r="H415" s="11"/>
      <c r="I415" s="14"/>
      <c r="J415" s="14"/>
      <c r="K415" s="14"/>
      <c r="L415" s="15"/>
      <c r="M415" s="14"/>
      <c r="N415" s="15"/>
      <c r="O415" s="14"/>
      <c r="P415" s="15"/>
      <c r="Q415" s="14"/>
      <c r="R415" s="15"/>
      <c r="S415" s="14"/>
      <c r="T415" s="15"/>
      <c r="U415" s="14"/>
      <c r="V415" s="15"/>
      <c r="W415" s="14"/>
      <c r="X415" s="15"/>
      <c r="Y415" s="14"/>
      <c r="Z415" s="15"/>
      <c r="AA415" s="14"/>
      <c r="AB415" s="15"/>
      <c r="AC415" s="14"/>
      <c r="AD415" s="15"/>
      <c r="AE415" s="14"/>
      <c r="AF415" s="15"/>
      <c r="AG415" s="15"/>
      <c r="AH415" s="15"/>
      <c r="AI415" s="14"/>
      <c r="AJ415" s="14"/>
      <c r="AK415" s="17"/>
    </row>
    <row r="416" customFormat="false" ht="28.5" hidden="false" customHeight="true" outlineLevel="0" collapsed="false">
      <c r="A416" s="11" t="n">
        <v>414</v>
      </c>
      <c r="B416" s="11" t="str">
        <f aca="false">IF(I416="Y",IF(COUNTIF(I$3:I416,"Y")&lt;=20,"pilot",IF(COUNTIF(I$3:I416,"Y")&lt;=40,"dev",IF(COUNTIF(I$3:I416,"Y")&lt;=120,"test","extra"))),"")</f>
        <v/>
      </c>
      <c r="C416" s="11" t="str">
        <f aca="false">IF(I416="Y",IF(COUNTA(K416,Q416,W416,AC416,AE416)=5,"done","in progress"),IF(I416="N","excluded",""))</f>
        <v/>
      </c>
      <c r="D416" s="11" t="s">
        <v>1598</v>
      </c>
      <c r="E416" s="12" t="s">
        <v>90</v>
      </c>
      <c r="F416" s="13" t="s">
        <v>1599</v>
      </c>
      <c r="G416" s="11" t="s">
        <v>788</v>
      </c>
      <c r="H416" s="11"/>
      <c r="I416" s="14"/>
      <c r="J416" s="14"/>
      <c r="K416" s="14"/>
      <c r="L416" s="15"/>
      <c r="M416" s="14"/>
      <c r="N416" s="15"/>
      <c r="O416" s="14"/>
      <c r="P416" s="15"/>
      <c r="Q416" s="14"/>
      <c r="R416" s="15"/>
      <c r="S416" s="14"/>
      <c r="T416" s="15"/>
      <c r="U416" s="14"/>
      <c r="V416" s="15"/>
      <c r="W416" s="14"/>
      <c r="X416" s="15"/>
      <c r="Y416" s="14"/>
      <c r="Z416" s="15"/>
      <c r="AA416" s="14"/>
      <c r="AB416" s="15"/>
      <c r="AC416" s="14"/>
      <c r="AD416" s="15"/>
      <c r="AE416" s="14"/>
      <c r="AF416" s="15"/>
      <c r="AG416" s="15"/>
      <c r="AH416" s="15"/>
      <c r="AI416" s="14"/>
      <c r="AJ416" s="14"/>
      <c r="AK416" s="17"/>
    </row>
    <row r="417" customFormat="false" ht="42.75" hidden="false" customHeight="true" outlineLevel="0" collapsed="false">
      <c r="A417" s="11" t="n">
        <v>415</v>
      </c>
      <c r="B417" s="11" t="str">
        <f aca="false">IF(I417="Y",IF(COUNTIF(I$3:I417,"Y")&lt;=20,"pilot",IF(COUNTIF(I$3:I417,"Y")&lt;=40,"dev",IF(COUNTIF(I$3:I417,"Y")&lt;=120,"test","extra"))),"")</f>
        <v/>
      </c>
      <c r="C417" s="11" t="str">
        <f aca="false">IF(I417="Y",IF(COUNTA(K417,Q417,W417,AC417,AE417)=5,"done","in progress"),IF(I417="N","excluded",""))</f>
        <v/>
      </c>
      <c r="D417" s="11" t="s">
        <v>1600</v>
      </c>
      <c r="E417" s="12" t="s">
        <v>90</v>
      </c>
      <c r="F417" s="13" t="s">
        <v>1601</v>
      </c>
      <c r="G417" s="11" t="s">
        <v>168</v>
      </c>
      <c r="H417" s="11"/>
      <c r="I417" s="14"/>
      <c r="J417" s="14"/>
      <c r="K417" s="14"/>
      <c r="L417" s="15"/>
      <c r="M417" s="14"/>
      <c r="N417" s="15"/>
      <c r="O417" s="14"/>
      <c r="P417" s="15"/>
      <c r="Q417" s="14"/>
      <c r="R417" s="15"/>
      <c r="S417" s="14"/>
      <c r="T417" s="15"/>
      <c r="U417" s="14"/>
      <c r="V417" s="15"/>
      <c r="W417" s="14"/>
      <c r="X417" s="15"/>
      <c r="Y417" s="14"/>
      <c r="Z417" s="15"/>
      <c r="AA417" s="14"/>
      <c r="AB417" s="15"/>
      <c r="AC417" s="14"/>
      <c r="AD417" s="15"/>
      <c r="AE417" s="14"/>
      <c r="AF417" s="15"/>
      <c r="AG417" s="15"/>
      <c r="AH417" s="15"/>
      <c r="AI417" s="14"/>
      <c r="AJ417" s="14"/>
      <c r="AK417" s="17"/>
    </row>
    <row r="418" customFormat="false" ht="42.75" hidden="false" customHeight="true" outlineLevel="0" collapsed="false">
      <c r="A418" s="11" t="n">
        <v>416</v>
      </c>
      <c r="B418" s="11" t="str">
        <f aca="false">IF(I418="Y",IF(COUNTIF(I$3:I418,"Y")&lt;=20,"pilot",IF(COUNTIF(I$3:I418,"Y")&lt;=40,"dev",IF(COUNTIF(I$3:I418,"Y")&lt;=120,"test","extra"))),"")</f>
        <v/>
      </c>
      <c r="C418" s="11" t="str">
        <f aca="false">IF(I418="Y",IF(COUNTA(K418,Q418,W418,AC418,AE418)=5,"done","in progress"),IF(I418="N","excluded",""))</f>
        <v/>
      </c>
      <c r="D418" s="11" t="s">
        <v>1602</v>
      </c>
      <c r="E418" s="12" t="s">
        <v>90</v>
      </c>
      <c r="F418" s="13" t="s">
        <v>1603</v>
      </c>
      <c r="G418" s="11" t="s">
        <v>118</v>
      </c>
      <c r="H418" s="11"/>
      <c r="I418" s="14"/>
      <c r="J418" s="14"/>
      <c r="K418" s="14"/>
      <c r="L418" s="15"/>
      <c r="M418" s="14"/>
      <c r="N418" s="15"/>
      <c r="O418" s="14"/>
      <c r="P418" s="15"/>
      <c r="Q418" s="14"/>
      <c r="R418" s="15"/>
      <c r="S418" s="14"/>
      <c r="T418" s="15"/>
      <c r="U418" s="14"/>
      <c r="V418" s="15"/>
      <c r="W418" s="14"/>
      <c r="X418" s="15"/>
      <c r="Y418" s="14"/>
      <c r="Z418" s="15"/>
      <c r="AA418" s="14"/>
      <c r="AB418" s="15"/>
      <c r="AC418" s="14"/>
      <c r="AD418" s="15"/>
      <c r="AE418" s="14"/>
      <c r="AF418" s="15"/>
      <c r="AG418" s="15"/>
      <c r="AH418" s="15"/>
      <c r="AI418" s="14"/>
      <c r="AJ418" s="14"/>
      <c r="AK418" s="17"/>
    </row>
    <row r="419" customFormat="false" ht="57" hidden="false" customHeight="true" outlineLevel="0" collapsed="false">
      <c r="A419" s="11" t="n">
        <v>417</v>
      </c>
      <c r="B419" s="11" t="str">
        <f aca="false">IF(I419="Y",IF(COUNTIF(I$3:I419,"Y")&lt;=20,"pilot",IF(COUNTIF(I$3:I419,"Y")&lt;=40,"dev",IF(COUNTIF(I$3:I419,"Y")&lt;=120,"test","extra"))),"")</f>
        <v/>
      </c>
      <c r="C419" s="11" t="str">
        <f aca="false">IF(I419="Y",IF(COUNTA(K419,Q419,W419,AC419,AE419)=5,"done","in progress"),IF(I419="N","excluded",""))</f>
        <v/>
      </c>
      <c r="D419" s="11" t="s">
        <v>1604</v>
      </c>
      <c r="E419" s="12" t="s">
        <v>90</v>
      </c>
      <c r="F419" s="13" t="s">
        <v>1605</v>
      </c>
      <c r="G419" s="11" t="s">
        <v>1606</v>
      </c>
      <c r="H419" s="11"/>
      <c r="I419" s="14"/>
      <c r="J419" s="14"/>
      <c r="K419" s="14"/>
      <c r="L419" s="15"/>
      <c r="M419" s="14"/>
      <c r="N419" s="15"/>
      <c r="O419" s="14"/>
      <c r="P419" s="15"/>
      <c r="Q419" s="14"/>
      <c r="R419" s="15"/>
      <c r="S419" s="14"/>
      <c r="T419" s="15"/>
      <c r="U419" s="14"/>
      <c r="V419" s="15"/>
      <c r="W419" s="14"/>
      <c r="X419" s="15"/>
      <c r="Y419" s="14"/>
      <c r="Z419" s="15"/>
      <c r="AA419" s="14"/>
      <c r="AB419" s="15"/>
      <c r="AC419" s="14"/>
      <c r="AD419" s="15"/>
      <c r="AE419" s="14"/>
      <c r="AF419" s="15"/>
      <c r="AG419" s="15"/>
      <c r="AH419" s="15"/>
      <c r="AI419" s="14"/>
      <c r="AJ419" s="14"/>
      <c r="AK419" s="17"/>
    </row>
    <row r="420" customFormat="false" ht="28.5" hidden="false" customHeight="true" outlineLevel="0" collapsed="false">
      <c r="A420" s="11" t="n">
        <v>418</v>
      </c>
      <c r="B420" s="11" t="str">
        <f aca="false">IF(I420="Y",IF(COUNTIF(I$3:I420,"Y")&lt;=20,"pilot",IF(COUNTIF(I$3:I420,"Y")&lt;=40,"dev",IF(COUNTIF(I$3:I420,"Y")&lt;=120,"test","extra"))),"")</f>
        <v/>
      </c>
      <c r="C420" s="11" t="str">
        <f aca="false">IF(I420="Y",IF(COUNTA(K420,Q420,W420,AC420,AE420)=5,"done","in progress"),IF(I420="N","excluded",""))</f>
        <v/>
      </c>
      <c r="D420" s="11" t="s">
        <v>1607</v>
      </c>
      <c r="E420" s="12" t="s">
        <v>90</v>
      </c>
      <c r="F420" s="13" t="s">
        <v>1608</v>
      </c>
      <c r="G420" s="11" t="s">
        <v>145</v>
      </c>
      <c r="H420" s="11"/>
      <c r="I420" s="14"/>
      <c r="J420" s="14"/>
      <c r="K420" s="14"/>
      <c r="L420" s="15"/>
      <c r="M420" s="14"/>
      <c r="N420" s="15"/>
      <c r="O420" s="14"/>
      <c r="P420" s="15"/>
      <c r="Q420" s="14"/>
      <c r="R420" s="15"/>
      <c r="S420" s="14"/>
      <c r="T420" s="15"/>
      <c r="U420" s="14"/>
      <c r="V420" s="15"/>
      <c r="W420" s="14"/>
      <c r="X420" s="15"/>
      <c r="Y420" s="14"/>
      <c r="Z420" s="15"/>
      <c r="AA420" s="14"/>
      <c r="AB420" s="15"/>
      <c r="AC420" s="14"/>
      <c r="AD420" s="15"/>
      <c r="AE420" s="14"/>
      <c r="AF420" s="15"/>
      <c r="AG420" s="15"/>
      <c r="AH420" s="15"/>
      <c r="AI420" s="14"/>
      <c r="AJ420" s="14"/>
      <c r="AK420" s="17"/>
    </row>
    <row r="421" customFormat="false" ht="28.5" hidden="false" customHeight="true" outlineLevel="0" collapsed="false">
      <c r="A421" s="11" t="n">
        <v>419</v>
      </c>
      <c r="B421" s="11" t="str">
        <f aca="false">IF(I421="Y",IF(COUNTIF(I$3:I421,"Y")&lt;=20,"pilot",IF(COUNTIF(I$3:I421,"Y")&lt;=40,"dev",IF(COUNTIF(I$3:I421,"Y")&lt;=120,"test","extra"))),"")</f>
        <v/>
      </c>
      <c r="C421" s="11" t="str">
        <f aca="false">IF(I421="Y",IF(COUNTA(K421,Q421,W421,AC421,AE421)=5,"done","in progress"),IF(I421="N","excluded",""))</f>
        <v/>
      </c>
      <c r="D421" s="11" t="s">
        <v>1609</v>
      </c>
      <c r="E421" s="12" t="s">
        <v>90</v>
      </c>
      <c r="F421" s="13" t="s">
        <v>1610</v>
      </c>
      <c r="G421" s="11" t="s">
        <v>92</v>
      </c>
      <c r="H421" s="11"/>
      <c r="I421" s="14"/>
      <c r="J421" s="14"/>
      <c r="K421" s="14"/>
      <c r="L421" s="15"/>
      <c r="M421" s="14"/>
      <c r="N421" s="15"/>
      <c r="O421" s="14"/>
      <c r="P421" s="15"/>
      <c r="Q421" s="14"/>
      <c r="R421" s="15"/>
      <c r="S421" s="14"/>
      <c r="T421" s="15"/>
      <c r="U421" s="14"/>
      <c r="V421" s="15"/>
      <c r="W421" s="14"/>
      <c r="X421" s="15"/>
      <c r="Y421" s="14"/>
      <c r="Z421" s="15"/>
      <c r="AA421" s="14"/>
      <c r="AB421" s="15"/>
      <c r="AC421" s="14"/>
      <c r="AD421" s="15"/>
      <c r="AE421" s="14"/>
      <c r="AF421" s="15"/>
      <c r="AG421" s="15"/>
      <c r="AH421" s="15"/>
      <c r="AI421" s="14"/>
      <c r="AJ421" s="14"/>
      <c r="AK421" s="17"/>
    </row>
    <row r="422" customFormat="false" ht="42.75" hidden="false" customHeight="true" outlineLevel="0" collapsed="false">
      <c r="A422" s="11" t="n">
        <v>420</v>
      </c>
      <c r="B422" s="11" t="str">
        <f aca="false">IF(I422="Y",IF(COUNTIF(I$3:I422,"Y")&lt;=20,"pilot",IF(COUNTIF(I$3:I422,"Y")&lt;=40,"dev",IF(COUNTIF(I$3:I422,"Y")&lt;=120,"test","extra"))),"")</f>
        <v/>
      </c>
      <c r="C422" s="11" t="str">
        <f aca="false">IF(I422="Y",IF(COUNTA(K422,Q422,W422,AC422,AE422)=5,"done","in progress"),IF(I422="N","excluded",""))</f>
        <v/>
      </c>
      <c r="D422" s="11" t="s">
        <v>1611</v>
      </c>
      <c r="E422" s="12" t="s">
        <v>90</v>
      </c>
      <c r="F422" s="13" t="s">
        <v>1612</v>
      </c>
      <c r="G422" s="11" t="s">
        <v>1613</v>
      </c>
      <c r="H422" s="11"/>
      <c r="I422" s="14"/>
      <c r="J422" s="14"/>
      <c r="K422" s="14"/>
      <c r="L422" s="15"/>
      <c r="M422" s="14"/>
      <c r="N422" s="15"/>
      <c r="O422" s="14"/>
      <c r="P422" s="15"/>
      <c r="Q422" s="14"/>
      <c r="R422" s="15"/>
      <c r="S422" s="14"/>
      <c r="T422" s="15"/>
      <c r="U422" s="14"/>
      <c r="V422" s="15"/>
      <c r="W422" s="14"/>
      <c r="X422" s="15"/>
      <c r="Y422" s="14"/>
      <c r="Z422" s="15"/>
      <c r="AA422" s="14"/>
      <c r="AB422" s="15"/>
      <c r="AC422" s="14"/>
      <c r="AD422" s="15"/>
      <c r="AE422" s="14"/>
      <c r="AF422" s="15"/>
      <c r="AG422" s="15"/>
      <c r="AH422" s="15"/>
      <c r="AI422" s="14"/>
      <c r="AJ422" s="14"/>
      <c r="AK422" s="17"/>
    </row>
    <row r="423" customFormat="false" ht="57" hidden="false" customHeight="true" outlineLevel="0" collapsed="false">
      <c r="A423" s="11" t="n">
        <v>421</v>
      </c>
      <c r="B423" s="11" t="str">
        <f aca="false">IF(I423="Y",IF(COUNTIF(I$3:I423,"Y")&lt;=20,"pilot",IF(COUNTIF(I$3:I423,"Y")&lt;=40,"dev",IF(COUNTIF(I$3:I423,"Y")&lt;=120,"test","extra"))),"")</f>
        <v/>
      </c>
      <c r="C423" s="11" t="str">
        <f aca="false">IF(I423="Y",IF(COUNTA(K423,Q423,W423,AC423,AE423)=5,"done","in progress"),IF(I423="N","excluded",""))</f>
        <v/>
      </c>
      <c r="D423" s="11" t="s">
        <v>1614</v>
      </c>
      <c r="E423" s="12" t="s">
        <v>90</v>
      </c>
      <c r="F423" s="13" t="s">
        <v>1615</v>
      </c>
      <c r="G423" s="11" t="s">
        <v>1616</v>
      </c>
      <c r="H423" s="11"/>
      <c r="I423" s="14"/>
      <c r="J423" s="14"/>
      <c r="K423" s="14"/>
      <c r="L423" s="15"/>
      <c r="M423" s="14"/>
      <c r="N423" s="15"/>
      <c r="O423" s="14"/>
      <c r="P423" s="15"/>
      <c r="Q423" s="14"/>
      <c r="R423" s="15"/>
      <c r="S423" s="14"/>
      <c r="T423" s="15"/>
      <c r="U423" s="14"/>
      <c r="V423" s="15"/>
      <c r="W423" s="14"/>
      <c r="X423" s="15"/>
      <c r="Y423" s="14"/>
      <c r="Z423" s="15"/>
      <c r="AA423" s="14"/>
      <c r="AB423" s="15"/>
      <c r="AC423" s="14"/>
      <c r="AD423" s="15"/>
      <c r="AE423" s="14"/>
      <c r="AF423" s="15"/>
      <c r="AG423" s="15"/>
      <c r="AH423" s="15"/>
      <c r="AI423" s="14"/>
      <c r="AJ423" s="14"/>
      <c r="AK423" s="17"/>
    </row>
    <row r="424" customFormat="false" ht="28.5" hidden="false" customHeight="true" outlineLevel="0" collapsed="false">
      <c r="A424" s="11" t="n">
        <v>422</v>
      </c>
      <c r="B424" s="11" t="str">
        <f aca="false">IF(I424="Y",IF(COUNTIF(I$3:I424,"Y")&lt;=20,"pilot",IF(COUNTIF(I$3:I424,"Y")&lt;=40,"dev",IF(COUNTIF(I$3:I424,"Y")&lt;=120,"test","extra"))),"")</f>
        <v/>
      </c>
      <c r="C424" s="11" t="str">
        <f aca="false">IF(I424="Y",IF(COUNTA(K424,Q424,W424,AC424,AE424)=5,"done","in progress"),IF(I424="N","excluded",""))</f>
        <v/>
      </c>
      <c r="D424" s="11" t="s">
        <v>1617</v>
      </c>
      <c r="E424" s="12" t="s">
        <v>90</v>
      </c>
      <c r="F424" s="13" t="s">
        <v>1618</v>
      </c>
      <c r="G424" s="11" t="s">
        <v>1526</v>
      </c>
      <c r="H424" s="11"/>
      <c r="I424" s="14"/>
      <c r="J424" s="14"/>
      <c r="K424" s="14"/>
      <c r="L424" s="15"/>
      <c r="M424" s="14"/>
      <c r="N424" s="15"/>
      <c r="O424" s="14"/>
      <c r="P424" s="15"/>
      <c r="Q424" s="14"/>
      <c r="R424" s="15"/>
      <c r="S424" s="14"/>
      <c r="T424" s="15"/>
      <c r="U424" s="14"/>
      <c r="V424" s="15"/>
      <c r="W424" s="14"/>
      <c r="X424" s="15"/>
      <c r="Y424" s="14"/>
      <c r="Z424" s="15"/>
      <c r="AA424" s="14"/>
      <c r="AB424" s="15"/>
      <c r="AC424" s="14"/>
      <c r="AD424" s="15"/>
      <c r="AE424" s="14"/>
      <c r="AF424" s="15"/>
      <c r="AG424" s="15"/>
      <c r="AH424" s="15"/>
      <c r="AI424" s="14"/>
      <c r="AJ424" s="14"/>
      <c r="AK424" s="17"/>
    </row>
    <row r="425" customFormat="false" ht="42.75" hidden="false" customHeight="true" outlineLevel="0" collapsed="false">
      <c r="A425" s="11" t="n">
        <v>423</v>
      </c>
      <c r="B425" s="11" t="str">
        <f aca="false">IF(I425="Y",IF(COUNTIF(I$3:I425,"Y")&lt;=20,"pilot",IF(COUNTIF(I$3:I425,"Y")&lt;=40,"dev",IF(COUNTIF(I$3:I425,"Y")&lt;=120,"test","extra"))),"")</f>
        <v/>
      </c>
      <c r="C425" s="11" t="str">
        <f aca="false">IF(I425="Y",IF(COUNTA(K425,Q425,W425,AC425,AE425)=5,"done","in progress"),IF(I425="N","excluded",""))</f>
        <v/>
      </c>
      <c r="D425" s="11" t="s">
        <v>1619</v>
      </c>
      <c r="E425" s="12" t="s">
        <v>90</v>
      </c>
      <c r="F425" s="13" t="s">
        <v>1620</v>
      </c>
      <c r="G425" s="11" t="s">
        <v>306</v>
      </c>
      <c r="H425" s="11"/>
      <c r="I425" s="14"/>
      <c r="J425" s="14"/>
      <c r="K425" s="14"/>
      <c r="L425" s="15"/>
      <c r="M425" s="14"/>
      <c r="N425" s="15"/>
      <c r="O425" s="14"/>
      <c r="P425" s="15"/>
      <c r="Q425" s="14"/>
      <c r="R425" s="15"/>
      <c r="S425" s="14"/>
      <c r="T425" s="15"/>
      <c r="U425" s="14"/>
      <c r="V425" s="15"/>
      <c r="W425" s="14"/>
      <c r="X425" s="15"/>
      <c r="Y425" s="14"/>
      <c r="Z425" s="15"/>
      <c r="AA425" s="14"/>
      <c r="AB425" s="15"/>
      <c r="AC425" s="14"/>
      <c r="AD425" s="15"/>
      <c r="AE425" s="14"/>
      <c r="AF425" s="15"/>
      <c r="AG425" s="15"/>
      <c r="AH425" s="15"/>
      <c r="AI425" s="14"/>
      <c r="AJ425" s="14"/>
      <c r="AK425" s="17"/>
    </row>
    <row r="426" customFormat="false" ht="42.75" hidden="false" customHeight="true" outlineLevel="0" collapsed="false">
      <c r="A426" s="11" t="n">
        <v>424</v>
      </c>
      <c r="B426" s="11" t="str">
        <f aca="false">IF(I426="Y",IF(COUNTIF(I$3:I426,"Y")&lt;=20,"pilot",IF(COUNTIF(I$3:I426,"Y")&lt;=40,"dev",IF(COUNTIF(I$3:I426,"Y")&lt;=120,"test","extra"))),"")</f>
        <v/>
      </c>
      <c r="C426" s="11" t="str">
        <f aca="false">IF(I426="Y",IF(COUNTA(K426,Q426,W426,AC426,AE426)=5,"done","in progress"),IF(I426="N","excluded",""))</f>
        <v/>
      </c>
      <c r="D426" s="11" t="s">
        <v>1621</v>
      </c>
      <c r="E426" s="12" t="s">
        <v>90</v>
      </c>
      <c r="F426" s="13" t="s">
        <v>1622</v>
      </c>
      <c r="G426" s="11" t="s">
        <v>136</v>
      </c>
      <c r="H426" s="11"/>
      <c r="I426" s="14"/>
      <c r="J426" s="14"/>
      <c r="K426" s="14"/>
      <c r="L426" s="15"/>
      <c r="M426" s="14"/>
      <c r="N426" s="15"/>
      <c r="O426" s="14"/>
      <c r="P426" s="15"/>
      <c r="Q426" s="14"/>
      <c r="R426" s="15"/>
      <c r="S426" s="14"/>
      <c r="T426" s="15"/>
      <c r="U426" s="14"/>
      <c r="V426" s="15"/>
      <c r="W426" s="14"/>
      <c r="X426" s="15"/>
      <c r="Y426" s="14"/>
      <c r="Z426" s="15"/>
      <c r="AA426" s="14"/>
      <c r="AB426" s="15"/>
      <c r="AC426" s="14"/>
      <c r="AD426" s="15"/>
      <c r="AE426" s="14"/>
      <c r="AF426" s="15"/>
      <c r="AG426" s="15"/>
      <c r="AH426" s="15"/>
      <c r="AI426" s="14"/>
      <c r="AJ426" s="14"/>
      <c r="AK426" s="17"/>
    </row>
    <row r="427" customFormat="false" ht="42.75" hidden="false" customHeight="true" outlineLevel="0" collapsed="false">
      <c r="A427" s="11" t="n">
        <v>425</v>
      </c>
      <c r="B427" s="11" t="str">
        <f aca="false">IF(I427="Y",IF(COUNTIF(I$3:I427,"Y")&lt;=20,"pilot",IF(COUNTIF(I$3:I427,"Y")&lt;=40,"dev",IF(COUNTIF(I$3:I427,"Y")&lt;=120,"test","extra"))),"")</f>
        <v/>
      </c>
      <c r="C427" s="11" t="str">
        <f aca="false">IF(I427="Y",IF(COUNTA(K427,Q427,W427,AC427,AE427)=5,"done","in progress"),IF(I427="N","excluded",""))</f>
        <v/>
      </c>
      <c r="D427" s="11" t="s">
        <v>1623</v>
      </c>
      <c r="E427" s="12" t="s">
        <v>90</v>
      </c>
      <c r="F427" s="13" t="s">
        <v>1624</v>
      </c>
      <c r="G427" s="11" t="s">
        <v>288</v>
      </c>
      <c r="H427" s="11"/>
      <c r="I427" s="14"/>
      <c r="J427" s="14"/>
      <c r="K427" s="14"/>
      <c r="L427" s="15"/>
      <c r="M427" s="14"/>
      <c r="N427" s="15"/>
      <c r="O427" s="14"/>
      <c r="P427" s="15"/>
      <c r="Q427" s="14"/>
      <c r="R427" s="15"/>
      <c r="S427" s="14"/>
      <c r="T427" s="15"/>
      <c r="U427" s="14"/>
      <c r="V427" s="15"/>
      <c r="W427" s="14"/>
      <c r="X427" s="15"/>
      <c r="Y427" s="14"/>
      <c r="Z427" s="15"/>
      <c r="AA427" s="14"/>
      <c r="AB427" s="15"/>
      <c r="AC427" s="14"/>
      <c r="AD427" s="15"/>
      <c r="AE427" s="14"/>
      <c r="AF427" s="15"/>
      <c r="AG427" s="15"/>
      <c r="AH427" s="15"/>
      <c r="AI427" s="14"/>
      <c r="AJ427" s="14"/>
      <c r="AK427" s="17"/>
    </row>
    <row r="428" customFormat="false" ht="42.75" hidden="false" customHeight="true" outlineLevel="0" collapsed="false">
      <c r="A428" s="11" t="n">
        <v>426</v>
      </c>
      <c r="B428" s="11" t="str">
        <f aca="false">IF(I428="Y",IF(COUNTIF(I$3:I428,"Y")&lt;=20,"pilot",IF(COUNTIF(I$3:I428,"Y")&lt;=40,"dev",IF(COUNTIF(I$3:I428,"Y")&lt;=120,"test","extra"))),"")</f>
        <v/>
      </c>
      <c r="C428" s="11" t="str">
        <f aca="false">IF(I428="Y",IF(COUNTA(K428,Q428,W428,AC428,AE428)=5,"done","in progress"),IF(I428="N","excluded",""))</f>
        <v/>
      </c>
      <c r="D428" s="11" t="s">
        <v>1625</v>
      </c>
      <c r="E428" s="12" t="s">
        <v>90</v>
      </c>
      <c r="F428" s="13" t="s">
        <v>1626</v>
      </c>
      <c r="G428" s="11" t="s">
        <v>844</v>
      </c>
      <c r="H428" s="11"/>
      <c r="I428" s="14"/>
      <c r="J428" s="14"/>
      <c r="K428" s="14"/>
      <c r="L428" s="15"/>
      <c r="M428" s="14"/>
      <c r="N428" s="15"/>
      <c r="O428" s="14"/>
      <c r="P428" s="15"/>
      <c r="Q428" s="14"/>
      <c r="R428" s="15"/>
      <c r="S428" s="14"/>
      <c r="T428" s="15"/>
      <c r="U428" s="14"/>
      <c r="V428" s="15"/>
      <c r="W428" s="14"/>
      <c r="X428" s="15"/>
      <c r="Y428" s="14"/>
      <c r="Z428" s="15"/>
      <c r="AA428" s="14"/>
      <c r="AB428" s="15"/>
      <c r="AC428" s="14"/>
      <c r="AD428" s="15"/>
      <c r="AE428" s="14"/>
      <c r="AF428" s="15"/>
      <c r="AG428" s="15"/>
      <c r="AH428" s="15"/>
      <c r="AI428" s="14"/>
      <c r="AJ428" s="14"/>
      <c r="AK428" s="17"/>
    </row>
    <row r="429" customFormat="false" ht="42.75" hidden="false" customHeight="true" outlineLevel="0" collapsed="false">
      <c r="A429" s="11" t="n">
        <v>427</v>
      </c>
      <c r="B429" s="11" t="str">
        <f aca="false">IF(I429="Y",IF(COUNTIF(I$3:I429,"Y")&lt;=20,"pilot",IF(COUNTIF(I$3:I429,"Y")&lt;=40,"dev",IF(COUNTIF(I$3:I429,"Y")&lt;=120,"test","extra"))),"")</f>
        <v/>
      </c>
      <c r="C429" s="11" t="str">
        <f aca="false">IF(I429="Y",IF(COUNTA(K429,Q429,W429,AC429,AE429)=5,"done","in progress"),IF(I429="N","excluded",""))</f>
        <v/>
      </c>
      <c r="D429" s="11" t="s">
        <v>1627</v>
      </c>
      <c r="E429" s="12" t="s">
        <v>90</v>
      </c>
      <c r="F429" s="13" t="s">
        <v>1628</v>
      </c>
      <c r="G429" s="11" t="s">
        <v>393</v>
      </c>
      <c r="H429" s="11"/>
      <c r="I429" s="14"/>
      <c r="J429" s="14"/>
      <c r="K429" s="14"/>
      <c r="L429" s="15"/>
      <c r="M429" s="14"/>
      <c r="N429" s="15"/>
      <c r="O429" s="14"/>
      <c r="P429" s="15"/>
      <c r="Q429" s="14"/>
      <c r="R429" s="15"/>
      <c r="S429" s="14"/>
      <c r="T429" s="15"/>
      <c r="U429" s="14"/>
      <c r="V429" s="15"/>
      <c r="W429" s="14"/>
      <c r="X429" s="15"/>
      <c r="Y429" s="14"/>
      <c r="Z429" s="15"/>
      <c r="AA429" s="14"/>
      <c r="AB429" s="15"/>
      <c r="AC429" s="14"/>
      <c r="AD429" s="15"/>
      <c r="AE429" s="14"/>
      <c r="AF429" s="15"/>
      <c r="AG429" s="15"/>
      <c r="AH429" s="15"/>
      <c r="AI429" s="14"/>
      <c r="AJ429" s="14"/>
      <c r="AK429" s="17"/>
    </row>
    <row r="430" customFormat="false" ht="57" hidden="false" customHeight="true" outlineLevel="0" collapsed="false">
      <c r="A430" s="11" t="n">
        <v>428</v>
      </c>
      <c r="B430" s="11" t="str">
        <f aca="false">IF(I430="Y",IF(COUNTIF(I$3:I430,"Y")&lt;=20,"pilot",IF(COUNTIF(I$3:I430,"Y")&lt;=40,"dev",IF(COUNTIF(I$3:I430,"Y")&lt;=120,"test","extra"))),"")</f>
        <v/>
      </c>
      <c r="C430" s="11" t="str">
        <f aca="false">IF(I430="Y",IF(COUNTA(K430,Q430,W430,AC430,AE430)=5,"done","in progress"),IF(I430="N","excluded",""))</f>
        <v/>
      </c>
      <c r="D430" s="11" t="s">
        <v>1629</v>
      </c>
      <c r="E430" s="12" t="s">
        <v>90</v>
      </c>
      <c r="F430" s="13" t="s">
        <v>1630</v>
      </c>
      <c r="G430" s="11" t="s">
        <v>193</v>
      </c>
      <c r="H430" s="11"/>
      <c r="I430" s="14"/>
      <c r="J430" s="14"/>
      <c r="K430" s="14"/>
      <c r="L430" s="15"/>
      <c r="M430" s="14"/>
      <c r="N430" s="15"/>
      <c r="O430" s="14"/>
      <c r="P430" s="15"/>
      <c r="Q430" s="14"/>
      <c r="R430" s="15"/>
      <c r="S430" s="14"/>
      <c r="T430" s="15"/>
      <c r="U430" s="14"/>
      <c r="V430" s="15"/>
      <c r="W430" s="14"/>
      <c r="X430" s="15"/>
      <c r="Y430" s="14"/>
      <c r="Z430" s="15"/>
      <c r="AA430" s="14"/>
      <c r="AB430" s="15"/>
      <c r="AC430" s="14"/>
      <c r="AD430" s="15"/>
      <c r="AE430" s="14"/>
      <c r="AF430" s="15"/>
      <c r="AG430" s="15"/>
      <c r="AH430" s="15"/>
      <c r="AI430" s="14"/>
      <c r="AJ430" s="14"/>
      <c r="AK430" s="17"/>
    </row>
    <row r="431" customFormat="false" ht="42.75" hidden="false" customHeight="true" outlineLevel="0" collapsed="false">
      <c r="A431" s="11" t="n">
        <v>429</v>
      </c>
      <c r="B431" s="11" t="str">
        <f aca="false">IF(I431="Y",IF(COUNTIF(I$3:I431,"Y")&lt;=20,"pilot",IF(COUNTIF(I$3:I431,"Y")&lt;=40,"dev",IF(COUNTIF(I$3:I431,"Y")&lt;=120,"test","extra"))),"")</f>
        <v/>
      </c>
      <c r="C431" s="11" t="str">
        <f aca="false">IF(I431="Y",IF(COUNTA(K431,Q431,W431,AC431,AE431)=5,"done","in progress"),IF(I431="N","excluded",""))</f>
        <v/>
      </c>
      <c r="D431" s="11" t="s">
        <v>1631</v>
      </c>
      <c r="E431" s="12" t="s">
        <v>90</v>
      </c>
      <c r="F431" s="13" t="s">
        <v>1632</v>
      </c>
      <c r="G431" s="11" t="s">
        <v>193</v>
      </c>
      <c r="H431" s="11"/>
      <c r="I431" s="14"/>
      <c r="J431" s="14"/>
      <c r="K431" s="14"/>
      <c r="L431" s="15"/>
      <c r="M431" s="14"/>
      <c r="N431" s="15"/>
      <c r="O431" s="14"/>
      <c r="P431" s="15"/>
      <c r="Q431" s="14"/>
      <c r="R431" s="15"/>
      <c r="S431" s="14"/>
      <c r="T431" s="15"/>
      <c r="U431" s="14"/>
      <c r="V431" s="15"/>
      <c r="W431" s="14"/>
      <c r="X431" s="15"/>
      <c r="Y431" s="14"/>
      <c r="Z431" s="15"/>
      <c r="AA431" s="14"/>
      <c r="AB431" s="15"/>
      <c r="AC431" s="14"/>
      <c r="AD431" s="15"/>
      <c r="AE431" s="14"/>
      <c r="AF431" s="15"/>
      <c r="AG431" s="15"/>
      <c r="AH431" s="15"/>
      <c r="AI431" s="14"/>
      <c r="AJ431" s="14"/>
      <c r="AK431" s="17"/>
    </row>
    <row r="432" customFormat="false" ht="42.75" hidden="false" customHeight="true" outlineLevel="0" collapsed="false">
      <c r="A432" s="11" t="n">
        <v>430</v>
      </c>
      <c r="B432" s="11" t="str">
        <f aca="false">IF(I432="Y",IF(COUNTIF(I$3:I432,"Y")&lt;=20,"pilot",IF(COUNTIF(I$3:I432,"Y")&lt;=40,"dev",IF(COUNTIF(I$3:I432,"Y")&lt;=120,"test","extra"))),"")</f>
        <v/>
      </c>
      <c r="C432" s="11" t="str">
        <f aca="false">IF(I432="Y",IF(COUNTA(K432,Q432,W432,AC432,AE432)=5,"done","in progress"),IF(I432="N","excluded",""))</f>
        <v/>
      </c>
      <c r="D432" s="11" t="s">
        <v>1633</v>
      </c>
      <c r="E432" s="12" t="s">
        <v>90</v>
      </c>
      <c r="F432" s="13" t="s">
        <v>1634</v>
      </c>
      <c r="G432" s="11" t="s">
        <v>136</v>
      </c>
      <c r="H432" s="11"/>
      <c r="I432" s="14"/>
      <c r="J432" s="14"/>
      <c r="K432" s="14"/>
      <c r="L432" s="15"/>
      <c r="M432" s="14"/>
      <c r="N432" s="15"/>
      <c r="O432" s="14"/>
      <c r="P432" s="15"/>
      <c r="Q432" s="14"/>
      <c r="R432" s="15"/>
      <c r="S432" s="14"/>
      <c r="T432" s="15"/>
      <c r="U432" s="14"/>
      <c r="V432" s="15"/>
      <c r="W432" s="14"/>
      <c r="X432" s="15"/>
      <c r="Y432" s="14"/>
      <c r="Z432" s="15"/>
      <c r="AA432" s="14"/>
      <c r="AB432" s="15"/>
      <c r="AC432" s="14"/>
      <c r="AD432" s="15"/>
      <c r="AE432" s="14"/>
      <c r="AF432" s="15"/>
      <c r="AG432" s="15"/>
      <c r="AH432" s="15"/>
      <c r="AI432" s="14"/>
      <c r="AJ432" s="14"/>
      <c r="AK432" s="17"/>
    </row>
    <row r="433" customFormat="false" ht="42.75" hidden="false" customHeight="true" outlineLevel="0" collapsed="false">
      <c r="A433" s="11" t="n">
        <v>431</v>
      </c>
      <c r="B433" s="11" t="str">
        <f aca="false">IF(I433="Y",IF(COUNTIF(I$3:I433,"Y")&lt;=20,"pilot",IF(COUNTIF(I$3:I433,"Y")&lt;=40,"dev",IF(COUNTIF(I$3:I433,"Y")&lt;=120,"test","extra"))),"")</f>
        <v/>
      </c>
      <c r="C433" s="11" t="str">
        <f aca="false">IF(I433="Y",IF(COUNTA(K433,Q433,W433,AC433,AE433)=5,"done","in progress"),IF(I433="N","excluded",""))</f>
        <v/>
      </c>
      <c r="D433" s="11" t="s">
        <v>1635</v>
      </c>
      <c r="E433" s="12" t="s">
        <v>90</v>
      </c>
      <c r="F433" s="13" t="s">
        <v>1636</v>
      </c>
      <c r="G433" s="11" t="s">
        <v>1637</v>
      </c>
      <c r="H433" s="11"/>
      <c r="I433" s="14"/>
      <c r="J433" s="14"/>
      <c r="K433" s="14"/>
      <c r="L433" s="15"/>
      <c r="M433" s="14"/>
      <c r="N433" s="15"/>
      <c r="O433" s="14"/>
      <c r="P433" s="15"/>
      <c r="Q433" s="14"/>
      <c r="R433" s="15"/>
      <c r="S433" s="14"/>
      <c r="T433" s="15"/>
      <c r="U433" s="14"/>
      <c r="V433" s="15"/>
      <c r="W433" s="14"/>
      <c r="X433" s="15"/>
      <c r="Y433" s="14"/>
      <c r="Z433" s="15"/>
      <c r="AA433" s="14"/>
      <c r="AB433" s="15"/>
      <c r="AC433" s="14"/>
      <c r="AD433" s="15"/>
      <c r="AE433" s="14"/>
      <c r="AF433" s="15"/>
      <c r="AG433" s="15"/>
      <c r="AH433" s="15"/>
      <c r="AI433" s="14"/>
      <c r="AJ433" s="14"/>
      <c r="AK433" s="17"/>
    </row>
    <row r="434" customFormat="false" ht="42.75" hidden="false" customHeight="true" outlineLevel="0" collapsed="false">
      <c r="A434" s="11" t="n">
        <v>432</v>
      </c>
      <c r="B434" s="11" t="str">
        <f aca="false">IF(I434="Y",IF(COUNTIF(I$3:I434,"Y")&lt;=20,"pilot",IF(COUNTIF(I$3:I434,"Y")&lt;=40,"dev",IF(COUNTIF(I$3:I434,"Y")&lt;=120,"test","extra"))),"")</f>
        <v/>
      </c>
      <c r="C434" s="11" t="str">
        <f aca="false">IF(I434="Y",IF(COUNTA(K434,Q434,W434,AC434,AE434)=5,"done","in progress"),IF(I434="N","excluded",""))</f>
        <v/>
      </c>
      <c r="D434" s="11" t="s">
        <v>1638</v>
      </c>
      <c r="E434" s="12" t="s">
        <v>90</v>
      </c>
      <c r="F434" s="13" t="s">
        <v>1639</v>
      </c>
      <c r="G434" s="11" t="s">
        <v>393</v>
      </c>
      <c r="H434" s="11"/>
      <c r="I434" s="14"/>
      <c r="J434" s="14"/>
      <c r="K434" s="14"/>
      <c r="L434" s="15"/>
      <c r="M434" s="14"/>
      <c r="N434" s="15"/>
      <c r="O434" s="14"/>
      <c r="P434" s="15"/>
      <c r="Q434" s="14"/>
      <c r="R434" s="15"/>
      <c r="S434" s="14"/>
      <c r="T434" s="15"/>
      <c r="U434" s="14"/>
      <c r="V434" s="15"/>
      <c r="W434" s="14"/>
      <c r="X434" s="15"/>
      <c r="Y434" s="14"/>
      <c r="Z434" s="15"/>
      <c r="AA434" s="14"/>
      <c r="AB434" s="15"/>
      <c r="AC434" s="14"/>
      <c r="AD434" s="15"/>
      <c r="AE434" s="14"/>
      <c r="AF434" s="15"/>
      <c r="AG434" s="15"/>
      <c r="AH434" s="15"/>
      <c r="AI434" s="14"/>
      <c r="AJ434" s="14"/>
      <c r="AK434" s="17"/>
    </row>
    <row r="435" customFormat="false" ht="42.75" hidden="false" customHeight="true" outlineLevel="0" collapsed="false">
      <c r="A435" s="11" t="n">
        <v>433</v>
      </c>
      <c r="B435" s="11" t="str">
        <f aca="false">IF(I435="Y",IF(COUNTIF(I$3:I435,"Y")&lt;=20,"pilot",IF(COUNTIF(I$3:I435,"Y")&lt;=40,"dev",IF(COUNTIF(I$3:I435,"Y")&lt;=120,"test","extra"))),"")</f>
        <v/>
      </c>
      <c r="C435" s="11" t="str">
        <f aca="false">IF(I435="Y",IF(COUNTA(K435,Q435,W435,AC435,AE435)=5,"done","in progress"),IF(I435="N","excluded",""))</f>
        <v/>
      </c>
      <c r="D435" s="11" t="s">
        <v>1640</v>
      </c>
      <c r="E435" s="12" t="s">
        <v>90</v>
      </c>
      <c r="F435" s="13" t="s">
        <v>1641</v>
      </c>
      <c r="G435" s="11" t="s">
        <v>288</v>
      </c>
      <c r="H435" s="11"/>
      <c r="I435" s="14"/>
      <c r="J435" s="14"/>
      <c r="K435" s="14"/>
      <c r="L435" s="15"/>
      <c r="M435" s="14"/>
      <c r="N435" s="15"/>
      <c r="O435" s="14"/>
      <c r="P435" s="15"/>
      <c r="Q435" s="14"/>
      <c r="R435" s="15"/>
      <c r="S435" s="14"/>
      <c r="T435" s="15"/>
      <c r="U435" s="14"/>
      <c r="V435" s="15"/>
      <c r="W435" s="14"/>
      <c r="X435" s="15"/>
      <c r="Y435" s="14"/>
      <c r="Z435" s="15"/>
      <c r="AA435" s="14"/>
      <c r="AB435" s="15"/>
      <c r="AC435" s="14"/>
      <c r="AD435" s="15"/>
      <c r="AE435" s="14"/>
      <c r="AF435" s="15"/>
      <c r="AG435" s="15"/>
      <c r="AH435" s="15"/>
      <c r="AI435" s="14"/>
      <c r="AJ435" s="14"/>
      <c r="AK435" s="17"/>
    </row>
    <row r="436" customFormat="false" ht="28.5" hidden="false" customHeight="true" outlineLevel="0" collapsed="false">
      <c r="A436" s="11" t="n">
        <v>434</v>
      </c>
      <c r="B436" s="11" t="str">
        <f aca="false">IF(I436="Y",IF(COUNTIF(I$3:I436,"Y")&lt;=20,"pilot",IF(COUNTIF(I$3:I436,"Y")&lt;=40,"dev",IF(COUNTIF(I$3:I436,"Y")&lt;=120,"test","extra"))),"")</f>
        <v/>
      </c>
      <c r="C436" s="11" t="str">
        <f aca="false">IF(I436="Y",IF(COUNTA(K436,Q436,W436,AC436,AE436)=5,"done","in progress"),IF(I436="N","excluded",""))</f>
        <v/>
      </c>
      <c r="D436" s="11" t="s">
        <v>1642</v>
      </c>
      <c r="E436" s="12" t="s">
        <v>90</v>
      </c>
      <c r="F436" s="13" t="s">
        <v>1643</v>
      </c>
      <c r="G436" s="11" t="s">
        <v>168</v>
      </c>
      <c r="H436" s="11"/>
      <c r="I436" s="14"/>
      <c r="J436" s="14"/>
      <c r="K436" s="14"/>
      <c r="L436" s="15"/>
      <c r="M436" s="14"/>
      <c r="N436" s="15"/>
      <c r="O436" s="14"/>
      <c r="P436" s="15"/>
      <c r="Q436" s="14"/>
      <c r="R436" s="15"/>
      <c r="S436" s="14"/>
      <c r="T436" s="15"/>
      <c r="U436" s="14"/>
      <c r="V436" s="15"/>
      <c r="W436" s="14"/>
      <c r="X436" s="15"/>
      <c r="Y436" s="14"/>
      <c r="Z436" s="15"/>
      <c r="AA436" s="14"/>
      <c r="AB436" s="15"/>
      <c r="AC436" s="14"/>
      <c r="AD436" s="15"/>
      <c r="AE436" s="14"/>
      <c r="AF436" s="15"/>
      <c r="AG436" s="15"/>
      <c r="AH436" s="15"/>
      <c r="AI436" s="14"/>
      <c r="AJ436" s="14"/>
      <c r="AK436" s="17"/>
    </row>
    <row r="437" customFormat="false" ht="42.75" hidden="false" customHeight="true" outlineLevel="0" collapsed="false">
      <c r="A437" s="11" t="n">
        <v>435</v>
      </c>
      <c r="B437" s="11" t="str">
        <f aca="false">IF(I437="Y",IF(COUNTIF(I$3:I437,"Y")&lt;=20,"pilot",IF(COUNTIF(I$3:I437,"Y")&lt;=40,"dev",IF(COUNTIF(I$3:I437,"Y")&lt;=120,"test","extra"))),"")</f>
        <v/>
      </c>
      <c r="C437" s="11" t="str">
        <f aca="false">IF(I437="Y",IF(COUNTA(K437,Q437,W437,AC437,AE437)=5,"done","in progress"),IF(I437="N","excluded",""))</f>
        <v/>
      </c>
      <c r="D437" s="11" t="s">
        <v>1644</v>
      </c>
      <c r="E437" s="12" t="s">
        <v>90</v>
      </c>
      <c r="F437" s="13" t="s">
        <v>1645</v>
      </c>
      <c r="G437" s="11" t="s">
        <v>125</v>
      </c>
      <c r="H437" s="11"/>
      <c r="I437" s="14"/>
      <c r="J437" s="14"/>
      <c r="K437" s="14"/>
      <c r="L437" s="15"/>
      <c r="M437" s="14"/>
      <c r="N437" s="15"/>
      <c r="O437" s="14"/>
      <c r="P437" s="15"/>
      <c r="Q437" s="14"/>
      <c r="R437" s="15"/>
      <c r="S437" s="14"/>
      <c r="T437" s="15"/>
      <c r="U437" s="14"/>
      <c r="V437" s="15"/>
      <c r="W437" s="14"/>
      <c r="X437" s="15"/>
      <c r="Y437" s="14"/>
      <c r="Z437" s="15"/>
      <c r="AA437" s="14"/>
      <c r="AB437" s="15"/>
      <c r="AC437" s="14"/>
      <c r="AD437" s="15"/>
      <c r="AE437" s="14"/>
      <c r="AF437" s="15"/>
      <c r="AG437" s="15"/>
      <c r="AH437" s="15"/>
      <c r="AI437" s="14"/>
      <c r="AJ437" s="14"/>
      <c r="AK437" s="17"/>
    </row>
    <row r="438" customFormat="false" ht="42.75" hidden="false" customHeight="true" outlineLevel="0" collapsed="false">
      <c r="A438" s="11" t="n">
        <v>436</v>
      </c>
      <c r="B438" s="11" t="str">
        <f aca="false">IF(I438="Y",IF(COUNTIF(I$3:I438,"Y")&lt;=20,"pilot",IF(COUNTIF(I$3:I438,"Y")&lt;=40,"dev",IF(COUNTIF(I$3:I438,"Y")&lt;=120,"test","extra"))),"")</f>
        <v/>
      </c>
      <c r="C438" s="11" t="str">
        <f aca="false">IF(I438="Y",IF(COUNTA(K438,Q438,W438,AC438,AE438)=5,"done","in progress"),IF(I438="N","excluded",""))</f>
        <v/>
      </c>
      <c r="D438" s="11" t="s">
        <v>1646</v>
      </c>
      <c r="E438" s="12" t="s">
        <v>90</v>
      </c>
      <c r="F438" s="13" t="s">
        <v>1647</v>
      </c>
      <c r="G438" s="11" t="s">
        <v>145</v>
      </c>
      <c r="H438" s="11"/>
      <c r="I438" s="14"/>
      <c r="J438" s="14"/>
      <c r="K438" s="14"/>
      <c r="L438" s="15"/>
      <c r="M438" s="14"/>
      <c r="N438" s="15"/>
      <c r="O438" s="14"/>
      <c r="P438" s="15"/>
      <c r="Q438" s="14"/>
      <c r="R438" s="15"/>
      <c r="S438" s="14"/>
      <c r="T438" s="15"/>
      <c r="U438" s="14"/>
      <c r="V438" s="15"/>
      <c r="W438" s="14"/>
      <c r="X438" s="15"/>
      <c r="Y438" s="14"/>
      <c r="Z438" s="15"/>
      <c r="AA438" s="14"/>
      <c r="AB438" s="15"/>
      <c r="AC438" s="14"/>
      <c r="AD438" s="15"/>
      <c r="AE438" s="14"/>
      <c r="AF438" s="15"/>
      <c r="AG438" s="15"/>
      <c r="AH438" s="15"/>
      <c r="AI438" s="14"/>
      <c r="AJ438" s="14"/>
      <c r="AK438" s="17"/>
    </row>
    <row r="439" customFormat="false" ht="28.5" hidden="false" customHeight="true" outlineLevel="0" collapsed="false">
      <c r="A439" s="11" t="n">
        <v>437</v>
      </c>
      <c r="B439" s="11" t="str">
        <f aca="false">IF(I439="Y",IF(COUNTIF(I$3:I439,"Y")&lt;=20,"pilot",IF(COUNTIF(I$3:I439,"Y")&lt;=40,"dev",IF(COUNTIF(I$3:I439,"Y")&lt;=120,"test","extra"))),"")</f>
        <v/>
      </c>
      <c r="C439" s="11" t="str">
        <f aca="false">IF(I439="Y",IF(COUNTA(K439,Q439,W439,AC439,AE439)=5,"done","in progress"),IF(I439="N","excluded",""))</f>
        <v/>
      </c>
      <c r="D439" s="11" t="s">
        <v>1648</v>
      </c>
      <c r="E439" s="12" t="s">
        <v>90</v>
      </c>
      <c r="F439" s="13" t="s">
        <v>1649</v>
      </c>
      <c r="G439" s="11" t="s">
        <v>1650</v>
      </c>
      <c r="H439" s="11"/>
      <c r="I439" s="14"/>
      <c r="J439" s="14"/>
      <c r="K439" s="14"/>
      <c r="L439" s="15"/>
      <c r="M439" s="14"/>
      <c r="N439" s="15"/>
      <c r="O439" s="14"/>
      <c r="P439" s="15"/>
      <c r="Q439" s="14"/>
      <c r="R439" s="15"/>
      <c r="S439" s="14"/>
      <c r="T439" s="15"/>
      <c r="U439" s="14"/>
      <c r="V439" s="15"/>
      <c r="W439" s="14"/>
      <c r="X439" s="15"/>
      <c r="Y439" s="14"/>
      <c r="Z439" s="15"/>
      <c r="AA439" s="14"/>
      <c r="AB439" s="15"/>
      <c r="AC439" s="14"/>
      <c r="AD439" s="15"/>
      <c r="AE439" s="14"/>
      <c r="AF439" s="15"/>
      <c r="AG439" s="15"/>
      <c r="AH439" s="15"/>
      <c r="AI439" s="14"/>
      <c r="AJ439" s="14"/>
      <c r="AK439" s="17"/>
    </row>
    <row r="440" customFormat="false" ht="28.5" hidden="false" customHeight="true" outlineLevel="0" collapsed="false">
      <c r="A440" s="11" t="n">
        <v>438</v>
      </c>
      <c r="B440" s="11" t="str">
        <f aca="false">IF(I440="Y",IF(COUNTIF(I$3:I440,"Y")&lt;=20,"pilot",IF(COUNTIF(I$3:I440,"Y")&lt;=40,"dev",IF(COUNTIF(I$3:I440,"Y")&lt;=120,"test","extra"))),"")</f>
        <v/>
      </c>
      <c r="C440" s="11" t="str">
        <f aca="false">IF(I440="Y",IF(COUNTA(K440,Q440,W440,AC440,AE440)=5,"done","in progress"),IF(I440="N","excluded",""))</f>
        <v/>
      </c>
      <c r="D440" s="11" t="s">
        <v>1651</v>
      </c>
      <c r="E440" s="12" t="s">
        <v>90</v>
      </c>
      <c r="F440" s="13" t="s">
        <v>1652</v>
      </c>
      <c r="G440" s="11" t="s">
        <v>136</v>
      </c>
      <c r="H440" s="11"/>
      <c r="I440" s="14"/>
      <c r="J440" s="14"/>
      <c r="K440" s="14"/>
      <c r="L440" s="15"/>
      <c r="M440" s="14"/>
      <c r="N440" s="15"/>
      <c r="O440" s="14"/>
      <c r="P440" s="15"/>
      <c r="Q440" s="14"/>
      <c r="R440" s="15"/>
      <c r="S440" s="14"/>
      <c r="T440" s="15"/>
      <c r="U440" s="14"/>
      <c r="V440" s="15"/>
      <c r="W440" s="14"/>
      <c r="X440" s="15"/>
      <c r="Y440" s="14"/>
      <c r="Z440" s="15"/>
      <c r="AA440" s="14"/>
      <c r="AB440" s="15"/>
      <c r="AC440" s="14"/>
      <c r="AD440" s="15"/>
      <c r="AE440" s="14"/>
      <c r="AF440" s="15"/>
      <c r="AG440" s="15"/>
      <c r="AH440" s="15"/>
      <c r="AI440" s="14"/>
      <c r="AJ440" s="14"/>
      <c r="AK440" s="17"/>
    </row>
    <row r="441" customFormat="false" ht="42.75" hidden="false" customHeight="true" outlineLevel="0" collapsed="false">
      <c r="A441" s="11" t="n">
        <v>439</v>
      </c>
      <c r="B441" s="11" t="str">
        <f aca="false">IF(I441="Y",IF(COUNTIF(I$3:I441,"Y")&lt;=20,"pilot",IF(COUNTIF(I$3:I441,"Y")&lt;=40,"dev",IF(COUNTIF(I$3:I441,"Y")&lt;=120,"test","extra"))),"")</f>
        <v/>
      </c>
      <c r="C441" s="11" t="str">
        <f aca="false">IF(I441="Y",IF(COUNTA(K441,Q441,W441,AC441,AE441)=5,"done","in progress"),IF(I441="N","excluded",""))</f>
        <v/>
      </c>
      <c r="D441" s="11" t="s">
        <v>1653</v>
      </c>
      <c r="E441" s="12" t="s">
        <v>90</v>
      </c>
      <c r="F441" s="13" t="s">
        <v>1654</v>
      </c>
      <c r="G441" s="11" t="s">
        <v>168</v>
      </c>
      <c r="H441" s="11"/>
      <c r="I441" s="14"/>
      <c r="J441" s="14"/>
      <c r="K441" s="14"/>
      <c r="L441" s="15"/>
      <c r="M441" s="14"/>
      <c r="N441" s="15"/>
      <c r="O441" s="14"/>
      <c r="P441" s="15"/>
      <c r="Q441" s="14"/>
      <c r="R441" s="15"/>
      <c r="S441" s="14"/>
      <c r="T441" s="15"/>
      <c r="U441" s="14"/>
      <c r="V441" s="15"/>
      <c r="W441" s="14"/>
      <c r="X441" s="15"/>
      <c r="Y441" s="14"/>
      <c r="Z441" s="15"/>
      <c r="AA441" s="14"/>
      <c r="AB441" s="15"/>
      <c r="AC441" s="14"/>
      <c r="AD441" s="15"/>
      <c r="AE441" s="14"/>
      <c r="AF441" s="15"/>
      <c r="AG441" s="15"/>
      <c r="AH441" s="15"/>
      <c r="AI441" s="14"/>
      <c r="AJ441" s="14"/>
      <c r="AK441" s="17"/>
    </row>
    <row r="442" customFormat="false" ht="28.5" hidden="false" customHeight="true" outlineLevel="0" collapsed="false">
      <c r="A442" s="11" t="n">
        <v>440</v>
      </c>
      <c r="B442" s="11" t="str">
        <f aca="false">IF(I442="Y",IF(COUNTIF(I$3:I442,"Y")&lt;=20,"pilot",IF(COUNTIF(I$3:I442,"Y")&lt;=40,"dev",IF(COUNTIF(I$3:I442,"Y")&lt;=120,"test","extra"))),"")</f>
        <v/>
      </c>
      <c r="C442" s="11" t="str">
        <f aca="false">IF(I442="Y",IF(COUNTA(K442,Q442,W442,AC442,AE442)=5,"done","in progress"),IF(I442="N","excluded",""))</f>
        <v/>
      </c>
      <c r="D442" s="11" t="s">
        <v>1655</v>
      </c>
      <c r="E442" s="12" t="s">
        <v>90</v>
      </c>
      <c r="F442" s="13" t="s">
        <v>1656</v>
      </c>
      <c r="G442" s="11" t="s">
        <v>1034</v>
      </c>
      <c r="H442" s="11"/>
      <c r="I442" s="14"/>
      <c r="J442" s="14"/>
      <c r="K442" s="14"/>
      <c r="L442" s="15"/>
      <c r="M442" s="14"/>
      <c r="N442" s="15"/>
      <c r="O442" s="14"/>
      <c r="P442" s="15"/>
      <c r="Q442" s="14"/>
      <c r="R442" s="15"/>
      <c r="S442" s="14"/>
      <c r="T442" s="15"/>
      <c r="U442" s="14"/>
      <c r="V442" s="15"/>
      <c r="W442" s="14"/>
      <c r="X442" s="15"/>
      <c r="Y442" s="14"/>
      <c r="Z442" s="15"/>
      <c r="AA442" s="14"/>
      <c r="AB442" s="15"/>
      <c r="AC442" s="14"/>
      <c r="AD442" s="15"/>
      <c r="AE442" s="14"/>
      <c r="AF442" s="15"/>
      <c r="AG442" s="15"/>
      <c r="AH442" s="15"/>
      <c r="AI442" s="14"/>
      <c r="AJ442" s="14"/>
      <c r="AK442" s="17"/>
    </row>
    <row r="443" customFormat="false" ht="42.75" hidden="false" customHeight="true" outlineLevel="0" collapsed="false">
      <c r="A443" s="11" t="n">
        <v>441</v>
      </c>
      <c r="B443" s="11" t="str">
        <f aca="false">IF(I443="Y",IF(COUNTIF(I$3:I443,"Y")&lt;=20,"pilot",IF(COUNTIF(I$3:I443,"Y")&lt;=40,"dev",IF(COUNTIF(I$3:I443,"Y")&lt;=120,"test","extra"))),"")</f>
        <v/>
      </c>
      <c r="C443" s="11" t="str">
        <f aca="false">IF(I443="Y",IF(COUNTA(K443,Q443,W443,AC443,AE443)=5,"done","in progress"),IF(I443="N","excluded",""))</f>
        <v/>
      </c>
      <c r="D443" s="11" t="s">
        <v>1657</v>
      </c>
      <c r="E443" s="12" t="s">
        <v>90</v>
      </c>
      <c r="F443" s="13" t="s">
        <v>1658</v>
      </c>
      <c r="G443" s="11" t="s">
        <v>1659</v>
      </c>
      <c r="H443" s="11"/>
      <c r="I443" s="14"/>
      <c r="J443" s="14"/>
      <c r="K443" s="14"/>
      <c r="L443" s="15"/>
      <c r="M443" s="14"/>
      <c r="N443" s="15"/>
      <c r="O443" s="14"/>
      <c r="P443" s="15"/>
      <c r="Q443" s="14"/>
      <c r="R443" s="15"/>
      <c r="S443" s="14"/>
      <c r="T443" s="15"/>
      <c r="U443" s="14"/>
      <c r="V443" s="15"/>
      <c r="W443" s="14"/>
      <c r="X443" s="15"/>
      <c r="Y443" s="14"/>
      <c r="Z443" s="15"/>
      <c r="AA443" s="14"/>
      <c r="AB443" s="15"/>
      <c r="AC443" s="14"/>
      <c r="AD443" s="15"/>
      <c r="AE443" s="14"/>
      <c r="AF443" s="15"/>
      <c r="AG443" s="15"/>
      <c r="AH443" s="15"/>
      <c r="AI443" s="14"/>
      <c r="AJ443" s="14"/>
      <c r="AK443" s="17"/>
    </row>
    <row r="444" customFormat="false" ht="57" hidden="false" customHeight="true" outlineLevel="0" collapsed="false">
      <c r="A444" s="11" t="n">
        <v>442</v>
      </c>
      <c r="B444" s="11" t="str">
        <f aca="false">IF(I444="Y",IF(COUNTIF(I$3:I444,"Y")&lt;=20,"pilot",IF(COUNTIF(I$3:I444,"Y")&lt;=40,"dev",IF(COUNTIF(I$3:I444,"Y")&lt;=120,"test","extra"))),"")</f>
        <v/>
      </c>
      <c r="C444" s="11" t="str">
        <f aca="false">IF(I444="Y",IF(COUNTA(K444,Q444,W444,AC444,AE444)=5,"done","in progress"),IF(I444="N","excluded",""))</f>
        <v/>
      </c>
      <c r="D444" s="11" t="s">
        <v>1660</v>
      </c>
      <c r="E444" s="12" t="s">
        <v>90</v>
      </c>
      <c r="F444" s="13" t="s">
        <v>1661</v>
      </c>
      <c r="G444" s="11" t="s">
        <v>1662</v>
      </c>
      <c r="H444" s="11"/>
      <c r="I444" s="14"/>
      <c r="J444" s="14"/>
      <c r="K444" s="14"/>
      <c r="L444" s="15"/>
      <c r="M444" s="14"/>
      <c r="N444" s="15"/>
      <c r="O444" s="14"/>
      <c r="P444" s="15"/>
      <c r="Q444" s="14"/>
      <c r="R444" s="15"/>
      <c r="S444" s="14"/>
      <c r="T444" s="15"/>
      <c r="U444" s="14"/>
      <c r="V444" s="15"/>
      <c r="W444" s="14"/>
      <c r="X444" s="15"/>
      <c r="Y444" s="14"/>
      <c r="Z444" s="15"/>
      <c r="AA444" s="14"/>
      <c r="AB444" s="15"/>
      <c r="AC444" s="14"/>
      <c r="AD444" s="15"/>
      <c r="AE444" s="14"/>
      <c r="AF444" s="15"/>
      <c r="AG444" s="15"/>
      <c r="AH444" s="15"/>
      <c r="AI444" s="14"/>
      <c r="AJ444" s="14"/>
      <c r="AK444" s="17"/>
    </row>
    <row r="445" customFormat="false" ht="28.5" hidden="false" customHeight="true" outlineLevel="0" collapsed="false">
      <c r="A445" s="11" t="n">
        <v>443</v>
      </c>
      <c r="B445" s="11" t="str">
        <f aca="false">IF(I445="Y",IF(COUNTIF(I$3:I445,"Y")&lt;=20,"pilot",IF(COUNTIF(I$3:I445,"Y")&lt;=40,"dev",IF(COUNTIF(I$3:I445,"Y")&lt;=120,"test","extra"))),"")</f>
        <v/>
      </c>
      <c r="C445" s="11" t="str">
        <f aca="false">IF(I445="Y",IF(COUNTA(K445,Q445,W445,AC445,AE445)=5,"done","in progress"),IF(I445="N","excluded",""))</f>
        <v/>
      </c>
      <c r="D445" s="11" t="s">
        <v>1663</v>
      </c>
      <c r="E445" s="12" t="s">
        <v>90</v>
      </c>
      <c r="F445" s="13" t="s">
        <v>1664</v>
      </c>
      <c r="G445" s="11" t="s">
        <v>1665</v>
      </c>
      <c r="H445" s="11"/>
      <c r="I445" s="14"/>
      <c r="J445" s="14"/>
      <c r="K445" s="14"/>
      <c r="L445" s="15"/>
      <c r="M445" s="14"/>
      <c r="N445" s="15"/>
      <c r="O445" s="14"/>
      <c r="P445" s="15"/>
      <c r="Q445" s="14"/>
      <c r="R445" s="15"/>
      <c r="S445" s="14"/>
      <c r="T445" s="15"/>
      <c r="U445" s="14"/>
      <c r="V445" s="15"/>
      <c r="W445" s="14"/>
      <c r="X445" s="15"/>
      <c r="Y445" s="14"/>
      <c r="Z445" s="15"/>
      <c r="AA445" s="14"/>
      <c r="AB445" s="15"/>
      <c r="AC445" s="14"/>
      <c r="AD445" s="15"/>
      <c r="AE445" s="14"/>
      <c r="AF445" s="15"/>
      <c r="AG445" s="15"/>
      <c r="AH445" s="15"/>
      <c r="AI445" s="14"/>
      <c r="AJ445" s="14"/>
      <c r="AK445" s="17"/>
    </row>
    <row r="446" customFormat="false" ht="28.5" hidden="false" customHeight="true" outlineLevel="0" collapsed="false">
      <c r="A446" s="11" t="n">
        <v>444</v>
      </c>
      <c r="B446" s="11" t="str">
        <f aca="false">IF(I446="Y",IF(COUNTIF(I$3:I446,"Y")&lt;=20,"pilot",IF(COUNTIF(I$3:I446,"Y")&lt;=40,"dev",IF(COUNTIF(I$3:I446,"Y")&lt;=120,"test","extra"))),"")</f>
        <v/>
      </c>
      <c r="C446" s="11" t="str">
        <f aca="false">IF(I446="Y",IF(COUNTA(K446,Q446,W446,AC446,AE446)=5,"done","in progress"),IF(I446="N","excluded",""))</f>
        <v/>
      </c>
      <c r="D446" s="11" t="s">
        <v>1666</v>
      </c>
      <c r="E446" s="12" t="s">
        <v>90</v>
      </c>
      <c r="F446" s="13" t="s">
        <v>1667</v>
      </c>
      <c r="G446" s="11" t="s">
        <v>1668</v>
      </c>
      <c r="H446" s="11"/>
      <c r="I446" s="14"/>
      <c r="J446" s="14"/>
      <c r="K446" s="14"/>
      <c r="L446" s="15"/>
      <c r="M446" s="14"/>
      <c r="N446" s="15"/>
      <c r="O446" s="14"/>
      <c r="P446" s="15"/>
      <c r="Q446" s="14"/>
      <c r="R446" s="15"/>
      <c r="S446" s="14"/>
      <c r="T446" s="15"/>
      <c r="U446" s="14"/>
      <c r="V446" s="15"/>
      <c r="W446" s="14"/>
      <c r="X446" s="15"/>
      <c r="Y446" s="14"/>
      <c r="Z446" s="15"/>
      <c r="AA446" s="14"/>
      <c r="AB446" s="15"/>
      <c r="AC446" s="14"/>
      <c r="AD446" s="15"/>
      <c r="AE446" s="14"/>
      <c r="AF446" s="15"/>
      <c r="AG446" s="15"/>
      <c r="AH446" s="15"/>
      <c r="AI446" s="14"/>
      <c r="AJ446" s="14"/>
      <c r="AK446" s="17"/>
    </row>
    <row r="447" customFormat="false" ht="57" hidden="false" customHeight="true" outlineLevel="0" collapsed="false">
      <c r="A447" s="11" t="n">
        <v>445</v>
      </c>
      <c r="B447" s="11" t="str">
        <f aca="false">IF(I447="Y",IF(COUNTIF(I$3:I447,"Y")&lt;=20,"pilot",IF(COUNTIF(I$3:I447,"Y")&lt;=40,"dev",IF(COUNTIF(I$3:I447,"Y")&lt;=120,"test","extra"))),"")</f>
        <v/>
      </c>
      <c r="C447" s="11" t="str">
        <f aca="false">IF(I447="Y",IF(COUNTA(K447,Q447,W447,AC447,AE447)=5,"done","in progress"),IF(I447="N","excluded",""))</f>
        <v/>
      </c>
      <c r="D447" s="11" t="s">
        <v>1669</v>
      </c>
      <c r="E447" s="12" t="s">
        <v>90</v>
      </c>
      <c r="F447" s="13" t="s">
        <v>1670</v>
      </c>
      <c r="G447" s="11" t="s">
        <v>168</v>
      </c>
      <c r="H447" s="11"/>
      <c r="I447" s="14"/>
      <c r="J447" s="14"/>
      <c r="K447" s="14"/>
      <c r="L447" s="15"/>
      <c r="M447" s="14"/>
      <c r="N447" s="15"/>
      <c r="O447" s="14"/>
      <c r="P447" s="15"/>
      <c r="Q447" s="14"/>
      <c r="R447" s="15"/>
      <c r="S447" s="14"/>
      <c r="T447" s="15"/>
      <c r="U447" s="14"/>
      <c r="V447" s="15"/>
      <c r="W447" s="14"/>
      <c r="X447" s="15"/>
      <c r="Y447" s="14"/>
      <c r="Z447" s="15"/>
      <c r="AA447" s="14"/>
      <c r="AB447" s="15"/>
      <c r="AC447" s="14"/>
      <c r="AD447" s="15"/>
      <c r="AE447" s="14"/>
      <c r="AF447" s="15"/>
      <c r="AG447" s="15"/>
      <c r="AH447" s="15"/>
      <c r="AI447" s="14"/>
      <c r="AJ447" s="14"/>
      <c r="AK447" s="17"/>
    </row>
    <row r="448" customFormat="false" ht="57" hidden="false" customHeight="true" outlineLevel="0" collapsed="false">
      <c r="A448" s="11" t="n">
        <v>446</v>
      </c>
      <c r="B448" s="11" t="str">
        <f aca="false">IF(I448="Y",IF(COUNTIF(I$3:I448,"Y")&lt;=20,"pilot",IF(COUNTIF(I$3:I448,"Y")&lt;=40,"dev",IF(COUNTIF(I$3:I448,"Y")&lt;=120,"test","extra"))),"")</f>
        <v/>
      </c>
      <c r="C448" s="11" t="str">
        <f aca="false">IF(I448="Y",IF(COUNTA(K448,Q448,W448,AC448,AE448)=5,"done","in progress"),IF(I448="N","excluded",""))</f>
        <v/>
      </c>
      <c r="D448" s="11" t="s">
        <v>1671</v>
      </c>
      <c r="E448" s="12" t="s">
        <v>90</v>
      </c>
      <c r="F448" s="13" t="s">
        <v>1672</v>
      </c>
      <c r="G448" s="11" t="s">
        <v>306</v>
      </c>
      <c r="H448" s="11"/>
      <c r="I448" s="14"/>
      <c r="J448" s="14"/>
      <c r="K448" s="14"/>
      <c r="L448" s="15"/>
      <c r="M448" s="14"/>
      <c r="N448" s="15"/>
      <c r="O448" s="14"/>
      <c r="P448" s="15"/>
      <c r="Q448" s="14"/>
      <c r="R448" s="15"/>
      <c r="S448" s="14"/>
      <c r="T448" s="15"/>
      <c r="U448" s="14"/>
      <c r="V448" s="15"/>
      <c r="W448" s="14"/>
      <c r="X448" s="15"/>
      <c r="Y448" s="14"/>
      <c r="Z448" s="15"/>
      <c r="AA448" s="14"/>
      <c r="AB448" s="15"/>
      <c r="AC448" s="14"/>
      <c r="AD448" s="15"/>
      <c r="AE448" s="14"/>
      <c r="AF448" s="15"/>
      <c r="AG448" s="15"/>
      <c r="AH448" s="15"/>
      <c r="AI448" s="14"/>
      <c r="AJ448" s="14"/>
      <c r="AK448" s="17"/>
    </row>
    <row r="449" customFormat="false" ht="57" hidden="false" customHeight="true" outlineLevel="0" collapsed="false">
      <c r="A449" s="11" t="n">
        <v>447</v>
      </c>
      <c r="B449" s="11" t="str">
        <f aca="false">IF(I449="Y",IF(COUNTIF(I$3:I449,"Y")&lt;=20,"pilot",IF(COUNTIF(I$3:I449,"Y")&lt;=40,"dev",IF(COUNTIF(I$3:I449,"Y")&lt;=120,"test","extra"))),"")</f>
        <v/>
      </c>
      <c r="C449" s="11" t="str">
        <f aca="false">IF(I449="Y",IF(COUNTA(K449,Q449,W449,AC449,AE449)=5,"done","in progress"),IF(I449="N","excluded",""))</f>
        <v/>
      </c>
      <c r="D449" s="11" t="s">
        <v>1673</v>
      </c>
      <c r="E449" s="12" t="s">
        <v>90</v>
      </c>
      <c r="F449" s="13" t="s">
        <v>1674</v>
      </c>
      <c r="G449" s="11" t="s">
        <v>1675</v>
      </c>
      <c r="H449" s="11"/>
      <c r="I449" s="14"/>
      <c r="J449" s="14"/>
      <c r="K449" s="14"/>
      <c r="L449" s="15"/>
      <c r="M449" s="14"/>
      <c r="N449" s="15"/>
      <c r="O449" s="14"/>
      <c r="P449" s="15"/>
      <c r="Q449" s="14"/>
      <c r="R449" s="15"/>
      <c r="S449" s="14"/>
      <c r="T449" s="15"/>
      <c r="U449" s="14"/>
      <c r="V449" s="15"/>
      <c r="W449" s="14"/>
      <c r="X449" s="15"/>
      <c r="Y449" s="14"/>
      <c r="Z449" s="15"/>
      <c r="AA449" s="14"/>
      <c r="AB449" s="15"/>
      <c r="AC449" s="14"/>
      <c r="AD449" s="15"/>
      <c r="AE449" s="14"/>
      <c r="AF449" s="15"/>
      <c r="AG449" s="15"/>
      <c r="AH449" s="15"/>
      <c r="AI449" s="14"/>
      <c r="AJ449" s="14"/>
      <c r="AK449" s="17"/>
    </row>
    <row r="450" customFormat="false" ht="28.5" hidden="false" customHeight="true" outlineLevel="0" collapsed="false">
      <c r="A450" s="11" t="n">
        <v>448</v>
      </c>
      <c r="B450" s="11" t="str">
        <f aca="false">IF(I450="Y",IF(COUNTIF(I$3:I450,"Y")&lt;=20,"pilot",IF(COUNTIF(I$3:I450,"Y")&lt;=40,"dev",IF(COUNTIF(I$3:I450,"Y")&lt;=120,"test","extra"))),"")</f>
        <v/>
      </c>
      <c r="C450" s="11" t="str">
        <f aca="false">IF(I450="Y",IF(COUNTA(K450,Q450,W450,AC450,AE450)=5,"done","in progress"),IF(I450="N","excluded",""))</f>
        <v/>
      </c>
      <c r="D450" s="11" t="s">
        <v>1676</v>
      </c>
      <c r="E450" s="12" t="s">
        <v>90</v>
      </c>
      <c r="F450" s="13" t="s">
        <v>1677</v>
      </c>
      <c r="G450" s="11" t="s">
        <v>1543</v>
      </c>
      <c r="H450" s="11"/>
      <c r="I450" s="14"/>
      <c r="J450" s="14"/>
      <c r="K450" s="14"/>
      <c r="L450" s="15"/>
      <c r="M450" s="14"/>
      <c r="N450" s="15"/>
      <c r="O450" s="14"/>
      <c r="P450" s="15"/>
      <c r="Q450" s="14"/>
      <c r="R450" s="15"/>
      <c r="S450" s="14"/>
      <c r="T450" s="15"/>
      <c r="U450" s="14"/>
      <c r="V450" s="15"/>
      <c r="W450" s="14"/>
      <c r="X450" s="15"/>
      <c r="Y450" s="14"/>
      <c r="Z450" s="15"/>
      <c r="AA450" s="14"/>
      <c r="AB450" s="15"/>
      <c r="AC450" s="14"/>
      <c r="AD450" s="15"/>
      <c r="AE450" s="14"/>
      <c r="AF450" s="15"/>
      <c r="AG450" s="15"/>
      <c r="AH450" s="15"/>
      <c r="AI450" s="14"/>
      <c r="AJ450" s="14"/>
      <c r="AK450" s="17"/>
    </row>
    <row r="451" customFormat="false" ht="42.75" hidden="false" customHeight="true" outlineLevel="0" collapsed="false">
      <c r="A451" s="11" t="n">
        <v>449</v>
      </c>
      <c r="B451" s="11" t="str">
        <f aca="false">IF(I451="Y",IF(COUNTIF(I$3:I451,"Y")&lt;=20,"pilot",IF(COUNTIF(I$3:I451,"Y")&lt;=40,"dev",IF(COUNTIF(I$3:I451,"Y")&lt;=120,"test","extra"))),"")</f>
        <v/>
      </c>
      <c r="C451" s="11" t="str">
        <f aca="false">IF(I451="Y",IF(COUNTA(K451,Q451,W451,AC451,AE451)=5,"done","in progress"),IF(I451="N","excluded",""))</f>
        <v/>
      </c>
      <c r="D451" s="11" t="s">
        <v>1678</v>
      </c>
      <c r="E451" s="12" t="s">
        <v>90</v>
      </c>
      <c r="F451" s="13" t="s">
        <v>1679</v>
      </c>
      <c r="G451" s="11" t="s">
        <v>1680</v>
      </c>
      <c r="H451" s="11"/>
      <c r="I451" s="14"/>
      <c r="J451" s="14"/>
      <c r="K451" s="14"/>
      <c r="L451" s="15"/>
      <c r="M451" s="14"/>
      <c r="N451" s="15"/>
      <c r="O451" s="14"/>
      <c r="P451" s="15"/>
      <c r="Q451" s="14"/>
      <c r="R451" s="15"/>
      <c r="S451" s="14"/>
      <c r="T451" s="15"/>
      <c r="U451" s="14"/>
      <c r="V451" s="15"/>
      <c r="W451" s="14"/>
      <c r="X451" s="15"/>
      <c r="Y451" s="14"/>
      <c r="Z451" s="15"/>
      <c r="AA451" s="14"/>
      <c r="AB451" s="15"/>
      <c r="AC451" s="14"/>
      <c r="AD451" s="15"/>
      <c r="AE451" s="14"/>
      <c r="AF451" s="15"/>
      <c r="AG451" s="15"/>
      <c r="AH451" s="15"/>
      <c r="AI451" s="14"/>
      <c r="AJ451" s="14"/>
      <c r="AK451" s="17"/>
    </row>
    <row r="452" customFormat="false" ht="42.75" hidden="false" customHeight="true" outlineLevel="0" collapsed="false">
      <c r="A452" s="11" t="n">
        <v>450</v>
      </c>
      <c r="B452" s="11" t="str">
        <f aca="false">IF(I452="Y",IF(COUNTIF(I$3:I452,"Y")&lt;=20,"pilot",IF(COUNTIF(I$3:I452,"Y")&lt;=40,"dev",IF(COUNTIF(I$3:I452,"Y")&lt;=120,"test","extra"))),"")</f>
        <v/>
      </c>
      <c r="C452" s="11" t="str">
        <f aca="false">IF(I452="Y",IF(COUNTA(K452,Q452,W452,AC452,AE452)=5,"done","in progress"),IF(I452="N","excluded",""))</f>
        <v/>
      </c>
      <c r="D452" s="11" t="s">
        <v>1681</v>
      </c>
      <c r="E452" s="12" t="s">
        <v>90</v>
      </c>
      <c r="F452" s="13" t="s">
        <v>1682</v>
      </c>
      <c r="G452" s="11" t="s">
        <v>1034</v>
      </c>
      <c r="H452" s="11"/>
      <c r="I452" s="14"/>
      <c r="J452" s="14"/>
      <c r="K452" s="14"/>
      <c r="L452" s="15"/>
      <c r="M452" s="14"/>
      <c r="N452" s="15"/>
      <c r="O452" s="14"/>
      <c r="P452" s="15"/>
      <c r="Q452" s="14"/>
      <c r="R452" s="15"/>
      <c r="S452" s="14"/>
      <c r="T452" s="15"/>
      <c r="U452" s="14"/>
      <c r="V452" s="15"/>
      <c r="W452" s="14"/>
      <c r="X452" s="15"/>
      <c r="Y452" s="14"/>
      <c r="Z452" s="15"/>
      <c r="AA452" s="14"/>
      <c r="AB452" s="15"/>
      <c r="AC452" s="14"/>
      <c r="AD452" s="15"/>
      <c r="AE452" s="14"/>
      <c r="AF452" s="15"/>
      <c r="AG452" s="15"/>
      <c r="AH452" s="15"/>
      <c r="AI452" s="14"/>
      <c r="AJ452" s="14"/>
      <c r="AK452" s="17"/>
    </row>
    <row r="453" customFormat="false" ht="42.75" hidden="false" customHeight="true" outlineLevel="0" collapsed="false">
      <c r="A453" s="11" t="n">
        <v>451</v>
      </c>
      <c r="B453" s="11" t="str">
        <f aca="false">IF(I453="Y",IF(COUNTIF(I$3:I453,"Y")&lt;=20,"pilot",IF(COUNTIF(I$3:I453,"Y")&lt;=40,"dev",IF(COUNTIF(I$3:I453,"Y")&lt;=120,"test","extra"))),"")</f>
        <v/>
      </c>
      <c r="C453" s="11" t="str">
        <f aca="false">IF(I453="Y",IF(COUNTA(K453,Q453,W453,AC453,AE453)=5,"done","in progress"),IF(I453="N","excluded",""))</f>
        <v/>
      </c>
      <c r="D453" s="11" t="s">
        <v>1683</v>
      </c>
      <c r="E453" s="12" t="s">
        <v>90</v>
      </c>
      <c r="F453" s="13" t="s">
        <v>1684</v>
      </c>
      <c r="G453" s="11" t="s">
        <v>92</v>
      </c>
      <c r="H453" s="11"/>
      <c r="I453" s="14"/>
      <c r="J453" s="14"/>
      <c r="K453" s="14"/>
      <c r="L453" s="15"/>
      <c r="M453" s="14"/>
      <c r="N453" s="15"/>
      <c r="O453" s="14"/>
      <c r="P453" s="15"/>
      <c r="Q453" s="14"/>
      <c r="R453" s="15"/>
      <c r="S453" s="14"/>
      <c r="T453" s="15"/>
      <c r="U453" s="14"/>
      <c r="V453" s="15"/>
      <c r="W453" s="14"/>
      <c r="X453" s="15"/>
      <c r="Y453" s="14"/>
      <c r="Z453" s="15"/>
      <c r="AA453" s="14"/>
      <c r="AB453" s="15"/>
      <c r="AC453" s="14"/>
      <c r="AD453" s="15"/>
      <c r="AE453" s="14"/>
      <c r="AF453" s="15"/>
      <c r="AG453" s="15"/>
      <c r="AH453" s="15"/>
      <c r="AI453" s="14"/>
      <c r="AJ453" s="14"/>
      <c r="AK453" s="17"/>
    </row>
    <row r="454" customFormat="false" ht="42.75" hidden="false" customHeight="true" outlineLevel="0" collapsed="false">
      <c r="A454" s="11" t="n">
        <v>452</v>
      </c>
      <c r="B454" s="11" t="str">
        <f aca="false">IF(I454="Y",IF(COUNTIF(I$3:I454,"Y")&lt;=20,"pilot",IF(COUNTIF(I$3:I454,"Y")&lt;=40,"dev",IF(COUNTIF(I$3:I454,"Y")&lt;=120,"test","extra"))),"")</f>
        <v/>
      </c>
      <c r="C454" s="11" t="str">
        <f aca="false">IF(I454="Y",IF(COUNTA(K454,Q454,W454,AC454,AE454)=5,"done","in progress"),IF(I454="N","excluded",""))</f>
        <v/>
      </c>
      <c r="D454" s="11" t="s">
        <v>1685</v>
      </c>
      <c r="E454" s="12" t="s">
        <v>90</v>
      </c>
      <c r="F454" s="13" t="s">
        <v>1686</v>
      </c>
      <c r="G454" s="11" t="s">
        <v>681</v>
      </c>
      <c r="H454" s="11"/>
      <c r="I454" s="14"/>
      <c r="J454" s="14"/>
      <c r="K454" s="14"/>
      <c r="L454" s="15"/>
      <c r="M454" s="14"/>
      <c r="N454" s="15"/>
      <c r="O454" s="14"/>
      <c r="P454" s="15"/>
      <c r="Q454" s="14"/>
      <c r="R454" s="15"/>
      <c r="S454" s="14"/>
      <c r="T454" s="15"/>
      <c r="U454" s="14"/>
      <c r="V454" s="15"/>
      <c r="W454" s="14"/>
      <c r="X454" s="15"/>
      <c r="Y454" s="14"/>
      <c r="Z454" s="15"/>
      <c r="AA454" s="14"/>
      <c r="AB454" s="15"/>
      <c r="AC454" s="14"/>
      <c r="AD454" s="15"/>
      <c r="AE454" s="14"/>
      <c r="AF454" s="15"/>
      <c r="AG454" s="15"/>
      <c r="AH454" s="15"/>
      <c r="AI454" s="14"/>
      <c r="AJ454" s="14"/>
      <c r="AK454" s="17"/>
    </row>
    <row r="455" customFormat="false" ht="57" hidden="false" customHeight="true" outlineLevel="0" collapsed="false">
      <c r="A455" s="11" t="n">
        <v>453</v>
      </c>
      <c r="B455" s="11" t="str">
        <f aca="false">IF(I455="Y",IF(COUNTIF(I$3:I455,"Y")&lt;=20,"pilot",IF(COUNTIF(I$3:I455,"Y")&lt;=40,"dev",IF(COUNTIF(I$3:I455,"Y")&lt;=120,"test","extra"))),"")</f>
        <v/>
      </c>
      <c r="C455" s="11" t="str">
        <f aca="false">IF(I455="Y",IF(COUNTA(K455,Q455,W455,AC455,AE455)=5,"done","in progress"),IF(I455="N","excluded",""))</f>
        <v/>
      </c>
      <c r="D455" s="11" t="s">
        <v>1687</v>
      </c>
      <c r="E455" s="12" t="s">
        <v>90</v>
      </c>
      <c r="F455" s="13" t="s">
        <v>1688</v>
      </c>
      <c r="G455" s="11" t="s">
        <v>1689</v>
      </c>
      <c r="H455" s="11"/>
      <c r="I455" s="14"/>
      <c r="J455" s="14"/>
      <c r="K455" s="14"/>
      <c r="L455" s="15"/>
      <c r="M455" s="14"/>
      <c r="N455" s="15"/>
      <c r="O455" s="14"/>
      <c r="P455" s="15"/>
      <c r="Q455" s="14"/>
      <c r="R455" s="15"/>
      <c r="S455" s="14"/>
      <c r="T455" s="15"/>
      <c r="U455" s="14"/>
      <c r="V455" s="15"/>
      <c r="W455" s="14"/>
      <c r="X455" s="15"/>
      <c r="Y455" s="14"/>
      <c r="Z455" s="15"/>
      <c r="AA455" s="14"/>
      <c r="AB455" s="15"/>
      <c r="AC455" s="14"/>
      <c r="AD455" s="15"/>
      <c r="AE455" s="14"/>
      <c r="AF455" s="15"/>
      <c r="AG455" s="15"/>
      <c r="AH455" s="15"/>
      <c r="AI455" s="14"/>
      <c r="AJ455" s="14"/>
      <c r="AK455" s="17"/>
    </row>
    <row r="456" customFormat="false" ht="42.75" hidden="false" customHeight="true" outlineLevel="0" collapsed="false">
      <c r="A456" s="11" t="n">
        <v>454</v>
      </c>
      <c r="B456" s="11" t="str">
        <f aca="false">IF(I456="Y",IF(COUNTIF(I$3:I456,"Y")&lt;=20,"pilot",IF(COUNTIF(I$3:I456,"Y")&lt;=40,"dev",IF(COUNTIF(I$3:I456,"Y")&lt;=120,"test","extra"))),"")</f>
        <v/>
      </c>
      <c r="C456" s="11" t="str">
        <f aca="false">IF(I456="Y",IF(COUNTA(K456,Q456,W456,AC456,AE456)=5,"done","in progress"),IF(I456="N","excluded",""))</f>
        <v/>
      </c>
      <c r="D456" s="11" t="s">
        <v>1690</v>
      </c>
      <c r="E456" s="12" t="s">
        <v>90</v>
      </c>
      <c r="F456" s="13" t="s">
        <v>1691</v>
      </c>
      <c r="G456" s="11" t="s">
        <v>145</v>
      </c>
      <c r="H456" s="11"/>
      <c r="I456" s="14"/>
      <c r="J456" s="14"/>
      <c r="K456" s="14"/>
      <c r="L456" s="15"/>
      <c r="M456" s="14"/>
      <c r="N456" s="15"/>
      <c r="O456" s="14"/>
      <c r="P456" s="15"/>
      <c r="Q456" s="14"/>
      <c r="R456" s="15"/>
      <c r="S456" s="14"/>
      <c r="T456" s="15"/>
      <c r="U456" s="14"/>
      <c r="V456" s="15"/>
      <c r="W456" s="14"/>
      <c r="X456" s="15"/>
      <c r="Y456" s="14"/>
      <c r="Z456" s="15"/>
      <c r="AA456" s="14"/>
      <c r="AB456" s="15"/>
      <c r="AC456" s="14"/>
      <c r="AD456" s="15"/>
      <c r="AE456" s="14"/>
      <c r="AF456" s="15"/>
      <c r="AG456" s="15"/>
      <c r="AH456" s="15"/>
      <c r="AI456" s="14"/>
      <c r="AJ456" s="14"/>
      <c r="AK456" s="17"/>
    </row>
    <row r="457" customFormat="false" ht="42.75" hidden="false" customHeight="true" outlineLevel="0" collapsed="false">
      <c r="A457" s="11" t="n">
        <v>455</v>
      </c>
      <c r="B457" s="11" t="str">
        <f aca="false">IF(I457="Y",IF(COUNTIF(I$3:I457,"Y")&lt;=20,"pilot",IF(COUNTIF(I$3:I457,"Y")&lt;=40,"dev",IF(COUNTIF(I$3:I457,"Y")&lt;=120,"test","extra"))),"")</f>
        <v/>
      </c>
      <c r="C457" s="11" t="str">
        <f aca="false">IF(I457="Y",IF(COUNTA(K457,Q457,W457,AC457,AE457)=5,"done","in progress"),IF(I457="N","excluded",""))</f>
        <v/>
      </c>
      <c r="D457" s="11" t="s">
        <v>1692</v>
      </c>
      <c r="E457" s="12" t="s">
        <v>90</v>
      </c>
      <c r="F457" s="13" t="s">
        <v>1693</v>
      </c>
      <c r="G457" s="11" t="s">
        <v>1694</v>
      </c>
      <c r="H457" s="11"/>
      <c r="I457" s="14"/>
      <c r="J457" s="14"/>
      <c r="K457" s="14"/>
      <c r="L457" s="15"/>
      <c r="M457" s="14"/>
      <c r="N457" s="15"/>
      <c r="O457" s="14"/>
      <c r="P457" s="15"/>
      <c r="Q457" s="14"/>
      <c r="R457" s="15"/>
      <c r="S457" s="14"/>
      <c r="T457" s="15"/>
      <c r="U457" s="14"/>
      <c r="V457" s="15"/>
      <c r="W457" s="14"/>
      <c r="X457" s="15"/>
      <c r="Y457" s="14"/>
      <c r="Z457" s="15"/>
      <c r="AA457" s="14"/>
      <c r="AB457" s="15"/>
      <c r="AC457" s="14"/>
      <c r="AD457" s="15"/>
      <c r="AE457" s="14"/>
      <c r="AF457" s="15"/>
      <c r="AG457" s="15"/>
      <c r="AH457" s="15"/>
      <c r="AI457" s="14"/>
      <c r="AJ457" s="14"/>
      <c r="AK457" s="17"/>
    </row>
    <row r="458" customFormat="false" ht="57" hidden="false" customHeight="true" outlineLevel="0" collapsed="false">
      <c r="A458" s="11" t="n">
        <v>456</v>
      </c>
      <c r="B458" s="11" t="str">
        <f aca="false">IF(I458="Y",IF(COUNTIF(I$3:I458,"Y")&lt;=20,"pilot",IF(COUNTIF(I$3:I458,"Y")&lt;=40,"dev",IF(COUNTIF(I$3:I458,"Y")&lt;=120,"test","extra"))),"")</f>
        <v/>
      </c>
      <c r="C458" s="11" t="str">
        <f aca="false">IF(I458="Y",IF(COUNTA(K458,Q458,W458,AC458,AE458)=5,"done","in progress"),IF(I458="N","excluded",""))</f>
        <v/>
      </c>
      <c r="D458" s="11" t="s">
        <v>1695</v>
      </c>
      <c r="E458" s="12" t="s">
        <v>90</v>
      </c>
      <c r="F458" s="13" t="s">
        <v>1696</v>
      </c>
      <c r="G458" s="11" t="s">
        <v>193</v>
      </c>
      <c r="H458" s="11"/>
      <c r="I458" s="14"/>
      <c r="J458" s="14"/>
      <c r="K458" s="14"/>
      <c r="L458" s="15"/>
      <c r="M458" s="14"/>
      <c r="N458" s="15"/>
      <c r="O458" s="14"/>
      <c r="P458" s="15"/>
      <c r="Q458" s="14"/>
      <c r="R458" s="15"/>
      <c r="S458" s="14"/>
      <c r="T458" s="15"/>
      <c r="U458" s="14"/>
      <c r="V458" s="15"/>
      <c r="W458" s="14"/>
      <c r="X458" s="15"/>
      <c r="Y458" s="14"/>
      <c r="Z458" s="15"/>
      <c r="AA458" s="14"/>
      <c r="AB458" s="15"/>
      <c r="AC458" s="14"/>
      <c r="AD458" s="15"/>
      <c r="AE458" s="14"/>
      <c r="AF458" s="15"/>
      <c r="AG458" s="15"/>
      <c r="AH458" s="15"/>
      <c r="AI458" s="14"/>
      <c r="AJ458" s="14"/>
      <c r="AK458" s="17"/>
    </row>
    <row r="459" customFormat="false" ht="28.5" hidden="false" customHeight="true" outlineLevel="0" collapsed="false">
      <c r="A459" s="11" t="n">
        <v>457</v>
      </c>
      <c r="B459" s="11" t="str">
        <f aca="false">IF(I459="Y",IF(COUNTIF(I$3:I459,"Y")&lt;=20,"pilot",IF(COUNTIF(I$3:I459,"Y")&lt;=40,"dev",IF(COUNTIF(I$3:I459,"Y")&lt;=120,"test","extra"))),"")</f>
        <v/>
      </c>
      <c r="C459" s="11" t="str">
        <f aca="false">IF(I459="Y",IF(COUNTA(K459,Q459,W459,AC459,AE459)=5,"done","in progress"),IF(I459="N","excluded",""))</f>
        <v/>
      </c>
      <c r="D459" s="11" t="s">
        <v>1697</v>
      </c>
      <c r="E459" s="12" t="s">
        <v>90</v>
      </c>
      <c r="F459" s="13" t="s">
        <v>1698</v>
      </c>
      <c r="G459" s="11" t="s">
        <v>125</v>
      </c>
      <c r="H459" s="11"/>
      <c r="I459" s="14"/>
      <c r="J459" s="14"/>
      <c r="K459" s="14"/>
      <c r="L459" s="15"/>
      <c r="M459" s="14"/>
      <c r="N459" s="15"/>
      <c r="O459" s="14"/>
      <c r="P459" s="15"/>
      <c r="Q459" s="14"/>
      <c r="R459" s="15"/>
      <c r="S459" s="14"/>
      <c r="T459" s="15"/>
      <c r="U459" s="14"/>
      <c r="V459" s="15"/>
      <c r="W459" s="14"/>
      <c r="X459" s="15"/>
      <c r="Y459" s="14"/>
      <c r="Z459" s="15"/>
      <c r="AA459" s="14"/>
      <c r="AB459" s="15"/>
      <c r="AC459" s="14"/>
      <c r="AD459" s="15"/>
      <c r="AE459" s="14"/>
      <c r="AF459" s="15"/>
      <c r="AG459" s="15"/>
      <c r="AH459" s="15"/>
      <c r="AI459" s="14"/>
      <c r="AJ459" s="14"/>
      <c r="AK459" s="17"/>
    </row>
    <row r="460" customFormat="false" ht="42.75" hidden="false" customHeight="true" outlineLevel="0" collapsed="false">
      <c r="A460" s="11" t="n">
        <v>458</v>
      </c>
      <c r="B460" s="11" t="str">
        <f aca="false">IF(I460="Y",IF(COUNTIF(I$3:I460,"Y")&lt;=20,"pilot",IF(COUNTIF(I$3:I460,"Y")&lt;=40,"dev",IF(COUNTIF(I$3:I460,"Y")&lt;=120,"test","extra"))),"")</f>
        <v/>
      </c>
      <c r="C460" s="11" t="str">
        <f aca="false">IF(I460="Y",IF(COUNTA(K460,Q460,W460,AC460,AE460)=5,"done","in progress"),IF(I460="N","excluded",""))</f>
        <v/>
      </c>
      <c r="D460" s="11" t="s">
        <v>1699</v>
      </c>
      <c r="E460" s="12" t="s">
        <v>90</v>
      </c>
      <c r="F460" s="13" t="s">
        <v>1700</v>
      </c>
      <c r="G460" s="11" t="s">
        <v>1281</v>
      </c>
      <c r="H460" s="11"/>
      <c r="I460" s="14"/>
      <c r="J460" s="14"/>
      <c r="K460" s="14"/>
      <c r="L460" s="15"/>
      <c r="M460" s="14"/>
      <c r="N460" s="15"/>
      <c r="O460" s="14"/>
      <c r="P460" s="15"/>
      <c r="Q460" s="14"/>
      <c r="R460" s="15"/>
      <c r="S460" s="14"/>
      <c r="T460" s="15"/>
      <c r="U460" s="14"/>
      <c r="V460" s="15"/>
      <c r="W460" s="14"/>
      <c r="X460" s="15"/>
      <c r="Y460" s="14"/>
      <c r="Z460" s="15"/>
      <c r="AA460" s="14"/>
      <c r="AB460" s="15"/>
      <c r="AC460" s="14"/>
      <c r="AD460" s="15"/>
      <c r="AE460" s="14"/>
      <c r="AF460" s="15"/>
      <c r="AG460" s="15"/>
      <c r="AH460" s="15"/>
      <c r="AI460" s="14"/>
      <c r="AJ460" s="14"/>
      <c r="AK460" s="17"/>
    </row>
    <row r="461" customFormat="false" ht="28.5" hidden="false" customHeight="true" outlineLevel="0" collapsed="false">
      <c r="A461" s="11" t="n">
        <v>459</v>
      </c>
      <c r="B461" s="11" t="str">
        <f aca="false">IF(I461="Y",IF(COUNTIF(I$3:I461,"Y")&lt;=20,"pilot",IF(COUNTIF(I$3:I461,"Y")&lt;=40,"dev",IF(COUNTIF(I$3:I461,"Y")&lt;=120,"test","extra"))),"")</f>
        <v/>
      </c>
      <c r="C461" s="11" t="str">
        <f aca="false">IF(I461="Y",IF(COUNTA(K461,Q461,W461,AC461,AE461)=5,"done","in progress"),IF(I461="N","excluded",""))</f>
        <v/>
      </c>
      <c r="D461" s="11" t="s">
        <v>1701</v>
      </c>
      <c r="E461" s="12" t="s">
        <v>90</v>
      </c>
      <c r="F461" s="13" t="s">
        <v>1702</v>
      </c>
      <c r="G461" s="11" t="s">
        <v>476</v>
      </c>
      <c r="H461" s="11"/>
      <c r="I461" s="14"/>
      <c r="J461" s="14"/>
      <c r="K461" s="14"/>
      <c r="L461" s="15"/>
      <c r="M461" s="14"/>
      <c r="N461" s="15"/>
      <c r="O461" s="14"/>
      <c r="P461" s="15"/>
      <c r="Q461" s="14"/>
      <c r="R461" s="15"/>
      <c r="S461" s="14"/>
      <c r="T461" s="15"/>
      <c r="U461" s="14"/>
      <c r="V461" s="15"/>
      <c r="W461" s="14"/>
      <c r="X461" s="15"/>
      <c r="Y461" s="14"/>
      <c r="Z461" s="15"/>
      <c r="AA461" s="14"/>
      <c r="AB461" s="15"/>
      <c r="AC461" s="14"/>
      <c r="AD461" s="15"/>
      <c r="AE461" s="14"/>
      <c r="AF461" s="15"/>
      <c r="AG461" s="15"/>
      <c r="AH461" s="15"/>
      <c r="AI461" s="14"/>
      <c r="AJ461" s="14"/>
      <c r="AK461" s="17"/>
    </row>
    <row r="462" customFormat="false" ht="42.75" hidden="false" customHeight="true" outlineLevel="0" collapsed="false">
      <c r="A462" s="11" t="n">
        <v>460</v>
      </c>
      <c r="B462" s="11" t="str">
        <f aca="false">IF(I462="Y",IF(COUNTIF(I$3:I462,"Y")&lt;=20,"pilot",IF(COUNTIF(I$3:I462,"Y")&lt;=40,"dev",IF(COUNTIF(I$3:I462,"Y")&lt;=120,"test","extra"))),"")</f>
        <v/>
      </c>
      <c r="C462" s="11" t="str">
        <f aca="false">IF(I462="Y",IF(COUNTA(K462,Q462,W462,AC462,AE462)=5,"done","in progress"),IF(I462="N","excluded",""))</f>
        <v/>
      </c>
      <c r="D462" s="11" t="s">
        <v>1703</v>
      </c>
      <c r="E462" s="12" t="s">
        <v>90</v>
      </c>
      <c r="F462" s="13" t="s">
        <v>1704</v>
      </c>
      <c r="G462" s="11" t="s">
        <v>136</v>
      </c>
      <c r="H462" s="11"/>
      <c r="I462" s="14"/>
      <c r="J462" s="14"/>
      <c r="K462" s="14"/>
      <c r="L462" s="15"/>
      <c r="M462" s="14"/>
      <c r="N462" s="15"/>
      <c r="O462" s="14"/>
      <c r="P462" s="15"/>
      <c r="Q462" s="14"/>
      <c r="R462" s="15"/>
      <c r="S462" s="14"/>
      <c r="T462" s="15"/>
      <c r="U462" s="14"/>
      <c r="V462" s="15"/>
      <c r="W462" s="14"/>
      <c r="X462" s="15"/>
      <c r="Y462" s="14"/>
      <c r="Z462" s="15"/>
      <c r="AA462" s="14"/>
      <c r="AB462" s="15"/>
      <c r="AC462" s="14"/>
      <c r="AD462" s="15"/>
      <c r="AE462" s="14"/>
      <c r="AF462" s="15"/>
      <c r="AG462" s="15"/>
      <c r="AH462" s="15"/>
      <c r="AI462" s="14"/>
      <c r="AJ462" s="14"/>
      <c r="AK462" s="17"/>
    </row>
    <row r="463" customFormat="false" ht="28.5" hidden="false" customHeight="true" outlineLevel="0" collapsed="false">
      <c r="A463" s="11" t="n">
        <v>461</v>
      </c>
      <c r="B463" s="11" t="str">
        <f aca="false">IF(I463="Y",IF(COUNTIF(I$3:I463,"Y")&lt;=20,"pilot",IF(COUNTIF(I$3:I463,"Y")&lt;=40,"dev",IF(COUNTIF(I$3:I463,"Y")&lt;=120,"test","extra"))),"")</f>
        <v/>
      </c>
      <c r="C463" s="11" t="str">
        <f aca="false">IF(I463="Y",IF(COUNTA(K463,Q463,W463,AC463,AE463)=5,"done","in progress"),IF(I463="N","excluded",""))</f>
        <v/>
      </c>
      <c r="D463" s="11" t="s">
        <v>1705</v>
      </c>
      <c r="E463" s="12" t="s">
        <v>90</v>
      </c>
      <c r="F463" s="13" t="s">
        <v>1706</v>
      </c>
      <c r="G463" s="11" t="s">
        <v>168</v>
      </c>
      <c r="H463" s="11"/>
      <c r="I463" s="14"/>
      <c r="J463" s="14"/>
      <c r="K463" s="14"/>
      <c r="L463" s="15"/>
      <c r="M463" s="14"/>
      <c r="N463" s="15"/>
      <c r="O463" s="14"/>
      <c r="P463" s="15"/>
      <c r="Q463" s="14"/>
      <c r="R463" s="15"/>
      <c r="S463" s="14"/>
      <c r="T463" s="15"/>
      <c r="U463" s="14"/>
      <c r="V463" s="15"/>
      <c r="W463" s="14"/>
      <c r="X463" s="15"/>
      <c r="Y463" s="14"/>
      <c r="Z463" s="15"/>
      <c r="AA463" s="14"/>
      <c r="AB463" s="15"/>
      <c r="AC463" s="14"/>
      <c r="AD463" s="15"/>
      <c r="AE463" s="14"/>
      <c r="AF463" s="15"/>
      <c r="AG463" s="15"/>
      <c r="AH463" s="15"/>
      <c r="AI463" s="14"/>
      <c r="AJ463" s="14"/>
      <c r="AK463" s="17"/>
    </row>
    <row r="464" customFormat="false" ht="28.5" hidden="false" customHeight="true" outlineLevel="0" collapsed="false">
      <c r="A464" s="11" t="n">
        <v>462</v>
      </c>
      <c r="B464" s="11" t="str">
        <f aca="false">IF(I464="Y",IF(COUNTIF(I$3:I464,"Y")&lt;=20,"pilot",IF(COUNTIF(I$3:I464,"Y")&lt;=40,"dev",IF(COUNTIF(I$3:I464,"Y")&lt;=120,"test","extra"))),"")</f>
        <v/>
      </c>
      <c r="C464" s="11" t="str">
        <f aca="false">IF(I464="Y",IF(COUNTA(K464,Q464,W464,AC464,AE464)=5,"done","in progress"),IF(I464="N","excluded",""))</f>
        <v/>
      </c>
      <c r="D464" s="11" t="s">
        <v>1707</v>
      </c>
      <c r="E464" s="12" t="s">
        <v>90</v>
      </c>
      <c r="F464" s="13" t="s">
        <v>1708</v>
      </c>
      <c r="G464" s="11" t="s">
        <v>1709</v>
      </c>
      <c r="H464" s="11"/>
      <c r="I464" s="14"/>
      <c r="J464" s="14"/>
      <c r="K464" s="14"/>
      <c r="L464" s="15"/>
      <c r="M464" s="14"/>
      <c r="N464" s="15"/>
      <c r="O464" s="14"/>
      <c r="P464" s="15"/>
      <c r="Q464" s="14"/>
      <c r="R464" s="15"/>
      <c r="S464" s="14"/>
      <c r="T464" s="15"/>
      <c r="U464" s="14"/>
      <c r="V464" s="15"/>
      <c r="W464" s="14"/>
      <c r="X464" s="15"/>
      <c r="Y464" s="14"/>
      <c r="Z464" s="15"/>
      <c r="AA464" s="14"/>
      <c r="AB464" s="15"/>
      <c r="AC464" s="14"/>
      <c r="AD464" s="15"/>
      <c r="AE464" s="14"/>
      <c r="AF464" s="15"/>
      <c r="AG464" s="15"/>
      <c r="AH464" s="15"/>
      <c r="AI464" s="14"/>
      <c r="AJ464" s="14"/>
      <c r="AK464" s="17"/>
    </row>
    <row r="465" customFormat="false" ht="42.75" hidden="false" customHeight="true" outlineLevel="0" collapsed="false">
      <c r="A465" s="11" t="n">
        <v>463</v>
      </c>
      <c r="B465" s="11" t="str">
        <f aca="false">IF(I465="Y",IF(COUNTIF(I$3:I465,"Y")&lt;=20,"pilot",IF(COUNTIF(I$3:I465,"Y")&lt;=40,"dev",IF(COUNTIF(I$3:I465,"Y")&lt;=120,"test","extra"))),"")</f>
        <v/>
      </c>
      <c r="C465" s="11" t="str">
        <f aca="false">IF(I465="Y",IF(COUNTA(K465,Q465,W465,AC465,AE465)=5,"done","in progress"),IF(I465="N","excluded",""))</f>
        <v/>
      </c>
      <c r="D465" s="11" t="s">
        <v>1710</v>
      </c>
      <c r="E465" s="12" t="s">
        <v>90</v>
      </c>
      <c r="F465" s="13" t="s">
        <v>1711</v>
      </c>
      <c r="G465" s="11" t="s">
        <v>306</v>
      </c>
      <c r="H465" s="11" t="s">
        <v>1712</v>
      </c>
      <c r="I465" s="14"/>
      <c r="J465" s="14"/>
      <c r="K465" s="14"/>
      <c r="L465" s="15"/>
      <c r="M465" s="14"/>
      <c r="N465" s="15"/>
      <c r="O465" s="14"/>
      <c r="P465" s="15"/>
      <c r="Q465" s="14"/>
      <c r="R465" s="15"/>
      <c r="S465" s="14"/>
      <c r="T465" s="15"/>
      <c r="U465" s="14"/>
      <c r="V465" s="15"/>
      <c r="W465" s="14"/>
      <c r="X465" s="15"/>
      <c r="Y465" s="14"/>
      <c r="Z465" s="15"/>
      <c r="AA465" s="14"/>
      <c r="AB465" s="15"/>
      <c r="AC465" s="14"/>
      <c r="AD465" s="15"/>
      <c r="AE465" s="14"/>
      <c r="AF465" s="15"/>
      <c r="AG465" s="15"/>
      <c r="AH465" s="15"/>
      <c r="AI465" s="14"/>
      <c r="AJ465" s="14"/>
      <c r="AK465" s="17"/>
    </row>
    <row r="466" customFormat="false" ht="42.75" hidden="false" customHeight="true" outlineLevel="0" collapsed="false">
      <c r="A466" s="11" t="n">
        <v>464</v>
      </c>
      <c r="B466" s="11" t="str">
        <f aca="false">IF(I466="Y",IF(COUNTIF(I$3:I466,"Y")&lt;=20,"pilot",IF(COUNTIF(I$3:I466,"Y")&lt;=40,"dev",IF(COUNTIF(I$3:I466,"Y")&lt;=120,"test","extra"))),"")</f>
        <v/>
      </c>
      <c r="C466" s="11" t="str">
        <f aca="false">IF(I466="Y",IF(COUNTA(K466,Q466,W466,AC466,AE466)=5,"done","in progress"),IF(I466="N","excluded",""))</f>
        <v/>
      </c>
      <c r="D466" s="11" t="s">
        <v>1713</v>
      </c>
      <c r="E466" s="12" t="s">
        <v>90</v>
      </c>
      <c r="F466" s="13" t="s">
        <v>1714</v>
      </c>
      <c r="G466" s="11" t="s">
        <v>145</v>
      </c>
      <c r="H466" s="11"/>
      <c r="I466" s="14"/>
      <c r="J466" s="14"/>
      <c r="K466" s="14"/>
      <c r="L466" s="15"/>
      <c r="M466" s="14"/>
      <c r="N466" s="15"/>
      <c r="O466" s="14"/>
      <c r="P466" s="15"/>
      <c r="Q466" s="14"/>
      <c r="R466" s="15"/>
      <c r="S466" s="14"/>
      <c r="T466" s="15"/>
      <c r="U466" s="14"/>
      <c r="V466" s="15"/>
      <c r="W466" s="14"/>
      <c r="X466" s="15"/>
      <c r="Y466" s="14"/>
      <c r="Z466" s="15"/>
      <c r="AA466" s="14"/>
      <c r="AB466" s="15"/>
      <c r="AC466" s="14"/>
      <c r="AD466" s="15"/>
      <c r="AE466" s="14"/>
      <c r="AF466" s="15"/>
      <c r="AG466" s="15"/>
      <c r="AH466" s="15"/>
      <c r="AI466" s="14"/>
      <c r="AJ466" s="14"/>
      <c r="AK466" s="17"/>
    </row>
    <row r="467" customFormat="false" ht="42.75" hidden="false" customHeight="true" outlineLevel="0" collapsed="false">
      <c r="A467" s="11" t="n">
        <v>465</v>
      </c>
      <c r="B467" s="11" t="str">
        <f aca="false">IF(I467="Y",IF(COUNTIF(I$3:I467,"Y")&lt;=20,"pilot",IF(COUNTIF(I$3:I467,"Y")&lt;=40,"dev",IF(COUNTIF(I$3:I467,"Y")&lt;=120,"test","extra"))),"")</f>
        <v/>
      </c>
      <c r="C467" s="11" t="str">
        <f aca="false">IF(I467="Y",IF(COUNTA(K467,Q467,W467,AC467,AE467)=5,"done","in progress"),IF(I467="N","excluded",""))</f>
        <v/>
      </c>
      <c r="D467" s="11" t="s">
        <v>1715</v>
      </c>
      <c r="E467" s="12" t="s">
        <v>90</v>
      </c>
      <c r="F467" s="13" t="s">
        <v>1716</v>
      </c>
      <c r="G467" s="11" t="s">
        <v>193</v>
      </c>
      <c r="H467" s="11"/>
      <c r="I467" s="14"/>
      <c r="J467" s="14"/>
      <c r="K467" s="14"/>
      <c r="L467" s="15"/>
      <c r="M467" s="14"/>
      <c r="N467" s="15"/>
      <c r="O467" s="14"/>
      <c r="P467" s="15"/>
      <c r="Q467" s="14"/>
      <c r="R467" s="15"/>
      <c r="S467" s="14"/>
      <c r="T467" s="15"/>
      <c r="U467" s="14"/>
      <c r="V467" s="15"/>
      <c r="W467" s="14"/>
      <c r="X467" s="15"/>
      <c r="Y467" s="14"/>
      <c r="Z467" s="15"/>
      <c r="AA467" s="14"/>
      <c r="AB467" s="15"/>
      <c r="AC467" s="14"/>
      <c r="AD467" s="15"/>
      <c r="AE467" s="14"/>
      <c r="AF467" s="15"/>
      <c r="AG467" s="15"/>
      <c r="AH467" s="15"/>
      <c r="AI467" s="14"/>
      <c r="AJ467" s="14"/>
      <c r="AK467" s="17"/>
    </row>
    <row r="468" customFormat="false" ht="42.75" hidden="false" customHeight="true" outlineLevel="0" collapsed="false">
      <c r="A468" s="11" t="n">
        <v>466</v>
      </c>
      <c r="B468" s="11" t="str">
        <f aca="false">IF(I468="Y",IF(COUNTIF(I$3:I468,"Y")&lt;=20,"pilot",IF(COUNTIF(I$3:I468,"Y")&lt;=40,"dev",IF(COUNTIF(I$3:I468,"Y")&lt;=120,"test","extra"))),"")</f>
        <v/>
      </c>
      <c r="C468" s="11" t="str">
        <f aca="false">IF(I468="Y",IF(COUNTA(K468,Q468,W468,AC468,AE468)=5,"done","in progress"),IF(I468="N","excluded",""))</f>
        <v/>
      </c>
      <c r="D468" s="11" t="s">
        <v>1717</v>
      </c>
      <c r="E468" s="12" t="s">
        <v>90</v>
      </c>
      <c r="F468" s="13" t="s">
        <v>1718</v>
      </c>
      <c r="G468" s="11" t="s">
        <v>118</v>
      </c>
      <c r="H468" s="11"/>
      <c r="I468" s="14"/>
      <c r="J468" s="14"/>
      <c r="K468" s="14"/>
      <c r="L468" s="15"/>
      <c r="M468" s="14"/>
      <c r="N468" s="15"/>
      <c r="O468" s="14"/>
      <c r="P468" s="15"/>
      <c r="Q468" s="14"/>
      <c r="R468" s="15"/>
      <c r="S468" s="14"/>
      <c r="T468" s="15"/>
      <c r="U468" s="14"/>
      <c r="V468" s="15"/>
      <c r="W468" s="14"/>
      <c r="X468" s="15"/>
      <c r="Y468" s="14"/>
      <c r="Z468" s="15"/>
      <c r="AA468" s="14"/>
      <c r="AB468" s="15"/>
      <c r="AC468" s="14"/>
      <c r="AD468" s="15"/>
      <c r="AE468" s="14"/>
      <c r="AF468" s="15"/>
      <c r="AG468" s="15"/>
      <c r="AH468" s="15"/>
      <c r="AI468" s="14"/>
      <c r="AJ468" s="14"/>
      <c r="AK468" s="17"/>
    </row>
    <row r="469" customFormat="false" ht="42.75" hidden="false" customHeight="true" outlineLevel="0" collapsed="false">
      <c r="A469" s="11" t="n">
        <v>467</v>
      </c>
      <c r="B469" s="11" t="str">
        <f aca="false">IF(I469="Y",IF(COUNTIF(I$3:I469,"Y")&lt;=20,"pilot",IF(COUNTIF(I$3:I469,"Y")&lt;=40,"dev",IF(COUNTIF(I$3:I469,"Y")&lt;=120,"test","extra"))),"")</f>
        <v/>
      </c>
      <c r="C469" s="11" t="str">
        <f aca="false">IF(I469="Y",IF(COUNTA(K469,Q469,W469,AC469,AE469)=5,"done","in progress"),IF(I469="N","excluded",""))</f>
        <v/>
      </c>
      <c r="D469" s="11" t="s">
        <v>1719</v>
      </c>
      <c r="E469" s="12" t="s">
        <v>90</v>
      </c>
      <c r="F469" s="13" t="s">
        <v>1720</v>
      </c>
      <c r="G469" s="11" t="s">
        <v>788</v>
      </c>
      <c r="H469" s="11"/>
      <c r="I469" s="14"/>
      <c r="J469" s="14"/>
      <c r="K469" s="14"/>
      <c r="L469" s="15"/>
      <c r="M469" s="14"/>
      <c r="N469" s="15"/>
      <c r="O469" s="14"/>
      <c r="P469" s="15"/>
      <c r="Q469" s="14"/>
      <c r="R469" s="15"/>
      <c r="S469" s="14"/>
      <c r="T469" s="15"/>
      <c r="U469" s="14"/>
      <c r="V469" s="15"/>
      <c r="W469" s="14"/>
      <c r="X469" s="15"/>
      <c r="Y469" s="14"/>
      <c r="Z469" s="15"/>
      <c r="AA469" s="14"/>
      <c r="AB469" s="15"/>
      <c r="AC469" s="14"/>
      <c r="AD469" s="15"/>
      <c r="AE469" s="14"/>
      <c r="AF469" s="15"/>
      <c r="AG469" s="15"/>
      <c r="AH469" s="15"/>
      <c r="AI469" s="14"/>
      <c r="AJ469" s="14"/>
      <c r="AK469" s="17"/>
    </row>
    <row r="470" customFormat="false" ht="28.5" hidden="false" customHeight="true" outlineLevel="0" collapsed="false">
      <c r="A470" s="11" t="n">
        <v>468</v>
      </c>
      <c r="B470" s="11" t="str">
        <f aca="false">IF(I470="Y",IF(COUNTIF(I$3:I470,"Y")&lt;=20,"pilot",IF(COUNTIF(I$3:I470,"Y")&lt;=40,"dev",IF(COUNTIF(I$3:I470,"Y")&lt;=120,"test","extra"))),"")</f>
        <v/>
      </c>
      <c r="C470" s="11" t="str">
        <f aca="false">IF(I470="Y",IF(COUNTA(K470,Q470,W470,AC470,AE470)=5,"done","in progress"),IF(I470="N","excluded",""))</f>
        <v/>
      </c>
      <c r="D470" s="11" t="s">
        <v>1721</v>
      </c>
      <c r="E470" s="12" t="s">
        <v>90</v>
      </c>
      <c r="F470" s="13" t="s">
        <v>1722</v>
      </c>
      <c r="G470" s="11" t="s">
        <v>1723</v>
      </c>
      <c r="H470" s="11"/>
      <c r="I470" s="14"/>
      <c r="J470" s="14"/>
      <c r="K470" s="14"/>
      <c r="L470" s="15"/>
      <c r="M470" s="14"/>
      <c r="N470" s="15"/>
      <c r="O470" s="14"/>
      <c r="P470" s="15"/>
      <c r="Q470" s="14"/>
      <c r="R470" s="15"/>
      <c r="S470" s="14"/>
      <c r="T470" s="15"/>
      <c r="U470" s="14"/>
      <c r="V470" s="15"/>
      <c r="W470" s="14"/>
      <c r="X470" s="15"/>
      <c r="Y470" s="14"/>
      <c r="Z470" s="15"/>
      <c r="AA470" s="14"/>
      <c r="AB470" s="15"/>
      <c r="AC470" s="14"/>
      <c r="AD470" s="15"/>
      <c r="AE470" s="14"/>
      <c r="AF470" s="15"/>
      <c r="AG470" s="15"/>
      <c r="AH470" s="15"/>
      <c r="AI470" s="14"/>
      <c r="AJ470" s="14"/>
      <c r="AK470" s="17"/>
    </row>
    <row r="471" customFormat="false" ht="42.75" hidden="false" customHeight="true" outlineLevel="0" collapsed="false">
      <c r="A471" s="11" t="n">
        <v>469</v>
      </c>
      <c r="B471" s="11" t="str">
        <f aca="false">IF(I471="Y",IF(COUNTIF(I$3:I471,"Y")&lt;=20,"pilot",IF(COUNTIF(I$3:I471,"Y")&lt;=40,"dev",IF(COUNTIF(I$3:I471,"Y")&lt;=120,"test","extra"))),"")</f>
        <v/>
      </c>
      <c r="C471" s="11" t="str">
        <f aca="false">IF(I471="Y",IF(COUNTA(K471,Q471,W471,AC471,AE471)=5,"done","in progress"),IF(I471="N","excluded",""))</f>
        <v/>
      </c>
      <c r="D471" s="11" t="s">
        <v>1724</v>
      </c>
      <c r="E471" s="12" t="s">
        <v>90</v>
      </c>
      <c r="F471" s="13" t="s">
        <v>1725</v>
      </c>
      <c r="G471" s="11" t="s">
        <v>193</v>
      </c>
      <c r="H471" s="11"/>
      <c r="I471" s="14"/>
      <c r="J471" s="14"/>
      <c r="K471" s="14"/>
      <c r="L471" s="15"/>
      <c r="M471" s="14"/>
      <c r="N471" s="15"/>
      <c r="O471" s="14"/>
      <c r="P471" s="15"/>
      <c r="Q471" s="14"/>
      <c r="R471" s="15"/>
      <c r="S471" s="14"/>
      <c r="T471" s="15"/>
      <c r="U471" s="14"/>
      <c r="V471" s="15"/>
      <c r="W471" s="14"/>
      <c r="X471" s="15"/>
      <c r="Y471" s="14"/>
      <c r="Z471" s="15"/>
      <c r="AA471" s="14"/>
      <c r="AB471" s="15"/>
      <c r="AC471" s="14"/>
      <c r="AD471" s="15"/>
      <c r="AE471" s="14"/>
      <c r="AF471" s="15"/>
      <c r="AG471" s="15"/>
      <c r="AH471" s="15"/>
      <c r="AI471" s="14"/>
      <c r="AJ471" s="14"/>
      <c r="AK471" s="17"/>
    </row>
    <row r="472" customFormat="false" ht="42.75" hidden="false" customHeight="true" outlineLevel="0" collapsed="false">
      <c r="A472" s="11" t="n">
        <v>470</v>
      </c>
      <c r="B472" s="11" t="str">
        <f aca="false">IF(I472="Y",IF(COUNTIF(I$3:I472,"Y")&lt;=20,"pilot",IF(COUNTIF(I$3:I472,"Y")&lt;=40,"dev",IF(COUNTIF(I$3:I472,"Y")&lt;=120,"test","extra"))),"")</f>
        <v/>
      </c>
      <c r="C472" s="11" t="str">
        <f aca="false">IF(I472="Y",IF(COUNTA(K472,Q472,W472,AC472,AE472)=5,"done","in progress"),IF(I472="N","excluded",""))</f>
        <v/>
      </c>
      <c r="D472" s="11" t="s">
        <v>1726</v>
      </c>
      <c r="E472" s="12" t="s">
        <v>90</v>
      </c>
      <c r="F472" s="13" t="s">
        <v>1727</v>
      </c>
      <c r="G472" s="11" t="s">
        <v>644</v>
      </c>
      <c r="H472" s="11"/>
      <c r="I472" s="14"/>
      <c r="J472" s="14"/>
      <c r="K472" s="14"/>
      <c r="L472" s="15"/>
      <c r="M472" s="14"/>
      <c r="N472" s="15"/>
      <c r="O472" s="14"/>
      <c r="P472" s="15"/>
      <c r="Q472" s="14"/>
      <c r="R472" s="15"/>
      <c r="S472" s="14"/>
      <c r="T472" s="15"/>
      <c r="U472" s="14"/>
      <c r="V472" s="15"/>
      <c r="W472" s="14"/>
      <c r="X472" s="15"/>
      <c r="Y472" s="14"/>
      <c r="Z472" s="15"/>
      <c r="AA472" s="14"/>
      <c r="AB472" s="15"/>
      <c r="AC472" s="14"/>
      <c r="AD472" s="15"/>
      <c r="AE472" s="14"/>
      <c r="AF472" s="15"/>
      <c r="AG472" s="15"/>
      <c r="AH472" s="15"/>
      <c r="AI472" s="14"/>
      <c r="AJ472" s="14"/>
      <c r="AK472" s="17"/>
    </row>
    <row r="473" customFormat="false" ht="28.5" hidden="false" customHeight="true" outlineLevel="0" collapsed="false">
      <c r="A473" s="11" t="n">
        <v>471</v>
      </c>
      <c r="B473" s="11" t="str">
        <f aca="false">IF(I473="Y",IF(COUNTIF(I$3:I473,"Y")&lt;=20,"pilot",IF(COUNTIF(I$3:I473,"Y")&lt;=40,"dev",IF(COUNTIF(I$3:I473,"Y")&lt;=120,"test","extra"))),"")</f>
        <v/>
      </c>
      <c r="C473" s="11" t="str">
        <f aca="false">IF(I473="Y",IF(COUNTA(K473,Q473,W473,AC473,AE473)=5,"done","in progress"),IF(I473="N","excluded",""))</f>
        <v/>
      </c>
      <c r="D473" s="11" t="s">
        <v>1728</v>
      </c>
      <c r="E473" s="12" t="s">
        <v>90</v>
      </c>
      <c r="F473" s="13" t="s">
        <v>1729</v>
      </c>
      <c r="G473" s="11" t="s">
        <v>205</v>
      </c>
      <c r="H473" s="11"/>
      <c r="I473" s="14"/>
      <c r="J473" s="14"/>
      <c r="K473" s="14"/>
      <c r="L473" s="15"/>
      <c r="M473" s="14"/>
      <c r="N473" s="15"/>
      <c r="O473" s="14"/>
      <c r="P473" s="15"/>
      <c r="Q473" s="14"/>
      <c r="R473" s="15"/>
      <c r="S473" s="14"/>
      <c r="T473" s="15"/>
      <c r="U473" s="14"/>
      <c r="V473" s="15"/>
      <c r="W473" s="14"/>
      <c r="X473" s="15"/>
      <c r="Y473" s="14"/>
      <c r="Z473" s="15"/>
      <c r="AA473" s="14"/>
      <c r="AB473" s="15"/>
      <c r="AC473" s="14"/>
      <c r="AD473" s="15"/>
      <c r="AE473" s="14"/>
      <c r="AF473" s="15"/>
      <c r="AG473" s="15"/>
      <c r="AH473" s="15"/>
      <c r="AI473" s="14"/>
      <c r="AJ473" s="14"/>
      <c r="AK473" s="17"/>
    </row>
    <row r="474" customFormat="false" ht="42.75" hidden="false" customHeight="true" outlineLevel="0" collapsed="false">
      <c r="A474" s="11" t="n">
        <v>472</v>
      </c>
      <c r="B474" s="11" t="str">
        <f aca="false">IF(I474="Y",IF(COUNTIF(I$3:I474,"Y")&lt;=20,"pilot",IF(COUNTIF(I$3:I474,"Y")&lt;=40,"dev",IF(COUNTIF(I$3:I474,"Y")&lt;=120,"test","extra"))),"")</f>
        <v/>
      </c>
      <c r="C474" s="11" t="str">
        <f aca="false">IF(I474="Y",IF(COUNTA(K474,Q474,W474,AC474,AE474)=5,"done","in progress"),IF(I474="N","excluded",""))</f>
        <v/>
      </c>
      <c r="D474" s="11" t="s">
        <v>1730</v>
      </c>
      <c r="E474" s="12" t="s">
        <v>90</v>
      </c>
      <c r="F474" s="13" t="s">
        <v>1731</v>
      </c>
      <c r="G474" s="11" t="s">
        <v>145</v>
      </c>
      <c r="H474" s="11"/>
      <c r="I474" s="14"/>
      <c r="J474" s="14"/>
      <c r="K474" s="14"/>
      <c r="L474" s="15"/>
      <c r="M474" s="14"/>
      <c r="N474" s="15"/>
      <c r="O474" s="14"/>
      <c r="P474" s="15"/>
      <c r="Q474" s="14"/>
      <c r="R474" s="15"/>
      <c r="S474" s="14"/>
      <c r="T474" s="15"/>
      <c r="U474" s="14"/>
      <c r="V474" s="15"/>
      <c r="W474" s="14"/>
      <c r="X474" s="15"/>
      <c r="Y474" s="14"/>
      <c r="Z474" s="15"/>
      <c r="AA474" s="14"/>
      <c r="AB474" s="15"/>
      <c r="AC474" s="14"/>
      <c r="AD474" s="15"/>
      <c r="AE474" s="14"/>
      <c r="AF474" s="15"/>
      <c r="AG474" s="15"/>
      <c r="AH474" s="15"/>
      <c r="AI474" s="14"/>
      <c r="AJ474" s="14"/>
      <c r="AK474" s="17"/>
    </row>
    <row r="475" customFormat="false" ht="42.75" hidden="false" customHeight="true" outlineLevel="0" collapsed="false">
      <c r="A475" s="11" t="n">
        <v>473</v>
      </c>
      <c r="B475" s="11" t="str">
        <f aca="false">IF(I475="Y",IF(COUNTIF(I$3:I475,"Y")&lt;=20,"pilot",IF(COUNTIF(I$3:I475,"Y")&lt;=40,"dev",IF(COUNTIF(I$3:I475,"Y")&lt;=120,"test","extra"))),"")</f>
        <v/>
      </c>
      <c r="C475" s="11" t="str">
        <f aca="false">IF(I475="Y",IF(COUNTA(K475,Q475,W475,AC475,AE475)=5,"done","in progress"),IF(I475="N","excluded",""))</f>
        <v/>
      </c>
      <c r="D475" s="11" t="s">
        <v>1732</v>
      </c>
      <c r="E475" s="12" t="s">
        <v>90</v>
      </c>
      <c r="F475" s="13" t="s">
        <v>1733</v>
      </c>
      <c r="G475" s="11" t="s">
        <v>1023</v>
      </c>
      <c r="H475" s="11"/>
      <c r="I475" s="14"/>
      <c r="J475" s="14"/>
      <c r="K475" s="14"/>
      <c r="L475" s="15"/>
      <c r="M475" s="14"/>
      <c r="N475" s="15"/>
      <c r="O475" s="14"/>
      <c r="P475" s="15"/>
      <c r="Q475" s="14"/>
      <c r="R475" s="15"/>
      <c r="S475" s="14"/>
      <c r="T475" s="15"/>
      <c r="U475" s="14"/>
      <c r="V475" s="15"/>
      <c r="W475" s="14"/>
      <c r="X475" s="15"/>
      <c r="Y475" s="14"/>
      <c r="Z475" s="15"/>
      <c r="AA475" s="14"/>
      <c r="AB475" s="15"/>
      <c r="AC475" s="14"/>
      <c r="AD475" s="15"/>
      <c r="AE475" s="14"/>
      <c r="AF475" s="15"/>
      <c r="AG475" s="15"/>
      <c r="AH475" s="15"/>
      <c r="AI475" s="14"/>
      <c r="AJ475" s="14"/>
      <c r="AK475" s="17"/>
    </row>
    <row r="476" customFormat="false" ht="42.75" hidden="false" customHeight="true" outlineLevel="0" collapsed="false">
      <c r="A476" s="11" t="n">
        <v>474</v>
      </c>
      <c r="B476" s="11" t="str">
        <f aca="false">IF(I476="Y",IF(COUNTIF(I$3:I476,"Y")&lt;=20,"pilot",IF(COUNTIF(I$3:I476,"Y")&lt;=40,"dev",IF(COUNTIF(I$3:I476,"Y")&lt;=120,"test","extra"))),"")</f>
        <v/>
      </c>
      <c r="C476" s="11" t="str">
        <f aca="false">IF(I476="Y",IF(COUNTA(K476,Q476,W476,AC476,AE476)=5,"done","in progress"),IF(I476="N","excluded",""))</f>
        <v/>
      </c>
      <c r="D476" s="11" t="s">
        <v>1734</v>
      </c>
      <c r="E476" s="12" t="s">
        <v>90</v>
      </c>
      <c r="F476" s="13" t="s">
        <v>1735</v>
      </c>
      <c r="G476" s="11" t="s">
        <v>145</v>
      </c>
      <c r="H476" s="11"/>
      <c r="I476" s="14"/>
      <c r="J476" s="14"/>
      <c r="K476" s="14"/>
      <c r="L476" s="15"/>
      <c r="M476" s="14"/>
      <c r="N476" s="15"/>
      <c r="O476" s="14"/>
      <c r="P476" s="15"/>
      <c r="Q476" s="14"/>
      <c r="R476" s="15"/>
      <c r="S476" s="14"/>
      <c r="T476" s="15"/>
      <c r="U476" s="14"/>
      <c r="V476" s="15"/>
      <c r="W476" s="14"/>
      <c r="X476" s="15"/>
      <c r="Y476" s="14"/>
      <c r="Z476" s="15"/>
      <c r="AA476" s="14"/>
      <c r="AB476" s="15"/>
      <c r="AC476" s="14"/>
      <c r="AD476" s="15"/>
      <c r="AE476" s="14"/>
      <c r="AF476" s="15"/>
      <c r="AG476" s="15"/>
      <c r="AH476" s="15"/>
      <c r="AI476" s="14"/>
      <c r="AJ476" s="14"/>
      <c r="AK476" s="17"/>
    </row>
    <row r="477" customFormat="false" ht="42.75" hidden="false" customHeight="true" outlineLevel="0" collapsed="false">
      <c r="A477" s="11" t="n">
        <v>475</v>
      </c>
      <c r="B477" s="11" t="str">
        <f aca="false">IF(I477="Y",IF(COUNTIF(I$3:I477,"Y")&lt;=20,"pilot",IF(COUNTIF(I$3:I477,"Y")&lt;=40,"dev",IF(COUNTIF(I$3:I477,"Y")&lt;=120,"test","extra"))),"")</f>
        <v/>
      </c>
      <c r="C477" s="11" t="str">
        <f aca="false">IF(I477="Y",IF(COUNTA(K477,Q477,W477,AC477,AE477)=5,"done","in progress"),IF(I477="N","excluded",""))</f>
        <v/>
      </c>
      <c r="D477" s="11" t="s">
        <v>1736</v>
      </c>
      <c r="E477" s="12" t="s">
        <v>90</v>
      </c>
      <c r="F477" s="13" t="s">
        <v>1737</v>
      </c>
      <c r="G477" s="11" t="s">
        <v>651</v>
      </c>
      <c r="H477" s="11"/>
      <c r="I477" s="14"/>
      <c r="J477" s="14"/>
      <c r="K477" s="14"/>
      <c r="L477" s="15"/>
      <c r="M477" s="14"/>
      <c r="N477" s="15"/>
      <c r="O477" s="14"/>
      <c r="P477" s="15"/>
      <c r="Q477" s="14"/>
      <c r="R477" s="15"/>
      <c r="S477" s="14"/>
      <c r="T477" s="15"/>
      <c r="U477" s="14"/>
      <c r="V477" s="15"/>
      <c r="W477" s="14"/>
      <c r="X477" s="15"/>
      <c r="Y477" s="14"/>
      <c r="Z477" s="15"/>
      <c r="AA477" s="14"/>
      <c r="AB477" s="15"/>
      <c r="AC477" s="14"/>
      <c r="AD477" s="15"/>
      <c r="AE477" s="14"/>
      <c r="AF477" s="15"/>
      <c r="AG477" s="15"/>
      <c r="AH477" s="15"/>
      <c r="AI477" s="14"/>
      <c r="AJ477" s="14"/>
      <c r="AK477" s="17"/>
    </row>
    <row r="478" customFormat="false" ht="42.75" hidden="false" customHeight="true" outlineLevel="0" collapsed="false">
      <c r="A478" s="11" t="n">
        <v>476</v>
      </c>
      <c r="B478" s="11" t="str">
        <f aca="false">IF(I478="Y",IF(COUNTIF(I$3:I478,"Y")&lt;=20,"pilot",IF(COUNTIF(I$3:I478,"Y")&lt;=40,"dev",IF(COUNTIF(I$3:I478,"Y")&lt;=120,"test","extra"))),"")</f>
        <v/>
      </c>
      <c r="C478" s="11" t="str">
        <f aca="false">IF(I478="Y",IF(COUNTA(K478,Q478,W478,AC478,AE478)=5,"done","in progress"),IF(I478="N","excluded",""))</f>
        <v/>
      </c>
      <c r="D478" s="11" t="s">
        <v>1738</v>
      </c>
      <c r="E478" s="12" t="s">
        <v>90</v>
      </c>
      <c r="F478" s="13" t="s">
        <v>1739</v>
      </c>
      <c r="G478" s="11" t="s">
        <v>476</v>
      </c>
      <c r="H478" s="11"/>
      <c r="I478" s="14"/>
      <c r="J478" s="14"/>
      <c r="K478" s="14"/>
      <c r="L478" s="15"/>
      <c r="M478" s="14"/>
      <c r="N478" s="15"/>
      <c r="O478" s="14"/>
      <c r="P478" s="15"/>
      <c r="Q478" s="14"/>
      <c r="R478" s="15"/>
      <c r="S478" s="14"/>
      <c r="T478" s="15"/>
      <c r="U478" s="14"/>
      <c r="V478" s="15"/>
      <c r="W478" s="14"/>
      <c r="X478" s="15"/>
      <c r="Y478" s="14"/>
      <c r="Z478" s="15"/>
      <c r="AA478" s="14"/>
      <c r="AB478" s="15"/>
      <c r="AC478" s="14"/>
      <c r="AD478" s="15"/>
      <c r="AE478" s="14"/>
      <c r="AF478" s="15"/>
      <c r="AG478" s="15"/>
      <c r="AH478" s="15"/>
      <c r="AI478" s="14"/>
      <c r="AJ478" s="14"/>
      <c r="AK478" s="17"/>
    </row>
    <row r="479" customFormat="false" ht="57" hidden="false" customHeight="true" outlineLevel="0" collapsed="false">
      <c r="A479" s="11" t="n">
        <v>477</v>
      </c>
      <c r="B479" s="11" t="str">
        <f aca="false">IF(I479="Y",IF(COUNTIF(I$3:I479,"Y")&lt;=20,"pilot",IF(COUNTIF(I$3:I479,"Y")&lt;=40,"dev",IF(COUNTIF(I$3:I479,"Y")&lt;=120,"test","extra"))),"")</f>
        <v/>
      </c>
      <c r="C479" s="11" t="str">
        <f aca="false">IF(I479="Y",IF(COUNTA(K479,Q479,W479,AC479,AE479)=5,"done","in progress"),IF(I479="N","excluded",""))</f>
        <v/>
      </c>
      <c r="D479" s="11" t="s">
        <v>1740</v>
      </c>
      <c r="E479" s="12" t="s">
        <v>90</v>
      </c>
      <c r="F479" s="13" t="s">
        <v>1741</v>
      </c>
      <c r="G479" s="11" t="s">
        <v>118</v>
      </c>
      <c r="H479" s="11"/>
      <c r="I479" s="14"/>
      <c r="J479" s="14"/>
      <c r="K479" s="14"/>
      <c r="L479" s="15"/>
      <c r="M479" s="14"/>
      <c r="N479" s="15"/>
      <c r="O479" s="14"/>
      <c r="P479" s="15"/>
      <c r="Q479" s="14"/>
      <c r="R479" s="15"/>
      <c r="S479" s="14"/>
      <c r="T479" s="15"/>
      <c r="U479" s="14"/>
      <c r="V479" s="15"/>
      <c r="W479" s="14"/>
      <c r="X479" s="15"/>
      <c r="Y479" s="14"/>
      <c r="Z479" s="15"/>
      <c r="AA479" s="14"/>
      <c r="AB479" s="15"/>
      <c r="AC479" s="14"/>
      <c r="AD479" s="15"/>
      <c r="AE479" s="14"/>
      <c r="AF479" s="15"/>
      <c r="AG479" s="15"/>
      <c r="AH479" s="15"/>
      <c r="AI479" s="14"/>
      <c r="AJ479" s="14"/>
      <c r="AK479" s="17"/>
    </row>
    <row r="480" customFormat="false" ht="42.75" hidden="false" customHeight="true" outlineLevel="0" collapsed="false">
      <c r="A480" s="11" t="n">
        <v>478</v>
      </c>
      <c r="B480" s="11" t="str">
        <f aca="false">IF(I480="Y",IF(COUNTIF(I$3:I480,"Y")&lt;=20,"pilot",IF(COUNTIF(I$3:I480,"Y")&lt;=40,"dev",IF(COUNTIF(I$3:I480,"Y")&lt;=120,"test","extra"))),"")</f>
        <v/>
      </c>
      <c r="C480" s="11" t="str">
        <f aca="false">IF(I480="Y",IF(COUNTA(K480,Q480,W480,AC480,AE480)=5,"done","in progress"),IF(I480="N","excluded",""))</f>
        <v/>
      </c>
      <c r="D480" s="11" t="s">
        <v>1742</v>
      </c>
      <c r="E480" s="12" t="s">
        <v>90</v>
      </c>
      <c r="F480" s="13" t="s">
        <v>1743</v>
      </c>
      <c r="G480" s="11" t="s">
        <v>508</v>
      </c>
      <c r="H480" s="11"/>
      <c r="I480" s="14"/>
      <c r="J480" s="14"/>
      <c r="K480" s="14"/>
      <c r="L480" s="15"/>
      <c r="M480" s="14"/>
      <c r="N480" s="15"/>
      <c r="O480" s="14"/>
      <c r="P480" s="15"/>
      <c r="Q480" s="14"/>
      <c r="R480" s="15"/>
      <c r="S480" s="14"/>
      <c r="T480" s="15"/>
      <c r="U480" s="14"/>
      <c r="V480" s="15"/>
      <c r="W480" s="14"/>
      <c r="X480" s="15"/>
      <c r="Y480" s="14"/>
      <c r="Z480" s="15"/>
      <c r="AA480" s="14"/>
      <c r="AB480" s="15"/>
      <c r="AC480" s="14"/>
      <c r="AD480" s="15"/>
      <c r="AE480" s="14"/>
      <c r="AF480" s="15"/>
      <c r="AG480" s="15"/>
      <c r="AH480" s="15"/>
      <c r="AI480" s="14"/>
      <c r="AJ480" s="14"/>
      <c r="AK480" s="17"/>
    </row>
    <row r="481" customFormat="false" ht="42.75" hidden="false" customHeight="true" outlineLevel="0" collapsed="false">
      <c r="A481" s="11" t="n">
        <v>479</v>
      </c>
      <c r="B481" s="11" t="str">
        <f aca="false">IF(I481="Y",IF(COUNTIF(I$3:I481,"Y")&lt;=20,"pilot",IF(COUNTIF(I$3:I481,"Y")&lt;=40,"dev",IF(COUNTIF(I$3:I481,"Y")&lt;=120,"test","extra"))),"")</f>
        <v/>
      </c>
      <c r="C481" s="11" t="str">
        <f aca="false">IF(I481="Y",IF(COUNTA(K481,Q481,W481,AC481,AE481)=5,"done","in progress"),IF(I481="N","excluded",""))</f>
        <v/>
      </c>
      <c r="D481" s="11" t="s">
        <v>1744</v>
      </c>
      <c r="E481" s="12" t="s">
        <v>90</v>
      </c>
      <c r="F481" s="13" t="s">
        <v>1745</v>
      </c>
      <c r="G481" s="11" t="s">
        <v>157</v>
      </c>
      <c r="H481" s="11"/>
      <c r="I481" s="14"/>
      <c r="J481" s="14"/>
      <c r="K481" s="14"/>
      <c r="L481" s="15"/>
      <c r="M481" s="14"/>
      <c r="N481" s="15"/>
      <c r="O481" s="14"/>
      <c r="P481" s="15"/>
      <c r="Q481" s="14"/>
      <c r="R481" s="15"/>
      <c r="S481" s="14"/>
      <c r="T481" s="15"/>
      <c r="U481" s="14"/>
      <c r="V481" s="15"/>
      <c r="W481" s="14"/>
      <c r="X481" s="15"/>
      <c r="Y481" s="14"/>
      <c r="Z481" s="15"/>
      <c r="AA481" s="14"/>
      <c r="AB481" s="15"/>
      <c r="AC481" s="14"/>
      <c r="AD481" s="15"/>
      <c r="AE481" s="14"/>
      <c r="AF481" s="15"/>
      <c r="AG481" s="15"/>
      <c r="AH481" s="15"/>
      <c r="AI481" s="14"/>
      <c r="AJ481" s="14"/>
      <c r="AK481" s="17"/>
    </row>
    <row r="482" customFormat="false" ht="42.75" hidden="false" customHeight="true" outlineLevel="0" collapsed="false">
      <c r="A482" s="11" t="n">
        <v>480</v>
      </c>
      <c r="B482" s="11" t="str">
        <f aca="false">IF(I482="Y",IF(COUNTIF(I$3:I482,"Y")&lt;=20,"pilot",IF(COUNTIF(I$3:I482,"Y")&lt;=40,"dev",IF(COUNTIF(I$3:I482,"Y")&lt;=120,"test","extra"))),"")</f>
        <v/>
      </c>
      <c r="C482" s="11" t="str">
        <f aca="false">IF(I482="Y",IF(COUNTA(K482,Q482,W482,AC482,AE482)=5,"done","in progress"),IF(I482="N","excluded",""))</f>
        <v/>
      </c>
      <c r="D482" s="11" t="s">
        <v>1746</v>
      </c>
      <c r="E482" s="12" t="s">
        <v>90</v>
      </c>
      <c r="F482" s="13" t="s">
        <v>1747</v>
      </c>
      <c r="G482" s="11" t="s">
        <v>145</v>
      </c>
      <c r="H482" s="11"/>
      <c r="I482" s="14"/>
      <c r="J482" s="14"/>
      <c r="K482" s="14"/>
      <c r="L482" s="15"/>
      <c r="M482" s="14"/>
      <c r="N482" s="15"/>
      <c r="O482" s="14"/>
      <c r="P482" s="15"/>
      <c r="Q482" s="14"/>
      <c r="R482" s="15"/>
      <c r="S482" s="14"/>
      <c r="T482" s="15"/>
      <c r="U482" s="14"/>
      <c r="V482" s="15"/>
      <c r="W482" s="14"/>
      <c r="X482" s="15"/>
      <c r="Y482" s="14"/>
      <c r="Z482" s="15"/>
      <c r="AA482" s="14"/>
      <c r="AB482" s="15"/>
      <c r="AC482" s="14"/>
      <c r="AD482" s="15"/>
      <c r="AE482" s="14"/>
      <c r="AF482" s="15"/>
      <c r="AG482" s="15"/>
      <c r="AH482" s="15"/>
      <c r="AI482" s="14"/>
      <c r="AJ482" s="14"/>
      <c r="AK482" s="17"/>
    </row>
    <row r="483" customFormat="false" ht="42.75" hidden="false" customHeight="true" outlineLevel="0" collapsed="false">
      <c r="A483" s="11" t="n">
        <v>481</v>
      </c>
      <c r="B483" s="11" t="str">
        <f aca="false">IF(I483="Y",IF(COUNTIF(I$3:I483,"Y")&lt;=20,"pilot",IF(COUNTIF(I$3:I483,"Y")&lt;=40,"dev",IF(COUNTIF(I$3:I483,"Y")&lt;=120,"test","extra"))),"")</f>
        <v/>
      </c>
      <c r="C483" s="11" t="str">
        <f aca="false">IF(I483="Y",IF(COUNTA(K483,Q483,W483,AC483,AE483)=5,"done","in progress"),IF(I483="N","excluded",""))</f>
        <v/>
      </c>
      <c r="D483" s="11" t="s">
        <v>1748</v>
      </c>
      <c r="E483" s="12" t="s">
        <v>90</v>
      </c>
      <c r="F483" s="13" t="s">
        <v>1749</v>
      </c>
      <c r="G483" s="11" t="s">
        <v>1616</v>
      </c>
      <c r="H483" s="11"/>
      <c r="I483" s="14"/>
      <c r="J483" s="14"/>
      <c r="K483" s="14"/>
      <c r="L483" s="15"/>
      <c r="M483" s="14"/>
      <c r="N483" s="15"/>
      <c r="O483" s="14"/>
      <c r="P483" s="15"/>
      <c r="Q483" s="14"/>
      <c r="R483" s="15"/>
      <c r="S483" s="14"/>
      <c r="T483" s="15"/>
      <c r="U483" s="14"/>
      <c r="V483" s="15"/>
      <c r="W483" s="14"/>
      <c r="X483" s="15"/>
      <c r="Y483" s="14"/>
      <c r="Z483" s="15"/>
      <c r="AA483" s="14"/>
      <c r="AB483" s="15"/>
      <c r="AC483" s="14"/>
      <c r="AD483" s="15"/>
      <c r="AE483" s="14"/>
      <c r="AF483" s="15"/>
      <c r="AG483" s="15"/>
      <c r="AH483" s="15"/>
      <c r="AI483" s="14"/>
      <c r="AJ483" s="14"/>
      <c r="AK483" s="17"/>
    </row>
    <row r="484" customFormat="false" ht="42.75" hidden="false" customHeight="true" outlineLevel="0" collapsed="false">
      <c r="A484" s="11" t="n">
        <v>482</v>
      </c>
      <c r="B484" s="11" t="str">
        <f aca="false">IF(I484="Y",IF(COUNTIF(I$3:I484,"Y")&lt;=20,"pilot",IF(COUNTIF(I$3:I484,"Y")&lt;=40,"dev",IF(COUNTIF(I$3:I484,"Y")&lt;=120,"test","extra"))),"")</f>
        <v/>
      </c>
      <c r="C484" s="11" t="str">
        <f aca="false">IF(I484="Y",IF(COUNTA(K484,Q484,W484,AC484,AE484)=5,"done","in progress"),IF(I484="N","excluded",""))</f>
        <v/>
      </c>
      <c r="D484" s="11" t="s">
        <v>1750</v>
      </c>
      <c r="E484" s="12" t="s">
        <v>90</v>
      </c>
      <c r="F484" s="13" t="s">
        <v>1751</v>
      </c>
      <c r="G484" s="11" t="s">
        <v>1122</v>
      </c>
      <c r="H484" s="11"/>
      <c r="I484" s="14"/>
      <c r="J484" s="14"/>
      <c r="K484" s="14"/>
      <c r="L484" s="15"/>
      <c r="M484" s="14"/>
      <c r="N484" s="15"/>
      <c r="O484" s="14"/>
      <c r="P484" s="15"/>
      <c r="Q484" s="14"/>
      <c r="R484" s="15"/>
      <c r="S484" s="14"/>
      <c r="T484" s="15"/>
      <c r="U484" s="14"/>
      <c r="V484" s="15"/>
      <c r="W484" s="14"/>
      <c r="X484" s="15"/>
      <c r="Y484" s="14"/>
      <c r="Z484" s="15"/>
      <c r="AA484" s="14"/>
      <c r="AB484" s="15"/>
      <c r="AC484" s="14"/>
      <c r="AD484" s="15"/>
      <c r="AE484" s="14"/>
      <c r="AF484" s="15"/>
      <c r="AG484" s="15"/>
      <c r="AH484" s="15"/>
      <c r="AI484" s="14"/>
      <c r="AJ484" s="14"/>
      <c r="AK484" s="17"/>
    </row>
    <row r="485" customFormat="false" ht="57" hidden="false" customHeight="true" outlineLevel="0" collapsed="false">
      <c r="A485" s="11" t="n">
        <v>483</v>
      </c>
      <c r="B485" s="11" t="str">
        <f aca="false">IF(I485="Y",IF(COUNTIF(I$3:I485,"Y")&lt;=20,"pilot",IF(COUNTIF(I$3:I485,"Y")&lt;=40,"dev",IF(COUNTIF(I$3:I485,"Y")&lt;=120,"test","extra"))),"")</f>
        <v/>
      </c>
      <c r="C485" s="11" t="str">
        <f aca="false">IF(I485="Y",IF(COUNTA(K485,Q485,W485,AC485,AE485)=5,"done","in progress"),IF(I485="N","excluded",""))</f>
        <v/>
      </c>
      <c r="D485" s="11" t="s">
        <v>1752</v>
      </c>
      <c r="E485" s="12" t="s">
        <v>90</v>
      </c>
      <c r="F485" s="13" t="s">
        <v>1753</v>
      </c>
      <c r="G485" s="11" t="s">
        <v>1754</v>
      </c>
      <c r="H485" s="11"/>
      <c r="I485" s="14"/>
      <c r="J485" s="14"/>
      <c r="K485" s="14"/>
      <c r="L485" s="15"/>
      <c r="M485" s="14"/>
      <c r="N485" s="15"/>
      <c r="O485" s="14"/>
      <c r="P485" s="15"/>
      <c r="Q485" s="14"/>
      <c r="R485" s="15"/>
      <c r="S485" s="14"/>
      <c r="T485" s="15"/>
      <c r="U485" s="14"/>
      <c r="V485" s="15"/>
      <c r="W485" s="14"/>
      <c r="X485" s="15"/>
      <c r="Y485" s="14"/>
      <c r="Z485" s="15"/>
      <c r="AA485" s="14"/>
      <c r="AB485" s="15"/>
      <c r="AC485" s="14"/>
      <c r="AD485" s="15"/>
      <c r="AE485" s="14"/>
      <c r="AF485" s="15"/>
      <c r="AG485" s="15"/>
      <c r="AH485" s="15"/>
      <c r="AI485" s="14"/>
      <c r="AJ485" s="14"/>
      <c r="AK485" s="17"/>
    </row>
    <row r="486" customFormat="false" ht="28.5" hidden="false" customHeight="true" outlineLevel="0" collapsed="false">
      <c r="A486" s="11" t="n">
        <v>484</v>
      </c>
      <c r="B486" s="11" t="str">
        <f aca="false">IF(I486="Y",IF(COUNTIF(I$3:I486,"Y")&lt;=20,"pilot",IF(COUNTIF(I$3:I486,"Y")&lt;=40,"dev",IF(COUNTIF(I$3:I486,"Y")&lt;=120,"test","extra"))),"")</f>
        <v/>
      </c>
      <c r="C486" s="11" t="str">
        <f aca="false">IF(I486="Y",IF(COUNTA(K486,Q486,W486,AC486,AE486)=5,"done","in progress"),IF(I486="N","excluded",""))</f>
        <v/>
      </c>
      <c r="D486" s="11" t="s">
        <v>1755</v>
      </c>
      <c r="E486" s="12" t="s">
        <v>90</v>
      </c>
      <c r="F486" s="13" t="s">
        <v>1756</v>
      </c>
      <c r="G486" s="11" t="s">
        <v>145</v>
      </c>
      <c r="H486" s="11"/>
      <c r="I486" s="14"/>
      <c r="J486" s="14"/>
      <c r="K486" s="14"/>
      <c r="L486" s="15"/>
      <c r="M486" s="14"/>
      <c r="N486" s="15"/>
      <c r="O486" s="14"/>
      <c r="P486" s="15"/>
      <c r="Q486" s="14"/>
      <c r="R486" s="15"/>
      <c r="S486" s="14"/>
      <c r="T486" s="15"/>
      <c r="U486" s="14"/>
      <c r="V486" s="15"/>
      <c r="W486" s="14"/>
      <c r="X486" s="15"/>
      <c r="Y486" s="14"/>
      <c r="Z486" s="15"/>
      <c r="AA486" s="14"/>
      <c r="AB486" s="15"/>
      <c r="AC486" s="14"/>
      <c r="AD486" s="15"/>
      <c r="AE486" s="14"/>
      <c r="AF486" s="15"/>
      <c r="AG486" s="15"/>
      <c r="AH486" s="15"/>
      <c r="AI486" s="14"/>
      <c r="AJ486" s="14"/>
      <c r="AK486" s="17"/>
    </row>
    <row r="487" customFormat="false" ht="42.75" hidden="false" customHeight="true" outlineLevel="0" collapsed="false">
      <c r="A487" s="11" t="n">
        <v>485</v>
      </c>
      <c r="B487" s="11" t="str">
        <f aca="false">IF(I487="Y",IF(COUNTIF(I$3:I487,"Y")&lt;=20,"pilot",IF(COUNTIF(I$3:I487,"Y")&lt;=40,"dev",IF(COUNTIF(I$3:I487,"Y")&lt;=120,"test","extra"))),"")</f>
        <v/>
      </c>
      <c r="C487" s="11" t="str">
        <f aca="false">IF(I487="Y",IF(COUNTA(K487,Q487,W487,AC487,AE487)=5,"done","in progress"),IF(I487="N","excluded",""))</f>
        <v/>
      </c>
      <c r="D487" s="11" t="s">
        <v>1757</v>
      </c>
      <c r="E487" s="12" t="s">
        <v>90</v>
      </c>
      <c r="F487" s="13" t="s">
        <v>1758</v>
      </c>
      <c r="G487" s="11" t="s">
        <v>92</v>
      </c>
      <c r="H487" s="11"/>
      <c r="I487" s="14"/>
      <c r="J487" s="14"/>
      <c r="K487" s="14"/>
      <c r="L487" s="15"/>
      <c r="M487" s="14"/>
      <c r="N487" s="15"/>
      <c r="O487" s="14"/>
      <c r="P487" s="15"/>
      <c r="Q487" s="14"/>
      <c r="R487" s="15"/>
      <c r="S487" s="14"/>
      <c r="T487" s="15"/>
      <c r="U487" s="14"/>
      <c r="V487" s="15"/>
      <c r="W487" s="14"/>
      <c r="X487" s="15"/>
      <c r="Y487" s="14"/>
      <c r="Z487" s="15"/>
      <c r="AA487" s="14"/>
      <c r="AB487" s="15"/>
      <c r="AC487" s="14"/>
      <c r="AD487" s="15"/>
      <c r="AE487" s="14"/>
      <c r="AF487" s="15"/>
      <c r="AG487" s="15"/>
      <c r="AH487" s="15"/>
      <c r="AI487" s="14"/>
      <c r="AJ487" s="14"/>
      <c r="AK487" s="17"/>
    </row>
    <row r="488" customFormat="false" ht="42.75" hidden="false" customHeight="true" outlineLevel="0" collapsed="false">
      <c r="A488" s="11" t="n">
        <v>486</v>
      </c>
      <c r="B488" s="11" t="str">
        <f aca="false">IF(I488="Y",IF(COUNTIF(I$3:I488,"Y")&lt;=20,"pilot",IF(COUNTIF(I$3:I488,"Y")&lt;=40,"dev",IF(COUNTIF(I$3:I488,"Y")&lt;=120,"test","extra"))),"")</f>
        <v/>
      </c>
      <c r="C488" s="11" t="str">
        <f aca="false">IF(I488="Y",IF(COUNTA(K488,Q488,W488,AC488,AE488)=5,"done","in progress"),IF(I488="N","excluded",""))</f>
        <v/>
      </c>
      <c r="D488" s="11" t="s">
        <v>1759</v>
      </c>
      <c r="E488" s="12" t="s">
        <v>90</v>
      </c>
      <c r="F488" s="13" t="s">
        <v>1760</v>
      </c>
      <c r="G488" s="11" t="s">
        <v>520</v>
      </c>
      <c r="H488" s="11"/>
      <c r="I488" s="14"/>
      <c r="J488" s="14"/>
      <c r="K488" s="14"/>
      <c r="L488" s="15"/>
      <c r="M488" s="14"/>
      <c r="N488" s="15"/>
      <c r="O488" s="14"/>
      <c r="P488" s="15"/>
      <c r="Q488" s="14"/>
      <c r="R488" s="15"/>
      <c r="S488" s="14"/>
      <c r="T488" s="15"/>
      <c r="U488" s="14"/>
      <c r="V488" s="15"/>
      <c r="W488" s="14"/>
      <c r="X488" s="15"/>
      <c r="Y488" s="14"/>
      <c r="Z488" s="15"/>
      <c r="AA488" s="14"/>
      <c r="AB488" s="15"/>
      <c r="AC488" s="14"/>
      <c r="AD488" s="15"/>
      <c r="AE488" s="14"/>
      <c r="AF488" s="15"/>
      <c r="AG488" s="15"/>
      <c r="AH488" s="15"/>
      <c r="AI488" s="14"/>
      <c r="AJ488" s="14"/>
      <c r="AK488" s="17"/>
    </row>
    <row r="489" customFormat="false" ht="57" hidden="false" customHeight="true" outlineLevel="0" collapsed="false">
      <c r="A489" s="11" t="n">
        <v>487</v>
      </c>
      <c r="B489" s="11" t="str">
        <f aca="false">IF(I489="Y",IF(COUNTIF(I$3:I489,"Y")&lt;=20,"pilot",IF(COUNTIF(I$3:I489,"Y")&lt;=40,"dev",IF(COUNTIF(I$3:I489,"Y")&lt;=120,"test","extra"))),"")</f>
        <v/>
      </c>
      <c r="C489" s="11" t="str">
        <f aca="false">IF(I489="Y",IF(COUNTA(K489,Q489,W489,AC489,AE489)=5,"done","in progress"),IF(I489="N","excluded",""))</f>
        <v/>
      </c>
      <c r="D489" s="11" t="s">
        <v>1761</v>
      </c>
      <c r="E489" s="12" t="s">
        <v>90</v>
      </c>
      <c r="F489" s="13" t="s">
        <v>1762</v>
      </c>
      <c r="G489" s="11" t="s">
        <v>508</v>
      </c>
      <c r="H489" s="11"/>
      <c r="I489" s="14"/>
      <c r="J489" s="14"/>
      <c r="K489" s="14"/>
      <c r="L489" s="15"/>
      <c r="M489" s="14"/>
      <c r="N489" s="15"/>
      <c r="O489" s="14"/>
      <c r="P489" s="15"/>
      <c r="Q489" s="14"/>
      <c r="R489" s="15"/>
      <c r="S489" s="14"/>
      <c r="T489" s="15"/>
      <c r="U489" s="14"/>
      <c r="V489" s="15"/>
      <c r="W489" s="14"/>
      <c r="X489" s="15"/>
      <c r="Y489" s="14"/>
      <c r="Z489" s="15"/>
      <c r="AA489" s="14"/>
      <c r="AB489" s="15"/>
      <c r="AC489" s="14"/>
      <c r="AD489" s="15"/>
      <c r="AE489" s="14"/>
      <c r="AF489" s="15"/>
      <c r="AG489" s="15"/>
      <c r="AH489" s="15"/>
      <c r="AI489" s="14"/>
      <c r="AJ489" s="14"/>
      <c r="AK489" s="17"/>
    </row>
    <row r="490" customFormat="false" ht="42.75" hidden="false" customHeight="true" outlineLevel="0" collapsed="false">
      <c r="A490" s="11" t="n">
        <v>488</v>
      </c>
      <c r="B490" s="11" t="str">
        <f aca="false">IF(I490="Y",IF(COUNTIF(I$3:I490,"Y")&lt;=20,"pilot",IF(COUNTIF(I$3:I490,"Y")&lt;=40,"dev",IF(COUNTIF(I$3:I490,"Y")&lt;=120,"test","extra"))),"")</f>
        <v/>
      </c>
      <c r="C490" s="11" t="str">
        <f aca="false">IF(I490="Y",IF(COUNTA(K490,Q490,W490,AC490,AE490)=5,"done","in progress"),IF(I490="N","excluded",""))</f>
        <v/>
      </c>
      <c r="D490" s="11" t="s">
        <v>1763</v>
      </c>
      <c r="E490" s="12" t="s">
        <v>90</v>
      </c>
      <c r="F490" s="13" t="s">
        <v>1764</v>
      </c>
      <c r="G490" s="11" t="s">
        <v>136</v>
      </c>
      <c r="H490" s="11"/>
      <c r="I490" s="14"/>
      <c r="J490" s="14"/>
      <c r="K490" s="14"/>
      <c r="L490" s="15"/>
      <c r="M490" s="14"/>
      <c r="N490" s="15"/>
      <c r="O490" s="14"/>
      <c r="P490" s="15"/>
      <c r="Q490" s="14"/>
      <c r="R490" s="15"/>
      <c r="S490" s="14"/>
      <c r="T490" s="15"/>
      <c r="U490" s="14"/>
      <c r="V490" s="15"/>
      <c r="W490" s="14"/>
      <c r="X490" s="15"/>
      <c r="Y490" s="14"/>
      <c r="Z490" s="15"/>
      <c r="AA490" s="14"/>
      <c r="AB490" s="15"/>
      <c r="AC490" s="14"/>
      <c r="AD490" s="15"/>
      <c r="AE490" s="14"/>
      <c r="AF490" s="15"/>
      <c r="AG490" s="15"/>
      <c r="AH490" s="15"/>
      <c r="AI490" s="14"/>
      <c r="AJ490" s="14"/>
      <c r="AK490" s="17"/>
    </row>
    <row r="491" customFormat="false" ht="42.75" hidden="false" customHeight="true" outlineLevel="0" collapsed="false">
      <c r="A491" s="11" t="n">
        <v>489</v>
      </c>
      <c r="B491" s="11" t="str">
        <f aca="false">IF(I491="Y",IF(COUNTIF(I$3:I491,"Y")&lt;=20,"pilot",IF(COUNTIF(I$3:I491,"Y")&lt;=40,"dev",IF(COUNTIF(I$3:I491,"Y")&lt;=120,"test","extra"))),"")</f>
        <v/>
      </c>
      <c r="C491" s="11" t="str">
        <f aca="false">IF(I491="Y",IF(COUNTA(K491,Q491,W491,AC491,AE491)=5,"done","in progress"),IF(I491="N","excluded",""))</f>
        <v/>
      </c>
      <c r="D491" s="11" t="s">
        <v>1765</v>
      </c>
      <c r="E491" s="12" t="s">
        <v>90</v>
      </c>
      <c r="F491" s="13" t="s">
        <v>1766</v>
      </c>
      <c r="G491" s="11" t="s">
        <v>1767</v>
      </c>
      <c r="H491" s="11" t="s">
        <v>366</v>
      </c>
      <c r="I491" s="14"/>
      <c r="J491" s="14"/>
      <c r="K491" s="14"/>
      <c r="L491" s="15"/>
      <c r="M491" s="14"/>
      <c r="N491" s="15"/>
      <c r="O491" s="14"/>
      <c r="P491" s="15"/>
      <c r="Q491" s="14"/>
      <c r="R491" s="15"/>
      <c r="S491" s="14"/>
      <c r="T491" s="15"/>
      <c r="U491" s="14"/>
      <c r="V491" s="15"/>
      <c r="W491" s="14"/>
      <c r="X491" s="15"/>
      <c r="Y491" s="14"/>
      <c r="Z491" s="15"/>
      <c r="AA491" s="14"/>
      <c r="AB491" s="15"/>
      <c r="AC491" s="14"/>
      <c r="AD491" s="15"/>
      <c r="AE491" s="14"/>
      <c r="AF491" s="15"/>
      <c r="AG491" s="15"/>
      <c r="AH491" s="15"/>
      <c r="AI491" s="14"/>
      <c r="AJ491" s="14"/>
      <c r="AK491" s="17"/>
    </row>
    <row r="492" customFormat="false" ht="42.75" hidden="false" customHeight="true" outlineLevel="0" collapsed="false">
      <c r="A492" s="11" t="n">
        <v>490</v>
      </c>
      <c r="B492" s="11" t="str">
        <f aca="false">IF(I492="Y",IF(COUNTIF(I$3:I492,"Y")&lt;=20,"pilot",IF(COUNTIF(I$3:I492,"Y")&lt;=40,"dev",IF(COUNTIF(I$3:I492,"Y")&lt;=120,"test","extra"))),"")</f>
        <v/>
      </c>
      <c r="C492" s="11" t="str">
        <f aca="false">IF(I492="Y",IF(COUNTA(K492,Q492,W492,AC492,AE492)=5,"done","in progress"),IF(I492="N","excluded",""))</f>
        <v/>
      </c>
      <c r="D492" s="11" t="s">
        <v>1768</v>
      </c>
      <c r="E492" s="12" t="s">
        <v>90</v>
      </c>
      <c r="F492" s="13" t="s">
        <v>1769</v>
      </c>
      <c r="G492" s="11" t="s">
        <v>193</v>
      </c>
      <c r="H492" s="11"/>
      <c r="I492" s="14"/>
      <c r="J492" s="14"/>
      <c r="K492" s="14"/>
      <c r="L492" s="15"/>
      <c r="M492" s="14"/>
      <c r="N492" s="15"/>
      <c r="O492" s="14"/>
      <c r="P492" s="15"/>
      <c r="Q492" s="14"/>
      <c r="R492" s="15"/>
      <c r="S492" s="14"/>
      <c r="T492" s="15"/>
      <c r="U492" s="14"/>
      <c r="V492" s="15"/>
      <c r="W492" s="14"/>
      <c r="X492" s="15"/>
      <c r="Y492" s="14"/>
      <c r="Z492" s="15"/>
      <c r="AA492" s="14"/>
      <c r="AB492" s="15"/>
      <c r="AC492" s="14"/>
      <c r="AD492" s="15"/>
      <c r="AE492" s="14"/>
      <c r="AF492" s="15"/>
      <c r="AG492" s="15"/>
      <c r="AH492" s="15"/>
      <c r="AI492" s="14"/>
      <c r="AJ492" s="14"/>
      <c r="AK492" s="17"/>
    </row>
    <row r="493" customFormat="false" ht="57" hidden="false" customHeight="true" outlineLevel="0" collapsed="false">
      <c r="A493" s="11" t="n">
        <v>491</v>
      </c>
      <c r="B493" s="11" t="str">
        <f aca="false">IF(I493="Y",IF(COUNTIF(I$3:I493,"Y")&lt;=20,"pilot",IF(COUNTIF(I$3:I493,"Y")&lt;=40,"dev",IF(COUNTIF(I$3:I493,"Y")&lt;=120,"test","extra"))),"")</f>
        <v/>
      </c>
      <c r="C493" s="11" t="str">
        <f aca="false">IF(I493="Y",IF(COUNTA(K493,Q493,W493,AC493,AE493)=5,"done","in progress"),IF(I493="N","excluded",""))</f>
        <v/>
      </c>
      <c r="D493" s="11" t="s">
        <v>1770</v>
      </c>
      <c r="E493" s="12" t="s">
        <v>90</v>
      </c>
      <c r="F493" s="13" t="s">
        <v>1771</v>
      </c>
      <c r="G493" s="11" t="s">
        <v>193</v>
      </c>
      <c r="H493" s="11"/>
      <c r="I493" s="14"/>
      <c r="J493" s="14"/>
      <c r="K493" s="14"/>
      <c r="L493" s="15"/>
      <c r="M493" s="14"/>
      <c r="N493" s="15"/>
      <c r="O493" s="14"/>
      <c r="P493" s="15"/>
      <c r="Q493" s="14"/>
      <c r="R493" s="15"/>
      <c r="S493" s="14"/>
      <c r="T493" s="15"/>
      <c r="U493" s="14"/>
      <c r="V493" s="15"/>
      <c r="W493" s="14"/>
      <c r="X493" s="15"/>
      <c r="Y493" s="14"/>
      <c r="Z493" s="15"/>
      <c r="AA493" s="14"/>
      <c r="AB493" s="15"/>
      <c r="AC493" s="14"/>
      <c r="AD493" s="15"/>
      <c r="AE493" s="14"/>
      <c r="AF493" s="15"/>
      <c r="AG493" s="15"/>
      <c r="AH493" s="15"/>
      <c r="AI493" s="14"/>
      <c r="AJ493" s="14"/>
      <c r="AK493" s="17"/>
    </row>
    <row r="494" customFormat="false" ht="42.75" hidden="false" customHeight="true" outlineLevel="0" collapsed="false">
      <c r="A494" s="11" t="n">
        <v>492</v>
      </c>
      <c r="B494" s="11" t="str">
        <f aca="false">IF(I494="Y",IF(COUNTIF(I$3:I494,"Y")&lt;=20,"pilot",IF(COUNTIF(I$3:I494,"Y")&lt;=40,"dev",IF(COUNTIF(I$3:I494,"Y")&lt;=120,"test","extra"))),"")</f>
        <v/>
      </c>
      <c r="C494" s="11" t="str">
        <f aca="false">IF(I494="Y",IF(COUNTA(K494,Q494,W494,AC494,AE494)=5,"done","in progress"),IF(I494="N","excluded",""))</f>
        <v/>
      </c>
      <c r="D494" s="11" t="s">
        <v>1772</v>
      </c>
      <c r="E494" s="12" t="s">
        <v>90</v>
      </c>
      <c r="F494" s="13" t="s">
        <v>1773</v>
      </c>
      <c r="G494" s="11" t="s">
        <v>1774</v>
      </c>
      <c r="H494" s="11"/>
      <c r="I494" s="14"/>
      <c r="J494" s="14"/>
      <c r="K494" s="14"/>
      <c r="L494" s="15"/>
      <c r="M494" s="14"/>
      <c r="N494" s="15"/>
      <c r="O494" s="14"/>
      <c r="P494" s="15"/>
      <c r="Q494" s="14"/>
      <c r="R494" s="15"/>
      <c r="S494" s="14"/>
      <c r="T494" s="15"/>
      <c r="U494" s="14"/>
      <c r="V494" s="15"/>
      <c r="W494" s="14"/>
      <c r="X494" s="15"/>
      <c r="Y494" s="14"/>
      <c r="Z494" s="15"/>
      <c r="AA494" s="14"/>
      <c r="AB494" s="15"/>
      <c r="AC494" s="14"/>
      <c r="AD494" s="15"/>
      <c r="AE494" s="14"/>
      <c r="AF494" s="15"/>
      <c r="AG494" s="15"/>
      <c r="AH494" s="15"/>
      <c r="AI494" s="14"/>
      <c r="AJ494" s="14"/>
      <c r="AK494" s="17"/>
    </row>
    <row r="495" customFormat="false" ht="42.75" hidden="false" customHeight="true" outlineLevel="0" collapsed="false">
      <c r="A495" s="11" t="n">
        <v>493</v>
      </c>
      <c r="B495" s="11" t="str">
        <f aca="false">IF(I495="Y",IF(COUNTIF(I$3:I495,"Y")&lt;=20,"pilot",IF(COUNTIF(I$3:I495,"Y")&lt;=40,"dev",IF(COUNTIF(I$3:I495,"Y")&lt;=120,"test","extra"))),"")</f>
        <v/>
      </c>
      <c r="C495" s="11" t="str">
        <f aca="false">IF(I495="Y",IF(COUNTA(K495,Q495,W495,AC495,AE495)=5,"done","in progress"),IF(I495="N","excluded",""))</f>
        <v/>
      </c>
      <c r="D495" s="11" t="s">
        <v>1775</v>
      </c>
      <c r="E495" s="12" t="s">
        <v>90</v>
      </c>
      <c r="F495" s="13" t="s">
        <v>1776</v>
      </c>
      <c r="G495" s="11" t="s">
        <v>193</v>
      </c>
      <c r="H495" s="11"/>
      <c r="I495" s="14"/>
      <c r="J495" s="14"/>
      <c r="K495" s="14"/>
      <c r="L495" s="15"/>
      <c r="M495" s="14"/>
      <c r="N495" s="15"/>
      <c r="O495" s="14"/>
      <c r="P495" s="15"/>
      <c r="Q495" s="14"/>
      <c r="R495" s="15"/>
      <c r="S495" s="14"/>
      <c r="T495" s="15"/>
      <c r="U495" s="14"/>
      <c r="V495" s="15"/>
      <c r="W495" s="14"/>
      <c r="X495" s="15"/>
      <c r="Y495" s="14"/>
      <c r="Z495" s="15"/>
      <c r="AA495" s="14"/>
      <c r="AB495" s="15"/>
      <c r="AC495" s="14"/>
      <c r="AD495" s="15"/>
      <c r="AE495" s="14"/>
      <c r="AF495" s="15"/>
      <c r="AG495" s="15"/>
      <c r="AH495" s="15"/>
      <c r="AI495" s="14"/>
      <c r="AJ495" s="14"/>
      <c r="AK495" s="17"/>
    </row>
    <row r="496" customFormat="false" ht="42.75" hidden="false" customHeight="true" outlineLevel="0" collapsed="false">
      <c r="A496" s="11" t="n">
        <v>494</v>
      </c>
      <c r="B496" s="11" t="str">
        <f aca="false">IF(I496="Y",IF(COUNTIF(I$3:I496,"Y")&lt;=20,"pilot",IF(COUNTIF(I$3:I496,"Y")&lt;=40,"dev",IF(COUNTIF(I$3:I496,"Y")&lt;=120,"test","extra"))),"")</f>
        <v/>
      </c>
      <c r="C496" s="11" t="str">
        <f aca="false">IF(I496="Y",IF(COUNTA(K496,Q496,W496,AC496,AE496)=5,"done","in progress"),IF(I496="N","excluded",""))</f>
        <v/>
      </c>
      <c r="D496" s="11" t="s">
        <v>1777</v>
      </c>
      <c r="E496" s="12" t="s">
        <v>90</v>
      </c>
      <c r="F496" s="13" t="s">
        <v>1778</v>
      </c>
      <c r="G496" s="11" t="s">
        <v>205</v>
      </c>
      <c r="H496" s="11"/>
      <c r="I496" s="14"/>
      <c r="J496" s="14"/>
      <c r="K496" s="14"/>
      <c r="L496" s="15"/>
      <c r="M496" s="14"/>
      <c r="N496" s="15"/>
      <c r="O496" s="14"/>
      <c r="P496" s="15"/>
      <c r="Q496" s="14"/>
      <c r="R496" s="15"/>
      <c r="S496" s="14"/>
      <c r="T496" s="15"/>
      <c r="U496" s="14"/>
      <c r="V496" s="15"/>
      <c r="W496" s="14"/>
      <c r="X496" s="15"/>
      <c r="Y496" s="14"/>
      <c r="Z496" s="15"/>
      <c r="AA496" s="14"/>
      <c r="AB496" s="15"/>
      <c r="AC496" s="14"/>
      <c r="AD496" s="15"/>
      <c r="AE496" s="14"/>
      <c r="AF496" s="15"/>
      <c r="AG496" s="15"/>
      <c r="AH496" s="15"/>
      <c r="AI496" s="14"/>
      <c r="AJ496" s="14"/>
      <c r="AK496" s="17"/>
    </row>
    <row r="497" customFormat="false" ht="28.5" hidden="false" customHeight="true" outlineLevel="0" collapsed="false">
      <c r="A497" s="11" t="n">
        <v>495</v>
      </c>
      <c r="B497" s="11" t="str">
        <f aca="false">IF(I497="Y",IF(COUNTIF(I$3:I497,"Y")&lt;=20,"pilot",IF(COUNTIF(I$3:I497,"Y")&lt;=40,"dev",IF(COUNTIF(I$3:I497,"Y")&lt;=120,"test","extra"))),"")</f>
        <v/>
      </c>
      <c r="C497" s="11" t="str">
        <f aca="false">IF(I497="Y",IF(COUNTA(K497,Q497,W497,AC497,AE497)=5,"done","in progress"),IF(I497="N","excluded",""))</f>
        <v/>
      </c>
      <c r="D497" s="11" t="s">
        <v>1779</v>
      </c>
      <c r="E497" s="12" t="s">
        <v>90</v>
      </c>
      <c r="F497" s="13" t="s">
        <v>1780</v>
      </c>
      <c r="G497" s="11" t="s">
        <v>1188</v>
      </c>
      <c r="H497" s="11"/>
      <c r="I497" s="14"/>
      <c r="J497" s="14"/>
      <c r="K497" s="14"/>
      <c r="L497" s="15"/>
      <c r="M497" s="14"/>
      <c r="N497" s="15"/>
      <c r="O497" s="14"/>
      <c r="P497" s="15"/>
      <c r="Q497" s="14"/>
      <c r="R497" s="15"/>
      <c r="S497" s="14"/>
      <c r="T497" s="15"/>
      <c r="U497" s="14"/>
      <c r="V497" s="15"/>
      <c r="W497" s="14"/>
      <c r="X497" s="15"/>
      <c r="Y497" s="14"/>
      <c r="Z497" s="15"/>
      <c r="AA497" s="14"/>
      <c r="AB497" s="15"/>
      <c r="AC497" s="14"/>
      <c r="AD497" s="15"/>
      <c r="AE497" s="14"/>
      <c r="AF497" s="15"/>
      <c r="AG497" s="15"/>
      <c r="AH497" s="15"/>
      <c r="AI497" s="14"/>
      <c r="AJ497" s="14"/>
      <c r="AK497" s="17"/>
    </row>
    <row r="498" customFormat="false" ht="57" hidden="false" customHeight="true" outlineLevel="0" collapsed="false">
      <c r="A498" s="11" t="n">
        <v>496</v>
      </c>
      <c r="B498" s="11" t="str">
        <f aca="false">IF(I498="Y",IF(COUNTIF(I$3:I498,"Y")&lt;=20,"pilot",IF(COUNTIF(I$3:I498,"Y")&lt;=40,"dev",IF(COUNTIF(I$3:I498,"Y")&lt;=120,"test","extra"))),"")</f>
        <v/>
      </c>
      <c r="C498" s="11" t="str">
        <f aca="false">IF(I498="Y",IF(COUNTA(K498,Q498,W498,AC498,AE498)=5,"done","in progress"),IF(I498="N","excluded",""))</f>
        <v/>
      </c>
      <c r="D498" s="11" t="s">
        <v>1781</v>
      </c>
      <c r="E498" s="12" t="s">
        <v>90</v>
      </c>
      <c r="F498" s="13" t="s">
        <v>1782</v>
      </c>
      <c r="G498" s="11" t="s">
        <v>1057</v>
      </c>
      <c r="H498" s="11"/>
      <c r="I498" s="14"/>
      <c r="J498" s="14"/>
      <c r="K498" s="14"/>
      <c r="L498" s="15"/>
      <c r="M498" s="14"/>
      <c r="N498" s="15"/>
      <c r="O498" s="14"/>
      <c r="P498" s="15"/>
      <c r="Q498" s="14"/>
      <c r="R498" s="15"/>
      <c r="S498" s="14"/>
      <c r="T498" s="15"/>
      <c r="U498" s="14"/>
      <c r="V498" s="15"/>
      <c r="W498" s="14"/>
      <c r="X498" s="15"/>
      <c r="Y498" s="14"/>
      <c r="Z498" s="15"/>
      <c r="AA498" s="14"/>
      <c r="AB498" s="15"/>
      <c r="AC498" s="14"/>
      <c r="AD498" s="15"/>
      <c r="AE498" s="14"/>
      <c r="AF498" s="15"/>
      <c r="AG498" s="15"/>
      <c r="AH498" s="15"/>
      <c r="AI498" s="14"/>
      <c r="AJ498" s="14"/>
      <c r="AK498" s="17"/>
    </row>
    <row r="499" customFormat="false" ht="57" hidden="false" customHeight="true" outlineLevel="0" collapsed="false">
      <c r="A499" s="11" t="n">
        <v>497</v>
      </c>
      <c r="B499" s="11" t="str">
        <f aca="false">IF(I499="Y",IF(COUNTIF(I$3:I499,"Y")&lt;=20,"pilot",IF(COUNTIF(I$3:I499,"Y")&lt;=40,"dev",IF(COUNTIF(I$3:I499,"Y")&lt;=120,"test","extra"))),"")</f>
        <v/>
      </c>
      <c r="C499" s="11" t="str">
        <f aca="false">IF(I499="Y",IF(COUNTA(K499,Q499,W499,AC499,AE499)=5,"done","in progress"),IF(I499="N","excluded",""))</f>
        <v/>
      </c>
      <c r="D499" s="11" t="s">
        <v>1783</v>
      </c>
      <c r="E499" s="12" t="s">
        <v>90</v>
      </c>
      <c r="F499" s="13" t="s">
        <v>1784</v>
      </c>
      <c r="G499" s="11" t="s">
        <v>118</v>
      </c>
      <c r="H499" s="11"/>
      <c r="I499" s="14"/>
      <c r="J499" s="14"/>
      <c r="K499" s="14"/>
      <c r="L499" s="15"/>
      <c r="M499" s="14"/>
      <c r="N499" s="15"/>
      <c r="O499" s="14"/>
      <c r="P499" s="15"/>
      <c r="Q499" s="14"/>
      <c r="R499" s="15"/>
      <c r="S499" s="14"/>
      <c r="T499" s="15"/>
      <c r="U499" s="14"/>
      <c r="V499" s="15"/>
      <c r="W499" s="14"/>
      <c r="X499" s="15"/>
      <c r="Y499" s="14"/>
      <c r="Z499" s="15"/>
      <c r="AA499" s="14"/>
      <c r="AB499" s="15"/>
      <c r="AC499" s="14"/>
      <c r="AD499" s="15"/>
      <c r="AE499" s="14"/>
      <c r="AF499" s="15"/>
      <c r="AG499" s="15"/>
      <c r="AH499" s="15"/>
      <c r="AI499" s="14"/>
      <c r="AJ499" s="14"/>
      <c r="AK499" s="17"/>
    </row>
    <row r="500" customFormat="false" ht="42.75" hidden="false" customHeight="true" outlineLevel="0" collapsed="false">
      <c r="A500" s="11" t="n">
        <v>498</v>
      </c>
      <c r="B500" s="11" t="str">
        <f aca="false">IF(I500="Y",IF(COUNTIF(I$3:I500,"Y")&lt;=20,"pilot",IF(COUNTIF(I$3:I500,"Y")&lt;=40,"dev",IF(COUNTIF(I$3:I500,"Y")&lt;=120,"test","extra"))),"")</f>
        <v/>
      </c>
      <c r="C500" s="11" t="str">
        <f aca="false">IF(I500="Y",IF(COUNTA(K500,Q500,W500,AC500,AE500)=5,"done","in progress"),IF(I500="N","excluded",""))</f>
        <v/>
      </c>
      <c r="D500" s="11" t="s">
        <v>1785</v>
      </c>
      <c r="E500" s="12" t="s">
        <v>90</v>
      </c>
      <c r="F500" s="13" t="s">
        <v>1786</v>
      </c>
      <c r="G500" s="11" t="s">
        <v>858</v>
      </c>
      <c r="H500" s="11"/>
      <c r="I500" s="14"/>
      <c r="J500" s="14"/>
      <c r="K500" s="14"/>
      <c r="L500" s="15"/>
      <c r="M500" s="14"/>
      <c r="N500" s="15"/>
      <c r="O500" s="14"/>
      <c r="P500" s="15"/>
      <c r="Q500" s="14"/>
      <c r="R500" s="15"/>
      <c r="S500" s="14"/>
      <c r="T500" s="15"/>
      <c r="U500" s="14"/>
      <c r="V500" s="15"/>
      <c r="W500" s="14"/>
      <c r="X500" s="15"/>
      <c r="Y500" s="14"/>
      <c r="Z500" s="15"/>
      <c r="AA500" s="14"/>
      <c r="AB500" s="15"/>
      <c r="AC500" s="14"/>
      <c r="AD500" s="15"/>
      <c r="AE500" s="14"/>
      <c r="AF500" s="15"/>
      <c r="AG500" s="15"/>
      <c r="AH500" s="15"/>
      <c r="AI500" s="14"/>
      <c r="AJ500" s="14"/>
      <c r="AK500" s="17"/>
    </row>
    <row r="501" customFormat="false" ht="57" hidden="false" customHeight="true" outlineLevel="0" collapsed="false">
      <c r="A501" s="11" t="n">
        <v>499</v>
      </c>
      <c r="B501" s="11" t="str">
        <f aca="false">IF(I501="Y",IF(COUNTIF(I$3:I501,"Y")&lt;=20,"pilot",IF(COUNTIF(I$3:I501,"Y")&lt;=40,"dev",IF(COUNTIF(I$3:I501,"Y")&lt;=120,"test","extra"))),"")</f>
        <v/>
      </c>
      <c r="C501" s="11" t="str">
        <f aca="false">IF(I501="Y",IF(COUNTA(K501,Q501,W501,AC501,AE501)=5,"done","in progress"),IF(I501="N","excluded",""))</f>
        <v/>
      </c>
      <c r="D501" s="11" t="s">
        <v>1787</v>
      </c>
      <c r="E501" s="12" t="s">
        <v>90</v>
      </c>
      <c r="F501" s="13" t="s">
        <v>1788</v>
      </c>
      <c r="G501" s="11" t="s">
        <v>644</v>
      </c>
      <c r="H501" s="11"/>
      <c r="I501" s="14"/>
      <c r="J501" s="14"/>
      <c r="K501" s="14"/>
      <c r="L501" s="15"/>
      <c r="M501" s="14"/>
      <c r="N501" s="15"/>
      <c r="O501" s="14"/>
      <c r="P501" s="15"/>
      <c r="Q501" s="14"/>
      <c r="R501" s="15"/>
      <c r="S501" s="14"/>
      <c r="T501" s="15"/>
      <c r="U501" s="14"/>
      <c r="V501" s="15"/>
      <c r="W501" s="14"/>
      <c r="X501" s="15"/>
      <c r="Y501" s="14"/>
      <c r="Z501" s="15"/>
      <c r="AA501" s="14"/>
      <c r="AB501" s="15"/>
      <c r="AC501" s="14"/>
      <c r="AD501" s="15"/>
      <c r="AE501" s="14"/>
      <c r="AF501" s="15"/>
      <c r="AG501" s="15"/>
      <c r="AH501" s="15"/>
      <c r="AI501" s="14"/>
      <c r="AJ501" s="14"/>
      <c r="AK501" s="17"/>
    </row>
    <row r="502" customFormat="false" ht="28.5" hidden="false" customHeight="true" outlineLevel="0" collapsed="false">
      <c r="A502" s="11" t="n">
        <v>500</v>
      </c>
      <c r="B502" s="11" t="str">
        <f aca="false">IF(I502="Y",IF(COUNTIF(I$3:I502,"Y")&lt;=20,"pilot",IF(COUNTIF(I$3:I502,"Y")&lt;=40,"dev",IF(COUNTIF(I$3:I502,"Y")&lt;=120,"test","extra"))),"")</f>
        <v/>
      </c>
      <c r="C502" s="11" t="str">
        <f aca="false">IF(I502="Y",IF(COUNTA(K502,Q502,W502,AC502,AE502)=5,"done","in progress"),IF(I502="N","excluded",""))</f>
        <v/>
      </c>
      <c r="D502" s="11" t="s">
        <v>1789</v>
      </c>
      <c r="E502" s="12" t="s">
        <v>90</v>
      </c>
      <c r="F502" s="13" t="s">
        <v>1790</v>
      </c>
      <c r="G502" s="11" t="s">
        <v>651</v>
      </c>
      <c r="H502" s="11"/>
      <c r="I502" s="14"/>
      <c r="J502" s="14"/>
      <c r="K502" s="14"/>
      <c r="L502" s="15"/>
      <c r="M502" s="14"/>
      <c r="N502" s="15"/>
      <c r="O502" s="14"/>
      <c r="P502" s="15"/>
      <c r="Q502" s="14"/>
      <c r="R502" s="15"/>
      <c r="S502" s="14"/>
      <c r="T502" s="15"/>
      <c r="U502" s="14"/>
      <c r="V502" s="15"/>
      <c r="W502" s="14"/>
      <c r="X502" s="15"/>
      <c r="Y502" s="14"/>
      <c r="Z502" s="15"/>
      <c r="AA502" s="14"/>
      <c r="AB502" s="15"/>
      <c r="AC502" s="14"/>
      <c r="AD502" s="15"/>
      <c r="AE502" s="14"/>
      <c r="AF502" s="15"/>
      <c r="AG502" s="15"/>
      <c r="AH502" s="15"/>
      <c r="AI502" s="14"/>
      <c r="AJ502" s="14"/>
      <c r="AK502" s="17"/>
    </row>
    <row r="503" customFormat="false" ht="42.75" hidden="false" customHeight="true" outlineLevel="0" collapsed="false">
      <c r="A503" s="11" t="n">
        <v>501</v>
      </c>
      <c r="B503" s="11" t="str">
        <f aca="false">IF(I503="Y",IF(COUNTIF(I$3:I503,"Y")&lt;=20,"pilot",IF(COUNTIF(I$3:I503,"Y")&lt;=40,"dev",IF(COUNTIF(I$3:I503,"Y")&lt;=120,"test","extra"))),"")</f>
        <v/>
      </c>
      <c r="C503" s="11" t="str">
        <f aca="false">IF(I503="Y",IF(COUNTA(K503,Q503,W503,AC503,AE503)=5,"done","in progress"),IF(I503="N","excluded",""))</f>
        <v/>
      </c>
      <c r="D503" s="11" t="s">
        <v>1791</v>
      </c>
      <c r="E503" s="12" t="s">
        <v>90</v>
      </c>
      <c r="F503" s="13" t="s">
        <v>1792</v>
      </c>
      <c r="G503" s="11" t="s">
        <v>1281</v>
      </c>
      <c r="H503" s="11"/>
      <c r="I503" s="14"/>
      <c r="J503" s="14"/>
      <c r="K503" s="14"/>
      <c r="L503" s="15"/>
      <c r="M503" s="14"/>
      <c r="N503" s="15"/>
      <c r="O503" s="14"/>
      <c r="P503" s="15"/>
      <c r="Q503" s="14"/>
      <c r="R503" s="15"/>
      <c r="S503" s="14"/>
      <c r="T503" s="15"/>
      <c r="U503" s="14"/>
      <c r="V503" s="15"/>
      <c r="W503" s="14"/>
      <c r="X503" s="15"/>
      <c r="Y503" s="14"/>
      <c r="Z503" s="15"/>
      <c r="AA503" s="14"/>
      <c r="AB503" s="15"/>
      <c r="AC503" s="14"/>
      <c r="AD503" s="15"/>
      <c r="AE503" s="14"/>
      <c r="AF503" s="15"/>
      <c r="AG503" s="15"/>
      <c r="AH503" s="15"/>
      <c r="AI503" s="14"/>
      <c r="AJ503" s="14"/>
      <c r="AK503" s="17"/>
    </row>
    <row r="504" customFormat="false" ht="57" hidden="false" customHeight="true" outlineLevel="0" collapsed="false">
      <c r="A504" s="11" t="n">
        <v>502</v>
      </c>
      <c r="B504" s="11" t="str">
        <f aca="false">IF(I504="Y",IF(COUNTIF(I$3:I504,"Y")&lt;=20,"pilot",IF(COUNTIF(I$3:I504,"Y")&lt;=40,"dev",IF(COUNTIF(I$3:I504,"Y")&lt;=120,"test","extra"))),"")</f>
        <v/>
      </c>
      <c r="C504" s="11" t="str">
        <f aca="false">IF(I504="Y",IF(COUNTA(K504,Q504,W504,AC504,AE504)=5,"done","in progress"),IF(I504="N","excluded",""))</f>
        <v/>
      </c>
      <c r="D504" s="11" t="s">
        <v>1793</v>
      </c>
      <c r="E504" s="12" t="s">
        <v>90</v>
      </c>
      <c r="F504" s="13" t="s">
        <v>1794</v>
      </c>
      <c r="G504" s="11" t="s">
        <v>1050</v>
      </c>
      <c r="H504" s="11"/>
      <c r="I504" s="14"/>
      <c r="J504" s="14"/>
      <c r="K504" s="14"/>
      <c r="L504" s="15"/>
      <c r="M504" s="14"/>
      <c r="N504" s="15"/>
      <c r="O504" s="14"/>
      <c r="P504" s="15"/>
      <c r="Q504" s="14"/>
      <c r="R504" s="15"/>
      <c r="S504" s="14"/>
      <c r="T504" s="15"/>
      <c r="U504" s="14"/>
      <c r="V504" s="15"/>
      <c r="W504" s="14"/>
      <c r="X504" s="15"/>
      <c r="Y504" s="14"/>
      <c r="Z504" s="15"/>
      <c r="AA504" s="14"/>
      <c r="AB504" s="15"/>
      <c r="AC504" s="14"/>
      <c r="AD504" s="15"/>
      <c r="AE504" s="14"/>
      <c r="AF504" s="15"/>
      <c r="AG504" s="15"/>
      <c r="AH504" s="15"/>
      <c r="AI504" s="14"/>
      <c r="AJ504" s="14"/>
      <c r="AK504" s="17"/>
    </row>
    <row r="505" customFormat="false" ht="15" hidden="false" customHeight="true" outlineLevel="0" collapsed="false">
      <c r="A505" s="11" t="n">
        <v>503</v>
      </c>
      <c r="B505" s="11" t="str">
        <f aca="false">IF(I505="Y",IF(COUNTIF(I$3:I505,"Y")&lt;=20,"pilot",IF(COUNTIF(I$3:I505,"Y")&lt;=40,"dev",IF(COUNTIF(I$3:I505,"Y")&lt;=120,"test","extra"))),"")</f>
        <v/>
      </c>
      <c r="C505" s="11" t="str">
        <f aca="false">IF(I505="Y",IF(COUNTA(K505,Q505,W505,AC505,AE505)=5,"done","in progress"),IF(I505="N","excluded",""))</f>
        <v/>
      </c>
      <c r="D505" s="11" t="s">
        <v>1795</v>
      </c>
      <c r="E505" s="12" t="s">
        <v>90</v>
      </c>
      <c r="F505" s="13" t="s">
        <v>1796</v>
      </c>
      <c r="G505" s="11" t="s">
        <v>1668</v>
      </c>
      <c r="H505" s="11"/>
      <c r="I505" s="14"/>
      <c r="J505" s="14"/>
      <c r="K505" s="14"/>
      <c r="L505" s="15"/>
      <c r="M505" s="14"/>
      <c r="N505" s="15"/>
      <c r="O505" s="14"/>
      <c r="P505" s="15"/>
      <c r="Q505" s="14"/>
      <c r="R505" s="15"/>
      <c r="S505" s="14"/>
      <c r="T505" s="15"/>
      <c r="U505" s="14"/>
      <c r="V505" s="15"/>
      <c r="W505" s="14"/>
      <c r="X505" s="15"/>
      <c r="Y505" s="14"/>
      <c r="Z505" s="15"/>
      <c r="AA505" s="14"/>
      <c r="AB505" s="15"/>
      <c r="AC505" s="14"/>
      <c r="AD505" s="15"/>
      <c r="AE505" s="14"/>
      <c r="AF505" s="15"/>
      <c r="AG505" s="15"/>
      <c r="AH505" s="15"/>
      <c r="AI505" s="14"/>
      <c r="AJ505" s="14"/>
      <c r="AK505" s="17"/>
    </row>
    <row r="506" customFormat="false" ht="42.75" hidden="false" customHeight="true" outlineLevel="0" collapsed="false">
      <c r="A506" s="11" t="n">
        <v>504</v>
      </c>
      <c r="B506" s="11" t="str">
        <f aca="false">IF(I506="Y",IF(COUNTIF(I$3:I506,"Y")&lt;=20,"pilot",IF(COUNTIF(I$3:I506,"Y")&lt;=40,"dev",IF(COUNTIF(I$3:I506,"Y")&lt;=120,"test","extra"))),"")</f>
        <v/>
      </c>
      <c r="C506" s="11" t="str">
        <f aca="false">IF(I506="Y",IF(COUNTA(K506,Q506,W506,AC506,AE506)=5,"done","in progress"),IF(I506="N","excluded",""))</f>
        <v/>
      </c>
      <c r="D506" s="11" t="s">
        <v>1797</v>
      </c>
      <c r="E506" s="12" t="s">
        <v>90</v>
      </c>
      <c r="F506" s="13" t="s">
        <v>1798</v>
      </c>
      <c r="G506" s="11" t="s">
        <v>306</v>
      </c>
      <c r="H506" s="11"/>
      <c r="I506" s="14"/>
      <c r="J506" s="14"/>
      <c r="K506" s="14"/>
      <c r="L506" s="15"/>
      <c r="M506" s="14"/>
      <c r="N506" s="15"/>
      <c r="O506" s="14"/>
      <c r="P506" s="15"/>
      <c r="Q506" s="14"/>
      <c r="R506" s="15"/>
      <c r="S506" s="14"/>
      <c r="T506" s="15"/>
      <c r="U506" s="14"/>
      <c r="V506" s="15"/>
      <c r="W506" s="14"/>
      <c r="X506" s="15"/>
      <c r="Y506" s="14"/>
      <c r="Z506" s="15"/>
      <c r="AA506" s="14"/>
      <c r="AB506" s="15"/>
      <c r="AC506" s="14"/>
      <c r="AD506" s="15"/>
      <c r="AE506" s="14"/>
      <c r="AF506" s="15"/>
      <c r="AG506" s="15"/>
      <c r="AH506" s="15"/>
      <c r="AI506" s="14"/>
      <c r="AJ506" s="14"/>
      <c r="AK506" s="17"/>
    </row>
    <row r="507" customFormat="false" ht="42.75" hidden="false" customHeight="true" outlineLevel="0" collapsed="false">
      <c r="A507" s="11" t="n">
        <v>505</v>
      </c>
      <c r="B507" s="11" t="str">
        <f aca="false">IF(I507="Y",IF(COUNTIF(I$3:I507,"Y")&lt;=20,"pilot",IF(COUNTIF(I$3:I507,"Y")&lt;=40,"dev",IF(COUNTIF(I$3:I507,"Y")&lt;=120,"test","extra"))),"")</f>
        <v/>
      </c>
      <c r="C507" s="11" t="str">
        <f aca="false">IF(I507="Y",IF(COUNTA(K507,Q507,W507,AC507,AE507)=5,"done","in progress"),IF(I507="N","excluded",""))</f>
        <v/>
      </c>
      <c r="D507" s="11" t="s">
        <v>1799</v>
      </c>
      <c r="E507" s="12" t="s">
        <v>90</v>
      </c>
      <c r="F507" s="13" t="s">
        <v>1800</v>
      </c>
      <c r="G507" s="11" t="s">
        <v>136</v>
      </c>
      <c r="H507" s="11"/>
      <c r="I507" s="14"/>
      <c r="J507" s="14"/>
      <c r="K507" s="14"/>
      <c r="L507" s="15"/>
      <c r="M507" s="14"/>
      <c r="N507" s="15"/>
      <c r="O507" s="14"/>
      <c r="P507" s="15"/>
      <c r="Q507" s="14"/>
      <c r="R507" s="15"/>
      <c r="S507" s="14"/>
      <c r="T507" s="15"/>
      <c r="U507" s="14"/>
      <c r="V507" s="15"/>
      <c r="W507" s="14"/>
      <c r="X507" s="15"/>
      <c r="Y507" s="14"/>
      <c r="Z507" s="15"/>
      <c r="AA507" s="14"/>
      <c r="AB507" s="15"/>
      <c r="AC507" s="14"/>
      <c r="AD507" s="15"/>
      <c r="AE507" s="14"/>
      <c r="AF507" s="15"/>
      <c r="AG507" s="15"/>
      <c r="AH507" s="15"/>
      <c r="AI507" s="14"/>
      <c r="AJ507" s="14"/>
      <c r="AK507" s="17"/>
    </row>
    <row r="508" customFormat="false" ht="57" hidden="false" customHeight="true" outlineLevel="0" collapsed="false">
      <c r="A508" s="11" t="n">
        <v>506</v>
      </c>
      <c r="B508" s="11" t="str">
        <f aca="false">IF(I508="Y",IF(COUNTIF(I$3:I508,"Y")&lt;=20,"pilot",IF(COUNTIF(I$3:I508,"Y")&lt;=40,"dev",IF(COUNTIF(I$3:I508,"Y")&lt;=120,"test","extra"))),"")</f>
        <v/>
      </c>
      <c r="C508" s="11" t="str">
        <f aca="false">IF(I508="Y",IF(COUNTA(K508,Q508,W508,AC508,AE508)=5,"done","in progress"),IF(I508="N","excluded",""))</f>
        <v/>
      </c>
      <c r="D508" s="11" t="s">
        <v>1801</v>
      </c>
      <c r="E508" s="12" t="s">
        <v>90</v>
      </c>
      <c r="F508" s="13" t="s">
        <v>1802</v>
      </c>
      <c r="G508" s="11" t="s">
        <v>1234</v>
      </c>
      <c r="H508" s="11"/>
      <c r="I508" s="14"/>
      <c r="J508" s="14"/>
      <c r="K508" s="14"/>
      <c r="L508" s="15"/>
      <c r="M508" s="14"/>
      <c r="N508" s="15"/>
      <c r="O508" s="14"/>
      <c r="P508" s="15"/>
      <c r="Q508" s="14"/>
      <c r="R508" s="15"/>
      <c r="S508" s="14"/>
      <c r="T508" s="15"/>
      <c r="U508" s="14"/>
      <c r="V508" s="15"/>
      <c r="W508" s="14"/>
      <c r="X508" s="15"/>
      <c r="Y508" s="14"/>
      <c r="Z508" s="15"/>
      <c r="AA508" s="14"/>
      <c r="AB508" s="15"/>
      <c r="AC508" s="14"/>
      <c r="AD508" s="15"/>
      <c r="AE508" s="14"/>
      <c r="AF508" s="15"/>
      <c r="AG508" s="15"/>
      <c r="AH508" s="15"/>
      <c r="AI508" s="14"/>
      <c r="AJ508" s="14"/>
      <c r="AK508" s="17"/>
    </row>
    <row r="509" customFormat="false" ht="42.75" hidden="false" customHeight="true" outlineLevel="0" collapsed="false">
      <c r="A509" s="11" t="n">
        <v>507</v>
      </c>
      <c r="B509" s="11" t="str">
        <f aca="false">IF(I509="Y",IF(COUNTIF(I$3:I509,"Y")&lt;=20,"pilot",IF(COUNTIF(I$3:I509,"Y")&lt;=40,"dev",IF(COUNTIF(I$3:I509,"Y")&lt;=120,"test","extra"))),"")</f>
        <v/>
      </c>
      <c r="C509" s="11" t="str">
        <f aca="false">IF(I509="Y",IF(COUNTA(K509,Q509,W509,AC509,AE509)=5,"done","in progress"),IF(I509="N","excluded",""))</f>
        <v/>
      </c>
      <c r="D509" s="11" t="s">
        <v>1803</v>
      </c>
      <c r="E509" s="12" t="s">
        <v>90</v>
      </c>
      <c r="F509" s="13" t="s">
        <v>1804</v>
      </c>
      <c r="G509" s="11" t="s">
        <v>125</v>
      </c>
      <c r="H509" s="11"/>
      <c r="I509" s="14"/>
      <c r="J509" s="14"/>
      <c r="K509" s="14"/>
      <c r="L509" s="15"/>
      <c r="M509" s="14"/>
      <c r="N509" s="15"/>
      <c r="O509" s="14"/>
      <c r="P509" s="15"/>
      <c r="Q509" s="14"/>
      <c r="R509" s="15"/>
      <c r="S509" s="14"/>
      <c r="T509" s="15"/>
      <c r="U509" s="14"/>
      <c r="V509" s="15"/>
      <c r="W509" s="14"/>
      <c r="X509" s="15"/>
      <c r="Y509" s="14"/>
      <c r="Z509" s="15"/>
      <c r="AA509" s="14"/>
      <c r="AB509" s="15"/>
      <c r="AC509" s="14"/>
      <c r="AD509" s="15"/>
      <c r="AE509" s="14"/>
      <c r="AF509" s="15"/>
      <c r="AG509" s="15"/>
      <c r="AH509" s="15"/>
      <c r="AI509" s="14"/>
      <c r="AJ509" s="14"/>
      <c r="AK509" s="17"/>
    </row>
    <row r="510" customFormat="false" ht="28.5" hidden="false" customHeight="true" outlineLevel="0" collapsed="false">
      <c r="A510" s="11" t="n">
        <v>508</v>
      </c>
      <c r="B510" s="11" t="str">
        <f aca="false">IF(I510="Y",IF(COUNTIF(I$3:I510,"Y")&lt;=20,"pilot",IF(COUNTIF(I$3:I510,"Y")&lt;=40,"dev",IF(COUNTIF(I$3:I510,"Y")&lt;=120,"test","extra"))),"")</f>
        <v/>
      </c>
      <c r="C510" s="11" t="str">
        <f aca="false">IF(I510="Y",IF(COUNTA(K510,Q510,W510,AC510,AE510)=5,"done","in progress"),IF(I510="N","excluded",""))</f>
        <v/>
      </c>
      <c r="D510" s="11" t="s">
        <v>1805</v>
      </c>
      <c r="E510" s="12" t="s">
        <v>90</v>
      </c>
      <c r="F510" s="13" t="s">
        <v>1806</v>
      </c>
      <c r="G510" s="11" t="s">
        <v>1459</v>
      </c>
      <c r="H510" s="11" t="s">
        <v>1463</v>
      </c>
      <c r="I510" s="14"/>
      <c r="J510" s="14"/>
      <c r="K510" s="14"/>
      <c r="L510" s="15"/>
      <c r="M510" s="14"/>
      <c r="N510" s="15"/>
      <c r="O510" s="14"/>
      <c r="P510" s="15"/>
      <c r="Q510" s="14"/>
      <c r="R510" s="15"/>
      <c r="S510" s="14"/>
      <c r="T510" s="15"/>
      <c r="U510" s="14"/>
      <c r="V510" s="15"/>
      <c r="W510" s="14"/>
      <c r="X510" s="15"/>
      <c r="Y510" s="14"/>
      <c r="Z510" s="15"/>
      <c r="AA510" s="14"/>
      <c r="AB510" s="15"/>
      <c r="AC510" s="14"/>
      <c r="AD510" s="15"/>
      <c r="AE510" s="14"/>
      <c r="AF510" s="15"/>
      <c r="AG510" s="15"/>
      <c r="AH510" s="15"/>
      <c r="AI510" s="14"/>
      <c r="AJ510" s="14"/>
      <c r="AK510" s="17"/>
    </row>
    <row r="511" customFormat="false" ht="42.75" hidden="false" customHeight="true" outlineLevel="0" collapsed="false">
      <c r="A511" s="11" t="n">
        <v>509</v>
      </c>
      <c r="B511" s="11" t="str">
        <f aca="false">IF(I511="Y",IF(COUNTIF(I$3:I511,"Y")&lt;=20,"pilot",IF(COUNTIF(I$3:I511,"Y")&lt;=40,"dev",IF(COUNTIF(I$3:I511,"Y")&lt;=120,"test","extra"))),"")</f>
        <v/>
      </c>
      <c r="C511" s="11" t="str">
        <f aca="false">IF(I511="Y",IF(COUNTA(K511,Q511,W511,AC511,AE511)=5,"done","in progress"),IF(I511="N","excluded",""))</f>
        <v/>
      </c>
      <c r="D511" s="11" t="s">
        <v>1807</v>
      </c>
      <c r="E511" s="12" t="s">
        <v>90</v>
      </c>
      <c r="F511" s="13" t="s">
        <v>1808</v>
      </c>
      <c r="G511" s="11" t="s">
        <v>193</v>
      </c>
      <c r="H511" s="11"/>
      <c r="I511" s="14"/>
      <c r="J511" s="14"/>
      <c r="K511" s="14"/>
      <c r="L511" s="15"/>
      <c r="M511" s="14"/>
      <c r="N511" s="15"/>
      <c r="O511" s="14"/>
      <c r="P511" s="15"/>
      <c r="Q511" s="14"/>
      <c r="R511" s="15"/>
      <c r="S511" s="14"/>
      <c r="T511" s="15"/>
      <c r="U511" s="14"/>
      <c r="V511" s="15"/>
      <c r="W511" s="14"/>
      <c r="X511" s="15"/>
      <c r="Y511" s="14"/>
      <c r="Z511" s="15"/>
      <c r="AA511" s="14"/>
      <c r="AB511" s="15"/>
      <c r="AC511" s="14"/>
      <c r="AD511" s="15"/>
      <c r="AE511" s="14"/>
      <c r="AF511" s="15"/>
      <c r="AG511" s="15"/>
      <c r="AH511" s="15"/>
      <c r="AI511" s="14"/>
      <c r="AJ511" s="14"/>
      <c r="AK511" s="17"/>
    </row>
    <row r="512" customFormat="false" ht="42.75" hidden="false" customHeight="true" outlineLevel="0" collapsed="false">
      <c r="A512" s="11" t="n">
        <v>510</v>
      </c>
      <c r="B512" s="11" t="str">
        <f aca="false">IF(I512="Y",IF(COUNTIF(I$3:I512,"Y")&lt;=20,"pilot",IF(COUNTIF(I$3:I512,"Y")&lt;=40,"dev",IF(COUNTIF(I$3:I512,"Y")&lt;=120,"test","extra"))),"")</f>
        <v/>
      </c>
      <c r="C512" s="11" t="str">
        <f aca="false">IF(I512="Y",IF(COUNTA(K512,Q512,W512,AC512,AE512)=5,"done","in progress"),IF(I512="N","excluded",""))</f>
        <v/>
      </c>
      <c r="D512" s="11" t="s">
        <v>1809</v>
      </c>
      <c r="E512" s="12" t="s">
        <v>90</v>
      </c>
      <c r="F512" s="13" t="s">
        <v>1810</v>
      </c>
      <c r="G512" s="11" t="s">
        <v>193</v>
      </c>
      <c r="H512" s="11"/>
      <c r="I512" s="14"/>
      <c r="J512" s="14"/>
      <c r="K512" s="14"/>
      <c r="L512" s="15"/>
      <c r="M512" s="14"/>
      <c r="N512" s="15"/>
      <c r="O512" s="14"/>
      <c r="P512" s="15"/>
      <c r="Q512" s="14"/>
      <c r="R512" s="15"/>
      <c r="S512" s="14"/>
      <c r="T512" s="15"/>
      <c r="U512" s="14"/>
      <c r="V512" s="15"/>
      <c r="W512" s="14"/>
      <c r="X512" s="15"/>
      <c r="Y512" s="14"/>
      <c r="Z512" s="15"/>
      <c r="AA512" s="14"/>
      <c r="AB512" s="15"/>
      <c r="AC512" s="14"/>
      <c r="AD512" s="15"/>
      <c r="AE512" s="14"/>
      <c r="AF512" s="15"/>
      <c r="AG512" s="15"/>
      <c r="AH512" s="15"/>
      <c r="AI512" s="14"/>
      <c r="AJ512" s="14"/>
      <c r="AK512" s="17"/>
    </row>
    <row r="513" customFormat="false" ht="57" hidden="false" customHeight="true" outlineLevel="0" collapsed="false">
      <c r="A513" s="11" t="n">
        <v>511</v>
      </c>
      <c r="B513" s="11" t="str">
        <f aca="false">IF(I513="Y",IF(COUNTIF(I$3:I513,"Y")&lt;=20,"pilot",IF(COUNTIF(I$3:I513,"Y")&lt;=40,"dev",IF(COUNTIF(I$3:I513,"Y")&lt;=120,"test","extra"))),"")</f>
        <v/>
      </c>
      <c r="C513" s="11" t="str">
        <f aca="false">IF(I513="Y",IF(COUNTA(K513,Q513,W513,AC513,AE513)=5,"done","in progress"),IF(I513="N","excluded",""))</f>
        <v/>
      </c>
      <c r="D513" s="11" t="s">
        <v>1811</v>
      </c>
      <c r="E513" s="12" t="s">
        <v>90</v>
      </c>
      <c r="F513" s="13" t="s">
        <v>1812</v>
      </c>
      <c r="G513" s="11" t="s">
        <v>1813</v>
      </c>
      <c r="H513" s="11"/>
      <c r="I513" s="14"/>
      <c r="J513" s="14"/>
      <c r="K513" s="14"/>
      <c r="L513" s="15"/>
      <c r="M513" s="14"/>
      <c r="N513" s="15"/>
      <c r="O513" s="14"/>
      <c r="P513" s="15"/>
      <c r="Q513" s="14"/>
      <c r="R513" s="15"/>
      <c r="S513" s="14"/>
      <c r="T513" s="15"/>
      <c r="U513" s="14"/>
      <c r="V513" s="15"/>
      <c r="W513" s="14"/>
      <c r="X513" s="15"/>
      <c r="Y513" s="14"/>
      <c r="Z513" s="15"/>
      <c r="AA513" s="14"/>
      <c r="AB513" s="15"/>
      <c r="AC513" s="14"/>
      <c r="AD513" s="15"/>
      <c r="AE513" s="14"/>
      <c r="AF513" s="15"/>
      <c r="AG513" s="15"/>
      <c r="AH513" s="15"/>
      <c r="AI513" s="14"/>
      <c r="AJ513" s="14"/>
      <c r="AK513" s="17"/>
    </row>
    <row r="514" customFormat="false" ht="57" hidden="false" customHeight="true" outlineLevel="0" collapsed="false">
      <c r="A514" s="11" t="n">
        <v>512</v>
      </c>
      <c r="B514" s="11" t="str">
        <f aca="false">IF(I514="Y",IF(COUNTIF(I$3:I514,"Y")&lt;=20,"pilot",IF(COUNTIF(I$3:I514,"Y")&lt;=40,"dev",IF(COUNTIF(I$3:I514,"Y")&lt;=120,"test","extra"))),"")</f>
        <v/>
      </c>
      <c r="C514" s="11" t="str">
        <f aca="false">IF(I514="Y",IF(COUNTA(K514,Q514,W514,AC514,AE514)=5,"done","in progress"),IF(I514="N","excluded",""))</f>
        <v/>
      </c>
      <c r="D514" s="11" t="s">
        <v>1814</v>
      </c>
      <c r="E514" s="12" t="s">
        <v>90</v>
      </c>
      <c r="F514" s="13" t="s">
        <v>1815</v>
      </c>
      <c r="G514" s="11" t="s">
        <v>1816</v>
      </c>
      <c r="H514" s="11"/>
      <c r="I514" s="14"/>
      <c r="J514" s="14"/>
      <c r="K514" s="14"/>
      <c r="L514" s="15"/>
      <c r="M514" s="14"/>
      <c r="N514" s="15"/>
      <c r="O514" s="14"/>
      <c r="P514" s="15"/>
      <c r="Q514" s="14"/>
      <c r="R514" s="15"/>
      <c r="S514" s="14"/>
      <c r="T514" s="15"/>
      <c r="U514" s="14"/>
      <c r="V514" s="15"/>
      <c r="W514" s="14"/>
      <c r="X514" s="15"/>
      <c r="Y514" s="14"/>
      <c r="Z514" s="15"/>
      <c r="AA514" s="14"/>
      <c r="AB514" s="15"/>
      <c r="AC514" s="14"/>
      <c r="AD514" s="15"/>
      <c r="AE514" s="14"/>
      <c r="AF514" s="15"/>
      <c r="AG514" s="15"/>
      <c r="AH514" s="15"/>
      <c r="AI514" s="14"/>
      <c r="AJ514" s="14"/>
      <c r="AK514" s="17"/>
    </row>
    <row r="515" customFormat="false" ht="42.75" hidden="false" customHeight="true" outlineLevel="0" collapsed="false">
      <c r="A515" s="11" t="n">
        <v>513</v>
      </c>
      <c r="B515" s="11" t="str">
        <f aca="false">IF(I515="Y",IF(COUNTIF(I$3:I515,"Y")&lt;=20,"pilot",IF(COUNTIF(I$3:I515,"Y")&lt;=40,"dev",IF(COUNTIF(I$3:I515,"Y")&lt;=120,"test","extra"))),"")</f>
        <v/>
      </c>
      <c r="C515" s="11" t="str">
        <f aca="false">IF(I515="Y",IF(COUNTA(K515,Q515,W515,AC515,AE515)=5,"done","in progress"),IF(I515="N","excluded",""))</f>
        <v/>
      </c>
      <c r="D515" s="11" t="s">
        <v>1817</v>
      </c>
      <c r="E515" s="12" t="s">
        <v>90</v>
      </c>
      <c r="F515" s="13" t="s">
        <v>1818</v>
      </c>
      <c r="G515" s="11" t="s">
        <v>118</v>
      </c>
      <c r="H515" s="11" t="s">
        <v>1029</v>
      </c>
      <c r="I515" s="14"/>
      <c r="J515" s="14"/>
      <c r="K515" s="14"/>
      <c r="L515" s="15"/>
      <c r="M515" s="14"/>
      <c r="N515" s="15"/>
      <c r="O515" s="14"/>
      <c r="P515" s="15"/>
      <c r="Q515" s="14"/>
      <c r="R515" s="15"/>
      <c r="S515" s="14"/>
      <c r="T515" s="15"/>
      <c r="U515" s="14"/>
      <c r="V515" s="15"/>
      <c r="W515" s="14"/>
      <c r="X515" s="15"/>
      <c r="Y515" s="14"/>
      <c r="Z515" s="15"/>
      <c r="AA515" s="14"/>
      <c r="AB515" s="15"/>
      <c r="AC515" s="14"/>
      <c r="AD515" s="15"/>
      <c r="AE515" s="14"/>
      <c r="AF515" s="15"/>
      <c r="AG515" s="15"/>
      <c r="AH515" s="15"/>
      <c r="AI515" s="14"/>
      <c r="AJ515" s="14"/>
      <c r="AK515" s="17"/>
    </row>
    <row r="516" customFormat="false" ht="42.75" hidden="false" customHeight="true" outlineLevel="0" collapsed="false">
      <c r="A516" s="11" t="n">
        <v>514</v>
      </c>
      <c r="B516" s="11" t="str">
        <f aca="false">IF(I516="Y",IF(COUNTIF(I$3:I516,"Y")&lt;=20,"pilot",IF(COUNTIF(I$3:I516,"Y")&lt;=40,"dev",IF(COUNTIF(I$3:I516,"Y")&lt;=120,"test","extra"))),"")</f>
        <v/>
      </c>
      <c r="C516" s="11" t="str">
        <f aca="false">IF(I516="Y",IF(COUNTA(K516,Q516,W516,AC516,AE516)=5,"done","in progress"),IF(I516="N","excluded",""))</f>
        <v/>
      </c>
      <c r="D516" s="11" t="s">
        <v>1819</v>
      </c>
      <c r="E516" s="12" t="s">
        <v>90</v>
      </c>
      <c r="F516" s="13" t="s">
        <v>1820</v>
      </c>
      <c r="G516" s="11" t="s">
        <v>168</v>
      </c>
      <c r="H516" s="11"/>
      <c r="I516" s="14"/>
      <c r="J516" s="14"/>
      <c r="K516" s="14"/>
      <c r="L516" s="15"/>
      <c r="M516" s="14"/>
      <c r="N516" s="15"/>
      <c r="O516" s="14"/>
      <c r="P516" s="15"/>
      <c r="Q516" s="14"/>
      <c r="R516" s="15"/>
      <c r="S516" s="14"/>
      <c r="T516" s="15"/>
      <c r="U516" s="14"/>
      <c r="V516" s="15"/>
      <c r="W516" s="14"/>
      <c r="X516" s="15"/>
      <c r="Y516" s="14"/>
      <c r="Z516" s="15"/>
      <c r="AA516" s="14"/>
      <c r="AB516" s="15"/>
      <c r="AC516" s="14"/>
      <c r="AD516" s="15"/>
      <c r="AE516" s="14"/>
      <c r="AF516" s="15"/>
      <c r="AG516" s="15"/>
      <c r="AH516" s="15"/>
      <c r="AI516" s="14"/>
      <c r="AJ516" s="14"/>
      <c r="AK516" s="17"/>
    </row>
    <row r="517" customFormat="false" ht="28.5" hidden="false" customHeight="true" outlineLevel="0" collapsed="false">
      <c r="A517" s="11" t="n">
        <v>515</v>
      </c>
      <c r="B517" s="11" t="str">
        <f aca="false">IF(I517="Y",IF(COUNTIF(I$3:I517,"Y")&lt;=20,"pilot",IF(COUNTIF(I$3:I517,"Y")&lt;=40,"dev",IF(COUNTIF(I$3:I517,"Y")&lt;=120,"test","extra"))),"")</f>
        <v/>
      </c>
      <c r="C517" s="11" t="str">
        <f aca="false">IF(I517="Y",IF(COUNTA(K517,Q517,W517,AC517,AE517)=5,"done","in progress"),IF(I517="N","excluded",""))</f>
        <v/>
      </c>
      <c r="D517" s="11" t="s">
        <v>1821</v>
      </c>
      <c r="E517" s="12" t="s">
        <v>90</v>
      </c>
      <c r="F517" s="13" t="s">
        <v>1822</v>
      </c>
      <c r="G517" s="11" t="s">
        <v>92</v>
      </c>
      <c r="H517" s="11"/>
      <c r="I517" s="14"/>
      <c r="J517" s="14"/>
      <c r="K517" s="14"/>
      <c r="L517" s="15"/>
      <c r="M517" s="14"/>
      <c r="N517" s="15"/>
      <c r="O517" s="14"/>
      <c r="P517" s="15"/>
      <c r="Q517" s="14"/>
      <c r="R517" s="15"/>
      <c r="S517" s="14"/>
      <c r="T517" s="15"/>
      <c r="U517" s="14"/>
      <c r="V517" s="15"/>
      <c r="W517" s="14"/>
      <c r="X517" s="15"/>
      <c r="Y517" s="14"/>
      <c r="Z517" s="15"/>
      <c r="AA517" s="14"/>
      <c r="AB517" s="15"/>
      <c r="AC517" s="14"/>
      <c r="AD517" s="15"/>
      <c r="AE517" s="14"/>
      <c r="AF517" s="15"/>
      <c r="AG517" s="15"/>
      <c r="AH517" s="15"/>
      <c r="AI517" s="14"/>
      <c r="AJ517" s="14"/>
      <c r="AK517" s="17"/>
    </row>
    <row r="518" customFormat="false" ht="42.75" hidden="false" customHeight="true" outlineLevel="0" collapsed="false">
      <c r="A518" s="11" t="n">
        <v>516</v>
      </c>
      <c r="B518" s="11" t="str">
        <f aca="false">IF(I518="Y",IF(COUNTIF(I$3:I518,"Y")&lt;=20,"pilot",IF(COUNTIF(I$3:I518,"Y")&lt;=40,"dev",IF(COUNTIF(I$3:I518,"Y")&lt;=120,"test","extra"))),"")</f>
        <v/>
      </c>
      <c r="C518" s="11" t="str">
        <f aca="false">IF(I518="Y",IF(COUNTA(K518,Q518,W518,AC518,AE518)=5,"done","in progress"),IF(I518="N","excluded",""))</f>
        <v/>
      </c>
      <c r="D518" s="11" t="s">
        <v>1823</v>
      </c>
      <c r="E518" s="12" t="s">
        <v>90</v>
      </c>
      <c r="F518" s="13" t="s">
        <v>1824</v>
      </c>
      <c r="G518" s="11" t="s">
        <v>306</v>
      </c>
      <c r="H518" s="11"/>
      <c r="I518" s="14"/>
      <c r="J518" s="14"/>
      <c r="K518" s="14"/>
      <c r="L518" s="15"/>
      <c r="M518" s="14"/>
      <c r="N518" s="15"/>
      <c r="O518" s="14"/>
      <c r="P518" s="15"/>
      <c r="Q518" s="14"/>
      <c r="R518" s="15"/>
      <c r="S518" s="14"/>
      <c r="T518" s="15"/>
      <c r="U518" s="14"/>
      <c r="V518" s="15"/>
      <c r="W518" s="14"/>
      <c r="X518" s="15"/>
      <c r="Y518" s="14"/>
      <c r="Z518" s="15"/>
      <c r="AA518" s="14"/>
      <c r="AB518" s="15"/>
      <c r="AC518" s="14"/>
      <c r="AD518" s="15"/>
      <c r="AE518" s="14"/>
      <c r="AF518" s="15"/>
      <c r="AG518" s="15"/>
      <c r="AH518" s="15"/>
      <c r="AI518" s="14"/>
      <c r="AJ518" s="14"/>
      <c r="AK518" s="17"/>
    </row>
    <row r="519" customFormat="false" ht="42.75" hidden="false" customHeight="true" outlineLevel="0" collapsed="false">
      <c r="A519" s="11" t="n">
        <v>517</v>
      </c>
      <c r="B519" s="11" t="str">
        <f aca="false">IF(I519="Y",IF(COUNTIF(I$3:I519,"Y")&lt;=20,"pilot",IF(COUNTIF(I$3:I519,"Y")&lt;=40,"dev",IF(COUNTIF(I$3:I519,"Y")&lt;=120,"test","extra"))),"")</f>
        <v/>
      </c>
      <c r="C519" s="11" t="str">
        <f aca="false">IF(I519="Y",IF(COUNTA(K519,Q519,W519,AC519,AE519)=5,"done","in progress"),IF(I519="N","excluded",""))</f>
        <v/>
      </c>
      <c r="D519" s="11" t="s">
        <v>1825</v>
      </c>
      <c r="E519" s="12" t="s">
        <v>90</v>
      </c>
      <c r="F519" s="13" t="s">
        <v>1826</v>
      </c>
      <c r="G519" s="11" t="s">
        <v>168</v>
      </c>
      <c r="H519" s="11"/>
      <c r="I519" s="14"/>
      <c r="J519" s="14"/>
      <c r="K519" s="14"/>
      <c r="L519" s="15"/>
      <c r="M519" s="14"/>
      <c r="N519" s="15"/>
      <c r="O519" s="14"/>
      <c r="P519" s="15"/>
      <c r="Q519" s="14"/>
      <c r="R519" s="15"/>
      <c r="S519" s="14"/>
      <c r="T519" s="15"/>
      <c r="U519" s="14"/>
      <c r="V519" s="15"/>
      <c r="W519" s="14"/>
      <c r="X519" s="15"/>
      <c r="Y519" s="14"/>
      <c r="Z519" s="15"/>
      <c r="AA519" s="14"/>
      <c r="AB519" s="15"/>
      <c r="AC519" s="14"/>
      <c r="AD519" s="15"/>
      <c r="AE519" s="14"/>
      <c r="AF519" s="15"/>
      <c r="AG519" s="15"/>
      <c r="AH519" s="15"/>
      <c r="AI519" s="14"/>
      <c r="AJ519" s="14"/>
      <c r="AK519" s="17"/>
    </row>
    <row r="520" customFormat="false" ht="42.75" hidden="false" customHeight="true" outlineLevel="0" collapsed="false">
      <c r="A520" s="11" t="n">
        <v>518</v>
      </c>
      <c r="B520" s="11" t="str">
        <f aca="false">IF(I520="Y",IF(COUNTIF(I$3:I520,"Y")&lt;=20,"pilot",IF(COUNTIF(I$3:I520,"Y")&lt;=40,"dev",IF(COUNTIF(I$3:I520,"Y")&lt;=120,"test","extra"))),"")</f>
        <v/>
      </c>
      <c r="C520" s="11" t="str">
        <f aca="false">IF(I520="Y",IF(COUNTA(K520,Q520,W520,AC520,AE520)=5,"done","in progress"),IF(I520="N","excluded",""))</f>
        <v/>
      </c>
      <c r="D520" s="11" t="s">
        <v>1827</v>
      </c>
      <c r="E520" s="12" t="s">
        <v>90</v>
      </c>
      <c r="F520" s="13" t="s">
        <v>1828</v>
      </c>
      <c r="G520" s="11" t="s">
        <v>288</v>
      </c>
      <c r="H520" s="11"/>
      <c r="I520" s="14"/>
      <c r="J520" s="14"/>
      <c r="K520" s="14"/>
      <c r="L520" s="15"/>
      <c r="M520" s="14"/>
      <c r="N520" s="15"/>
      <c r="O520" s="14"/>
      <c r="P520" s="15"/>
      <c r="Q520" s="14"/>
      <c r="R520" s="15"/>
      <c r="S520" s="14"/>
      <c r="T520" s="15"/>
      <c r="U520" s="14"/>
      <c r="V520" s="15"/>
      <c r="W520" s="14"/>
      <c r="X520" s="15"/>
      <c r="Y520" s="14"/>
      <c r="Z520" s="15"/>
      <c r="AA520" s="14"/>
      <c r="AB520" s="15"/>
      <c r="AC520" s="14"/>
      <c r="AD520" s="15"/>
      <c r="AE520" s="14"/>
      <c r="AF520" s="15"/>
      <c r="AG520" s="15"/>
      <c r="AH520" s="15"/>
      <c r="AI520" s="14"/>
      <c r="AJ520" s="14"/>
      <c r="AK520" s="17"/>
    </row>
    <row r="521" customFormat="false" ht="57" hidden="false" customHeight="true" outlineLevel="0" collapsed="false">
      <c r="A521" s="11" t="n">
        <v>519</v>
      </c>
      <c r="B521" s="11" t="str">
        <f aca="false">IF(I521="Y",IF(COUNTIF(I$3:I521,"Y")&lt;=20,"pilot",IF(COUNTIF(I$3:I521,"Y")&lt;=40,"dev",IF(COUNTIF(I$3:I521,"Y")&lt;=120,"test","extra"))),"")</f>
        <v/>
      </c>
      <c r="C521" s="11" t="str">
        <f aca="false">IF(I521="Y",IF(COUNTA(K521,Q521,W521,AC521,AE521)=5,"done","in progress"),IF(I521="N","excluded",""))</f>
        <v/>
      </c>
      <c r="D521" s="11" t="s">
        <v>1829</v>
      </c>
      <c r="E521" s="12" t="s">
        <v>90</v>
      </c>
      <c r="F521" s="13" t="s">
        <v>1830</v>
      </c>
      <c r="G521" s="11" t="s">
        <v>168</v>
      </c>
      <c r="H521" s="11"/>
      <c r="I521" s="14"/>
      <c r="J521" s="14"/>
      <c r="K521" s="14"/>
      <c r="L521" s="15"/>
      <c r="M521" s="14"/>
      <c r="N521" s="15"/>
      <c r="O521" s="14"/>
      <c r="P521" s="15"/>
      <c r="Q521" s="14"/>
      <c r="R521" s="15"/>
      <c r="S521" s="14"/>
      <c r="T521" s="15"/>
      <c r="U521" s="14"/>
      <c r="V521" s="15"/>
      <c r="W521" s="14"/>
      <c r="X521" s="15"/>
      <c r="Y521" s="14"/>
      <c r="Z521" s="15"/>
      <c r="AA521" s="14"/>
      <c r="AB521" s="15"/>
      <c r="AC521" s="14"/>
      <c r="AD521" s="15"/>
      <c r="AE521" s="14"/>
      <c r="AF521" s="15"/>
      <c r="AG521" s="15"/>
      <c r="AH521" s="15"/>
      <c r="AI521" s="14"/>
      <c r="AJ521" s="14"/>
      <c r="AK521" s="17"/>
    </row>
    <row r="522" customFormat="false" ht="42.75" hidden="false" customHeight="true" outlineLevel="0" collapsed="false">
      <c r="A522" s="11" t="n">
        <v>520</v>
      </c>
      <c r="B522" s="11" t="str">
        <f aca="false">IF(I522="Y",IF(COUNTIF(I$3:I522,"Y")&lt;=20,"pilot",IF(COUNTIF(I$3:I522,"Y")&lt;=40,"dev",IF(COUNTIF(I$3:I522,"Y")&lt;=120,"test","extra"))),"")</f>
        <v/>
      </c>
      <c r="C522" s="11" t="str">
        <f aca="false">IF(I522="Y",IF(COUNTA(K522,Q522,W522,AC522,AE522)=5,"done","in progress"),IF(I522="N","excluded",""))</f>
        <v/>
      </c>
      <c r="D522" s="11" t="s">
        <v>1831</v>
      </c>
      <c r="E522" s="12" t="s">
        <v>90</v>
      </c>
      <c r="F522" s="13" t="s">
        <v>1832</v>
      </c>
      <c r="G522" s="11" t="s">
        <v>393</v>
      </c>
      <c r="H522" s="11"/>
      <c r="I522" s="14"/>
      <c r="J522" s="14"/>
      <c r="K522" s="14"/>
      <c r="L522" s="15"/>
      <c r="M522" s="14"/>
      <c r="N522" s="15"/>
      <c r="O522" s="14"/>
      <c r="P522" s="15"/>
      <c r="Q522" s="14"/>
      <c r="R522" s="15"/>
      <c r="S522" s="14"/>
      <c r="T522" s="15"/>
      <c r="U522" s="14"/>
      <c r="V522" s="15"/>
      <c r="W522" s="14"/>
      <c r="X522" s="15"/>
      <c r="Y522" s="14"/>
      <c r="Z522" s="15"/>
      <c r="AA522" s="14"/>
      <c r="AB522" s="15"/>
      <c r="AC522" s="14"/>
      <c r="AD522" s="15"/>
      <c r="AE522" s="14"/>
      <c r="AF522" s="15"/>
      <c r="AG522" s="15"/>
      <c r="AH522" s="15"/>
      <c r="AI522" s="14"/>
      <c r="AJ522" s="14"/>
      <c r="AK522" s="17"/>
    </row>
    <row r="523" customFormat="false" ht="28.5" hidden="false" customHeight="true" outlineLevel="0" collapsed="false">
      <c r="A523" s="11" t="n">
        <v>521</v>
      </c>
      <c r="B523" s="11" t="str">
        <f aca="false">IF(I523="Y",IF(COUNTIF(I$3:I523,"Y")&lt;=20,"pilot",IF(COUNTIF(I$3:I523,"Y")&lt;=40,"dev",IF(COUNTIF(I$3:I523,"Y")&lt;=120,"test","extra"))),"")</f>
        <v/>
      </c>
      <c r="C523" s="11" t="str">
        <f aca="false">IF(I523="Y",IF(COUNTA(K523,Q523,W523,AC523,AE523)=5,"done","in progress"),IF(I523="N","excluded",""))</f>
        <v/>
      </c>
      <c r="D523" s="11" t="s">
        <v>1833</v>
      </c>
      <c r="E523" s="12" t="s">
        <v>90</v>
      </c>
      <c r="F523" s="13" t="s">
        <v>1834</v>
      </c>
      <c r="G523" s="11" t="s">
        <v>1459</v>
      </c>
      <c r="H523" s="11"/>
      <c r="I523" s="14"/>
      <c r="J523" s="14"/>
      <c r="K523" s="14"/>
      <c r="L523" s="15"/>
      <c r="M523" s="14"/>
      <c r="N523" s="15"/>
      <c r="O523" s="14"/>
      <c r="P523" s="15"/>
      <c r="Q523" s="14"/>
      <c r="R523" s="15"/>
      <c r="S523" s="14"/>
      <c r="T523" s="15"/>
      <c r="U523" s="14"/>
      <c r="V523" s="15"/>
      <c r="W523" s="14"/>
      <c r="X523" s="15"/>
      <c r="Y523" s="14"/>
      <c r="Z523" s="15"/>
      <c r="AA523" s="14"/>
      <c r="AB523" s="15"/>
      <c r="AC523" s="14"/>
      <c r="AD523" s="15"/>
      <c r="AE523" s="14"/>
      <c r="AF523" s="15"/>
      <c r="AG523" s="15"/>
      <c r="AH523" s="15"/>
      <c r="AI523" s="14"/>
      <c r="AJ523" s="14"/>
      <c r="AK523" s="17"/>
    </row>
    <row r="524" customFormat="false" ht="28.5" hidden="false" customHeight="true" outlineLevel="0" collapsed="false">
      <c r="A524" s="11" t="n">
        <v>522</v>
      </c>
      <c r="B524" s="11" t="str">
        <f aca="false">IF(I524="Y",IF(COUNTIF(I$3:I524,"Y")&lt;=20,"pilot",IF(COUNTIF(I$3:I524,"Y")&lt;=40,"dev",IF(COUNTIF(I$3:I524,"Y")&lt;=120,"test","extra"))),"")</f>
        <v/>
      </c>
      <c r="C524" s="11" t="str">
        <f aca="false">IF(I524="Y",IF(COUNTA(K524,Q524,W524,AC524,AE524)=5,"done","in progress"),IF(I524="N","excluded",""))</f>
        <v/>
      </c>
      <c r="D524" s="11" t="s">
        <v>1835</v>
      </c>
      <c r="E524" s="12" t="s">
        <v>90</v>
      </c>
      <c r="F524" s="13" t="s">
        <v>1836</v>
      </c>
      <c r="G524" s="11" t="s">
        <v>145</v>
      </c>
      <c r="H524" s="11"/>
      <c r="I524" s="14"/>
      <c r="J524" s="14"/>
      <c r="K524" s="14"/>
      <c r="L524" s="15"/>
      <c r="M524" s="14"/>
      <c r="N524" s="15"/>
      <c r="O524" s="14"/>
      <c r="P524" s="15"/>
      <c r="Q524" s="14"/>
      <c r="R524" s="15"/>
      <c r="S524" s="14"/>
      <c r="T524" s="15"/>
      <c r="U524" s="14"/>
      <c r="V524" s="15"/>
      <c r="W524" s="14"/>
      <c r="X524" s="15"/>
      <c r="Y524" s="14"/>
      <c r="Z524" s="15"/>
      <c r="AA524" s="14"/>
      <c r="AB524" s="15"/>
      <c r="AC524" s="14"/>
      <c r="AD524" s="15"/>
      <c r="AE524" s="14"/>
      <c r="AF524" s="15"/>
      <c r="AG524" s="15"/>
      <c r="AH524" s="15"/>
      <c r="AI524" s="14"/>
      <c r="AJ524" s="14"/>
      <c r="AK524" s="17"/>
    </row>
    <row r="525" customFormat="false" ht="42.75" hidden="false" customHeight="true" outlineLevel="0" collapsed="false">
      <c r="A525" s="11" t="n">
        <v>523</v>
      </c>
      <c r="B525" s="11" t="str">
        <f aca="false">IF(I525="Y",IF(COUNTIF(I$3:I525,"Y")&lt;=20,"pilot",IF(COUNTIF(I$3:I525,"Y")&lt;=40,"dev",IF(COUNTIF(I$3:I525,"Y")&lt;=120,"test","extra"))),"")</f>
        <v/>
      </c>
      <c r="C525" s="11" t="str">
        <f aca="false">IF(I525="Y",IF(COUNTA(K525,Q525,W525,AC525,AE525)=5,"done","in progress"),IF(I525="N","excluded",""))</f>
        <v/>
      </c>
      <c r="D525" s="11" t="s">
        <v>1837</v>
      </c>
      <c r="E525" s="12" t="s">
        <v>90</v>
      </c>
      <c r="F525" s="13" t="s">
        <v>1838</v>
      </c>
      <c r="G525" s="11" t="s">
        <v>145</v>
      </c>
      <c r="H525" s="11"/>
      <c r="I525" s="14"/>
      <c r="J525" s="14"/>
      <c r="K525" s="14"/>
      <c r="L525" s="15"/>
      <c r="M525" s="14"/>
      <c r="N525" s="15"/>
      <c r="O525" s="14"/>
      <c r="P525" s="15"/>
      <c r="Q525" s="14"/>
      <c r="R525" s="15"/>
      <c r="S525" s="14"/>
      <c r="T525" s="15"/>
      <c r="U525" s="14"/>
      <c r="V525" s="15"/>
      <c r="W525" s="14"/>
      <c r="X525" s="15"/>
      <c r="Y525" s="14"/>
      <c r="Z525" s="15"/>
      <c r="AA525" s="14"/>
      <c r="AB525" s="15"/>
      <c r="AC525" s="14"/>
      <c r="AD525" s="15"/>
      <c r="AE525" s="14"/>
      <c r="AF525" s="15"/>
      <c r="AG525" s="15"/>
      <c r="AH525" s="15"/>
      <c r="AI525" s="14"/>
      <c r="AJ525" s="14"/>
      <c r="AK525" s="17"/>
    </row>
    <row r="526" customFormat="false" ht="42.75" hidden="false" customHeight="true" outlineLevel="0" collapsed="false">
      <c r="A526" s="11" t="n">
        <v>524</v>
      </c>
      <c r="B526" s="11" t="str">
        <f aca="false">IF(I526="Y",IF(COUNTIF(I$3:I526,"Y")&lt;=20,"pilot",IF(COUNTIF(I$3:I526,"Y")&lt;=40,"dev",IF(COUNTIF(I$3:I526,"Y")&lt;=120,"test","extra"))),"")</f>
        <v/>
      </c>
      <c r="C526" s="11" t="str">
        <f aca="false">IF(I526="Y",IF(COUNTA(K526,Q526,W526,AC526,AE526)=5,"done","in progress"),IF(I526="N","excluded",""))</f>
        <v/>
      </c>
      <c r="D526" s="11" t="s">
        <v>1839</v>
      </c>
      <c r="E526" s="12" t="s">
        <v>90</v>
      </c>
      <c r="F526" s="13" t="s">
        <v>1840</v>
      </c>
      <c r="G526" s="11" t="s">
        <v>1709</v>
      </c>
      <c r="H526" s="11"/>
      <c r="I526" s="14"/>
      <c r="J526" s="14"/>
      <c r="K526" s="14"/>
      <c r="L526" s="15"/>
      <c r="M526" s="14"/>
      <c r="N526" s="15"/>
      <c r="O526" s="14"/>
      <c r="P526" s="15"/>
      <c r="Q526" s="14"/>
      <c r="R526" s="15"/>
      <c r="S526" s="14"/>
      <c r="T526" s="15"/>
      <c r="U526" s="14"/>
      <c r="V526" s="15"/>
      <c r="W526" s="14"/>
      <c r="X526" s="15"/>
      <c r="Y526" s="14"/>
      <c r="Z526" s="15"/>
      <c r="AA526" s="14"/>
      <c r="AB526" s="15"/>
      <c r="AC526" s="14"/>
      <c r="AD526" s="15"/>
      <c r="AE526" s="14"/>
      <c r="AF526" s="15"/>
      <c r="AG526" s="15"/>
      <c r="AH526" s="15"/>
      <c r="AI526" s="14"/>
      <c r="AJ526" s="14"/>
      <c r="AK526" s="17"/>
    </row>
    <row r="527" customFormat="false" ht="42.75" hidden="false" customHeight="true" outlineLevel="0" collapsed="false">
      <c r="A527" s="11" t="n">
        <v>525</v>
      </c>
      <c r="B527" s="11" t="str">
        <f aca="false">IF(I527="Y",IF(COUNTIF(I$3:I527,"Y")&lt;=20,"pilot",IF(COUNTIF(I$3:I527,"Y")&lt;=40,"dev",IF(COUNTIF(I$3:I527,"Y")&lt;=120,"test","extra"))),"")</f>
        <v/>
      </c>
      <c r="C527" s="11" t="str">
        <f aca="false">IF(I527="Y",IF(COUNTA(K527,Q527,W527,AC527,AE527)=5,"done","in progress"),IF(I527="N","excluded",""))</f>
        <v/>
      </c>
      <c r="D527" s="11" t="s">
        <v>1841</v>
      </c>
      <c r="E527" s="12" t="s">
        <v>90</v>
      </c>
      <c r="F527" s="13" t="s">
        <v>1842</v>
      </c>
      <c r="G527" s="11" t="s">
        <v>1212</v>
      </c>
      <c r="H527" s="11"/>
      <c r="I527" s="14"/>
      <c r="J527" s="14"/>
      <c r="K527" s="14"/>
      <c r="L527" s="15"/>
      <c r="M527" s="14"/>
      <c r="N527" s="15"/>
      <c r="O527" s="14"/>
      <c r="P527" s="15"/>
      <c r="Q527" s="14"/>
      <c r="R527" s="15"/>
      <c r="S527" s="14"/>
      <c r="T527" s="15"/>
      <c r="U527" s="14"/>
      <c r="V527" s="15"/>
      <c r="W527" s="14"/>
      <c r="X527" s="15"/>
      <c r="Y527" s="14"/>
      <c r="Z527" s="15"/>
      <c r="AA527" s="14"/>
      <c r="AB527" s="15"/>
      <c r="AC527" s="14"/>
      <c r="AD527" s="15"/>
      <c r="AE527" s="14"/>
      <c r="AF527" s="15"/>
      <c r="AG527" s="15"/>
      <c r="AH527" s="15"/>
      <c r="AI527" s="14"/>
      <c r="AJ527" s="14"/>
      <c r="AK527" s="17"/>
    </row>
    <row r="528" customFormat="false" ht="57" hidden="false" customHeight="true" outlineLevel="0" collapsed="false">
      <c r="A528" s="11" t="n">
        <v>526</v>
      </c>
      <c r="B528" s="11" t="str">
        <f aca="false">IF(I528="Y",IF(COUNTIF(I$3:I528,"Y")&lt;=20,"pilot",IF(COUNTIF(I$3:I528,"Y")&lt;=40,"dev",IF(COUNTIF(I$3:I528,"Y")&lt;=120,"test","extra"))),"")</f>
        <v/>
      </c>
      <c r="C528" s="11" t="str">
        <f aca="false">IF(I528="Y",IF(COUNTA(K528,Q528,W528,AC528,AE528)=5,"done","in progress"),IF(I528="N","excluded",""))</f>
        <v/>
      </c>
      <c r="D528" s="11" t="s">
        <v>1843</v>
      </c>
      <c r="E528" s="12" t="s">
        <v>90</v>
      </c>
      <c r="F528" s="13" t="s">
        <v>1844</v>
      </c>
      <c r="G528" s="11" t="s">
        <v>118</v>
      </c>
      <c r="H528" s="11"/>
      <c r="I528" s="14"/>
      <c r="J528" s="14"/>
      <c r="K528" s="14"/>
      <c r="L528" s="15"/>
      <c r="M528" s="14"/>
      <c r="N528" s="15"/>
      <c r="O528" s="14"/>
      <c r="P528" s="15"/>
      <c r="Q528" s="14"/>
      <c r="R528" s="15"/>
      <c r="S528" s="14"/>
      <c r="T528" s="15"/>
      <c r="U528" s="14"/>
      <c r="V528" s="15"/>
      <c r="W528" s="14"/>
      <c r="X528" s="15"/>
      <c r="Y528" s="14"/>
      <c r="Z528" s="15"/>
      <c r="AA528" s="14"/>
      <c r="AB528" s="15"/>
      <c r="AC528" s="14"/>
      <c r="AD528" s="15"/>
      <c r="AE528" s="14"/>
      <c r="AF528" s="15"/>
      <c r="AG528" s="15"/>
      <c r="AH528" s="15"/>
      <c r="AI528" s="14"/>
      <c r="AJ528" s="14"/>
      <c r="AK528" s="17"/>
    </row>
    <row r="529" customFormat="false" ht="71.25" hidden="false" customHeight="true" outlineLevel="0" collapsed="false">
      <c r="A529" s="11" t="n">
        <v>527</v>
      </c>
      <c r="B529" s="11" t="str">
        <f aca="false">IF(I529="Y",IF(COUNTIF(I$3:I529,"Y")&lt;=20,"pilot",IF(COUNTIF(I$3:I529,"Y")&lt;=40,"dev",IF(COUNTIF(I$3:I529,"Y")&lt;=120,"test","extra"))),"")</f>
        <v/>
      </c>
      <c r="C529" s="11" t="str">
        <f aca="false">IF(I529="Y",IF(COUNTA(K529,Q529,W529,AC529,AE529)=5,"done","in progress"),IF(I529="N","excluded",""))</f>
        <v/>
      </c>
      <c r="D529" s="11" t="s">
        <v>1845</v>
      </c>
      <c r="E529" s="12" t="s">
        <v>90</v>
      </c>
      <c r="F529" s="13" t="s">
        <v>1846</v>
      </c>
      <c r="G529" s="11" t="s">
        <v>724</v>
      </c>
      <c r="H529" s="11"/>
      <c r="I529" s="14"/>
      <c r="J529" s="14"/>
      <c r="K529" s="14"/>
      <c r="L529" s="15"/>
      <c r="M529" s="14"/>
      <c r="N529" s="15"/>
      <c r="O529" s="14"/>
      <c r="P529" s="15"/>
      <c r="Q529" s="14"/>
      <c r="R529" s="15"/>
      <c r="S529" s="14"/>
      <c r="T529" s="15"/>
      <c r="U529" s="14"/>
      <c r="V529" s="15"/>
      <c r="W529" s="14"/>
      <c r="X529" s="15"/>
      <c r="Y529" s="14"/>
      <c r="Z529" s="15"/>
      <c r="AA529" s="14"/>
      <c r="AB529" s="15"/>
      <c r="AC529" s="14"/>
      <c r="AD529" s="15"/>
      <c r="AE529" s="14"/>
      <c r="AF529" s="15"/>
      <c r="AG529" s="15"/>
      <c r="AH529" s="15"/>
      <c r="AI529" s="14"/>
      <c r="AJ529" s="14"/>
      <c r="AK529" s="17"/>
    </row>
    <row r="530" customFormat="false" ht="42.75" hidden="false" customHeight="true" outlineLevel="0" collapsed="false">
      <c r="A530" s="11" t="n">
        <v>528</v>
      </c>
      <c r="B530" s="11" t="str">
        <f aca="false">IF(I530="Y",IF(COUNTIF(I$3:I530,"Y")&lt;=20,"pilot",IF(COUNTIF(I$3:I530,"Y")&lt;=40,"dev",IF(COUNTIF(I$3:I530,"Y")&lt;=120,"test","extra"))),"")</f>
        <v/>
      </c>
      <c r="C530" s="11" t="str">
        <f aca="false">IF(I530="Y",IF(COUNTA(K530,Q530,W530,AC530,AE530)=5,"done","in progress"),IF(I530="N","excluded",""))</f>
        <v/>
      </c>
      <c r="D530" s="11" t="s">
        <v>1847</v>
      </c>
      <c r="E530" s="12" t="s">
        <v>90</v>
      </c>
      <c r="F530" s="13" t="s">
        <v>1848</v>
      </c>
      <c r="G530" s="11" t="s">
        <v>125</v>
      </c>
      <c r="H530" s="11"/>
      <c r="I530" s="14"/>
      <c r="J530" s="14"/>
      <c r="K530" s="14"/>
      <c r="L530" s="15"/>
      <c r="M530" s="14"/>
      <c r="N530" s="15"/>
      <c r="O530" s="14"/>
      <c r="P530" s="15"/>
      <c r="Q530" s="14"/>
      <c r="R530" s="15"/>
      <c r="S530" s="14"/>
      <c r="T530" s="15"/>
      <c r="U530" s="14"/>
      <c r="V530" s="15"/>
      <c r="W530" s="14"/>
      <c r="X530" s="15"/>
      <c r="Y530" s="14"/>
      <c r="Z530" s="15"/>
      <c r="AA530" s="14"/>
      <c r="AB530" s="15"/>
      <c r="AC530" s="14"/>
      <c r="AD530" s="15"/>
      <c r="AE530" s="14"/>
      <c r="AF530" s="15"/>
      <c r="AG530" s="15"/>
      <c r="AH530" s="15"/>
      <c r="AI530" s="14"/>
      <c r="AJ530" s="14"/>
      <c r="AK530" s="17"/>
    </row>
    <row r="531" customFormat="false" ht="28.5" hidden="false" customHeight="true" outlineLevel="0" collapsed="false">
      <c r="A531" s="11" t="n">
        <v>529</v>
      </c>
      <c r="B531" s="11" t="str">
        <f aca="false">IF(I531="Y",IF(COUNTIF(I$3:I531,"Y")&lt;=20,"pilot",IF(COUNTIF(I$3:I531,"Y")&lt;=40,"dev",IF(COUNTIF(I$3:I531,"Y")&lt;=120,"test","extra"))),"")</f>
        <v/>
      </c>
      <c r="C531" s="11" t="str">
        <f aca="false">IF(I531="Y",IF(COUNTA(K531,Q531,W531,AC531,AE531)=5,"done","in progress"),IF(I531="N","excluded",""))</f>
        <v/>
      </c>
      <c r="D531" s="11" t="s">
        <v>1849</v>
      </c>
      <c r="E531" s="12" t="s">
        <v>90</v>
      </c>
      <c r="F531" s="13" t="s">
        <v>1850</v>
      </c>
      <c r="G531" s="11" t="s">
        <v>972</v>
      </c>
      <c r="H531" s="11"/>
      <c r="I531" s="14"/>
      <c r="J531" s="14"/>
      <c r="K531" s="14"/>
      <c r="L531" s="15"/>
      <c r="M531" s="14"/>
      <c r="N531" s="15"/>
      <c r="O531" s="14"/>
      <c r="P531" s="15"/>
      <c r="Q531" s="14"/>
      <c r="R531" s="15"/>
      <c r="S531" s="14"/>
      <c r="T531" s="15"/>
      <c r="U531" s="14"/>
      <c r="V531" s="15"/>
      <c r="W531" s="14"/>
      <c r="X531" s="15"/>
      <c r="Y531" s="14"/>
      <c r="Z531" s="15"/>
      <c r="AA531" s="14"/>
      <c r="AB531" s="15"/>
      <c r="AC531" s="14"/>
      <c r="AD531" s="15"/>
      <c r="AE531" s="14"/>
      <c r="AF531" s="15"/>
      <c r="AG531" s="15"/>
      <c r="AH531" s="15"/>
      <c r="AI531" s="14"/>
      <c r="AJ531" s="14"/>
      <c r="AK531" s="17"/>
    </row>
    <row r="532" customFormat="false" ht="42.75" hidden="false" customHeight="true" outlineLevel="0" collapsed="false">
      <c r="A532" s="11" t="n">
        <v>530</v>
      </c>
      <c r="B532" s="11" t="str">
        <f aca="false">IF(I532="Y",IF(COUNTIF(I$3:I532,"Y")&lt;=20,"pilot",IF(COUNTIF(I$3:I532,"Y")&lt;=40,"dev",IF(COUNTIF(I$3:I532,"Y")&lt;=120,"test","extra"))),"")</f>
        <v/>
      </c>
      <c r="C532" s="11" t="str">
        <f aca="false">IF(I532="Y",IF(COUNTA(K532,Q532,W532,AC532,AE532)=5,"done","in progress"),IF(I532="N","excluded",""))</f>
        <v/>
      </c>
      <c r="D532" s="11" t="s">
        <v>1851</v>
      </c>
      <c r="E532" s="12" t="s">
        <v>90</v>
      </c>
      <c r="F532" s="13" t="s">
        <v>1852</v>
      </c>
      <c r="G532" s="11" t="s">
        <v>476</v>
      </c>
      <c r="H532" s="11"/>
      <c r="I532" s="14"/>
      <c r="J532" s="14"/>
      <c r="K532" s="14"/>
      <c r="L532" s="15"/>
      <c r="M532" s="14"/>
      <c r="N532" s="15"/>
      <c r="O532" s="14"/>
      <c r="P532" s="15"/>
      <c r="Q532" s="14"/>
      <c r="R532" s="15"/>
      <c r="S532" s="14"/>
      <c r="T532" s="15"/>
      <c r="U532" s="14"/>
      <c r="V532" s="15"/>
      <c r="W532" s="14"/>
      <c r="X532" s="15"/>
      <c r="Y532" s="14"/>
      <c r="Z532" s="15"/>
      <c r="AA532" s="14"/>
      <c r="AB532" s="15"/>
      <c r="AC532" s="14"/>
      <c r="AD532" s="15"/>
      <c r="AE532" s="14"/>
      <c r="AF532" s="15"/>
      <c r="AG532" s="15"/>
      <c r="AH532" s="15"/>
      <c r="AI532" s="14"/>
      <c r="AJ532" s="14"/>
      <c r="AK532" s="17"/>
    </row>
    <row r="533" customFormat="false" ht="57" hidden="false" customHeight="true" outlineLevel="0" collapsed="false">
      <c r="A533" s="11" t="n">
        <v>531</v>
      </c>
      <c r="B533" s="11" t="str">
        <f aca="false">IF(I533="Y",IF(COUNTIF(I$3:I533,"Y")&lt;=20,"pilot",IF(COUNTIF(I$3:I533,"Y")&lt;=40,"dev",IF(COUNTIF(I$3:I533,"Y")&lt;=120,"test","extra"))),"")</f>
        <v/>
      </c>
      <c r="C533" s="11" t="str">
        <f aca="false">IF(I533="Y",IF(COUNTA(K533,Q533,W533,AC533,AE533)=5,"done","in progress"),IF(I533="N","excluded",""))</f>
        <v/>
      </c>
      <c r="D533" s="11" t="s">
        <v>1853</v>
      </c>
      <c r="E533" s="12" t="s">
        <v>90</v>
      </c>
      <c r="F533" s="13" t="s">
        <v>1854</v>
      </c>
      <c r="G533" s="11" t="s">
        <v>1151</v>
      </c>
      <c r="H533" s="11"/>
      <c r="I533" s="14"/>
      <c r="J533" s="14"/>
      <c r="K533" s="14"/>
      <c r="L533" s="15"/>
      <c r="M533" s="14"/>
      <c r="N533" s="15"/>
      <c r="O533" s="14"/>
      <c r="P533" s="15"/>
      <c r="Q533" s="14"/>
      <c r="R533" s="15"/>
      <c r="S533" s="14"/>
      <c r="T533" s="15"/>
      <c r="U533" s="14"/>
      <c r="V533" s="15"/>
      <c r="W533" s="14"/>
      <c r="X533" s="15"/>
      <c r="Y533" s="14"/>
      <c r="Z533" s="15"/>
      <c r="AA533" s="14"/>
      <c r="AB533" s="15"/>
      <c r="AC533" s="14"/>
      <c r="AD533" s="15"/>
      <c r="AE533" s="14"/>
      <c r="AF533" s="15"/>
      <c r="AG533" s="15"/>
      <c r="AH533" s="15"/>
      <c r="AI533" s="14"/>
      <c r="AJ533" s="14"/>
      <c r="AK533" s="17"/>
    </row>
    <row r="534" customFormat="false" ht="42.75" hidden="false" customHeight="true" outlineLevel="0" collapsed="false">
      <c r="A534" s="11" t="n">
        <v>532</v>
      </c>
      <c r="B534" s="11" t="str">
        <f aca="false">IF(I534="Y",IF(COUNTIF(I$3:I534,"Y")&lt;=20,"pilot",IF(COUNTIF(I$3:I534,"Y")&lt;=40,"dev",IF(COUNTIF(I$3:I534,"Y")&lt;=120,"test","extra"))),"")</f>
        <v/>
      </c>
      <c r="C534" s="11" t="str">
        <f aca="false">IF(I534="Y",IF(COUNTA(K534,Q534,W534,AC534,AE534)=5,"done","in progress"),IF(I534="N","excluded",""))</f>
        <v/>
      </c>
      <c r="D534" s="11" t="s">
        <v>1855</v>
      </c>
      <c r="E534" s="12" t="s">
        <v>90</v>
      </c>
      <c r="F534" s="13" t="s">
        <v>1856</v>
      </c>
      <c r="G534" s="11" t="s">
        <v>92</v>
      </c>
      <c r="H534" s="11"/>
      <c r="I534" s="14"/>
      <c r="J534" s="14"/>
      <c r="K534" s="14"/>
      <c r="L534" s="15"/>
      <c r="M534" s="14"/>
      <c r="N534" s="15"/>
      <c r="O534" s="14"/>
      <c r="P534" s="15"/>
      <c r="Q534" s="14"/>
      <c r="R534" s="15"/>
      <c r="S534" s="14"/>
      <c r="T534" s="15"/>
      <c r="U534" s="14"/>
      <c r="V534" s="15"/>
      <c r="W534" s="14"/>
      <c r="X534" s="15"/>
      <c r="Y534" s="14"/>
      <c r="Z534" s="15"/>
      <c r="AA534" s="14"/>
      <c r="AB534" s="15"/>
      <c r="AC534" s="14"/>
      <c r="AD534" s="15"/>
      <c r="AE534" s="14"/>
      <c r="AF534" s="15"/>
      <c r="AG534" s="15"/>
      <c r="AH534" s="15"/>
      <c r="AI534" s="14"/>
      <c r="AJ534" s="14"/>
      <c r="AK534" s="17"/>
    </row>
    <row r="535" customFormat="false" ht="42.75" hidden="false" customHeight="true" outlineLevel="0" collapsed="false">
      <c r="A535" s="11" t="n">
        <v>533</v>
      </c>
      <c r="B535" s="11" t="str">
        <f aca="false">IF(I535="Y",IF(COUNTIF(I$3:I535,"Y")&lt;=20,"pilot",IF(COUNTIF(I$3:I535,"Y")&lt;=40,"dev",IF(COUNTIF(I$3:I535,"Y")&lt;=120,"test","extra"))),"")</f>
        <v/>
      </c>
      <c r="C535" s="11" t="str">
        <f aca="false">IF(I535="Y",IF(COUNTA(K535,Q535,W535,AC535,AE535)=5,"done","in progress"),IF(I535="N","excluded",""))</f>
        <v/>
      </c>
      <c r="D535" s="11" t="s">
        <v>1857</v>
      </c>
      <c r="E535" s="12" t="s">
        <v>90</v>
      </c>
      <c r="F535" s="13" t="s">
        <v>1858</v>
      </c>
      <c r="G535" s="11" t="s">
        <v>724</v>
      </c>
      <c r="H535" s="11"/>
      <c r="I535" s="14"/>
      <c r="J535" s="14"/>
      <c r="K535" s="14"/>
      <c r="L535" s="15"/>
      <c r="M535" s="14"/>
      <c r="N535" s="15"/>
      <c r="O535" s="14"/>
      <c r="P535" s="15"/>
      <c r="Q535" s="14"/>
      <c r="R535" s="15"/>
      <c r="S535" s="14"/>
      <c r="T535" s="15"/>
      <c r="U535" s="14"/>
      <c r="V535" s="15"/>
      <c r="W535" s="14"/>
      <c r="X535" s="15"/>
      <c r="Y535" s="14"/>
      <c r="Z535" s="15"/>
      <c r="AA535" s="14"/>
      <c r="AB535" s="15"/>
      <c r="AC535" s="14"/>
      <c r="AD535" s="15"/>
      <c r="AE535" s="14"/>
      <c r="AF535" s="15"/>
      <c r="AG535" s="15"/>
      <c r="AH535" s="15"/>
      <c r="AI535" s="14"/>
      <c r="AJ535" s="14"/>
      <c r="AK535" s="17"/>
    </row>
    <row r="536" customFormat="false" ht="71.25" hidden="false" customHeight="true" outlineLevel="0" collapsed="false">
      <c r="A536" s="11" t="n">
        <v>534</v>
      </c>
      <c r="B536" s="11" t="str">
        <f aca="false">IF(I536="Y",IF(COUNTIF(I$3:I536,"Y")&lt;=20,"pilot",IF(COUNTIF(I$3:I536,"Y")&lt;=40,"dev",IF(COUNTIF(I$3:I536,"Y")&lt;=120,"test","extra"))),"")</f>
        <v/>
      </c>
      <c r="C536" s="11" t="str">
        <f aca="false">IF(I536="Y",IF(COUNTA(K536,Q536,W536,AC536,AE536)=5,"done","in progress"),IF(I536="N","excluded",""))</f>
        <v/>
      </c>
      <c r="D536" s="11" t="s">
        <v>1859</v>
      </c>
      <c r="E536" s="12" t="s">
        <v>90</v>
      </c>
      <c r="F536" s="13" t="s">
        <v>1860</v>
      </c>
      <c r="G536" s="11" t="s">
        <v>410</v>
      </c>
      <c r="H536" s="11"/>
      <c r="I536" s="14"/>
      <c r="J536" s="14"/>
      <c r="K536" s="14"/>
      <c r="L536" s="15"/>
      <c r="M536" s="14"/>
      <c r="N536" s="15"/>
      <c r="O536" s="14"/>
      <c r="P536" s="15"/>
      <c r="Q536" s="14"/>
      <c r="R536" s="15"/>
      <c r="S536" s="14"/>
      <c r="T536" s="15"/>
      <c r="U536" s="14"/>
      <c r="V536" s="15"/>
      <c r="W536" s="14"/>
      <c r="X536" s="15"/>
      <c r="Y536" s="14"/>
      <c r="Z536" s="15"/>
      <c r="AA536" s="14"/>
      <c r="AB536" s="15"/>
      <c r="AC536" s="14"/>
      <c r="AD536" s="15"/>
      <c r="AE536" s="14"/>
      <c r="AF536" s="15"/>
      <c r="AG536" s="15"/>
      <c r="AH536" s="15"/>
      <c r="AI536" s="14"/>
      <c r="AJ536" s="14"/>
      <c r="AK536" s="17"/>
    </row>
    <row r="537" customFormat="false" ht="42.75" hidden="false" customHeight="true" outlineLevel="0" collapsed="false">
      <c r="A537" s="11" t="n">
        <v>535</v>
      </c>
      <c r="B537" s="11" t="str">
        <f aca="false">IF(I537="Y",IF(COUNTIF(I$3:I537,"Y")&lt;=20,"pilot",IF(COUNTIF(I$3:I537,"Y")&lt;=40,"dev",IF(COUNTIF(I$3:I537,"Y")&lt;=120,"test","extra"))),"")</f>
        <v/>
      </c>
      <c r="C537" s="11" t="str">
        <f aca="false">IF(I537="Y",IF(COUNTA(K537,Q537,W537,AC537,AE537)=5,"done","in progress"),IF(I537="N","excluded",""))</f>
        <v/>
      </c>
      <c r="D537" s="11" t="s">
        <v>1861</v>
      </c>
      <c r="E537" s="12" t="s">
        <v>90</v>
      </c>
      <c r="F537" s="13" t="s">
        <v>1862</v>
      </c>
      <c r="G537" s="11" t="s">
        <v>193</v>
      </c>
      <c r="H537" s="11"/>
      <c r="I537" s="14"/>
      <c r="J537" s="14"/>
      <c r="K537" s="14"/>
      <c r="L537" s="15"/>
      <c r="M537" s="14"/>
      <c r="N537" s="15"/>
      <c r="O537" s="14"/>
      <c r="P537" s="15"/>
      <c r="Q537" s="14"/>
      <c r="R537" s="15"/>
      <c r="S537" s="14"/>
      <c r="T537" s="15"/>
      <c r="U537" s="14"/>
      <c r="V537" s="15"/>
      <c r="W537" s="14"/>
      <c r="X537" s="15"/>
      <c r="Y537" s="14"/>
      <c r="Z537" s="15"/>
      <c r="AA537" s="14"/>
      <c r="AB537" s="15"/>
      <c r="AC537" s="14"/>
      <c r="AD537" s="15"/>
      <c r="AE537" s="14"/>
      <c r="AF537" s="15"/>
      <c r="AG537" s="15"/>
      <c r="AH537" s="15"/>
      <c r="AI537" s="14"/>
      <c r="AJ537" s="14"/>
      <c r="AK537" s="17"/>
    </row>
    <row r="538" customFormat="false" ht="42.75" hidden="false" customHeight="true" outlineLevel="0" collapsed="false">
      <c r="A538" s="11" t="n">
        <v>536</v>
      </c>
      <c r="B538" s="11" t="str">
        <f aca="false">IF(I538="Y",IF(COUNTIF(I$3:I538,"Y")&lt;=20,"pilot",IF(COUNTIF(I$3:I538,"Y")&lt;=40,"dev",IF(COUNTIF(I$3:I538,"Y")&lt;=120,"test","extra"))),"")</f>
        <v/>
      </c>
      <c r="C538" s="11" t="str">
        <f aca="false">IF(I538="Y",IF(COUNTA(K538,Q538,W538,AC538,AE538)=5,"done","in progress"),IF(I538="N","excluded",""))</f>
        <v/>
      </c>
      <c r="D538" s="11" t="s">
        <v>1863</v>
      </c>
      <c r="E538" s="12" t="s">
        <v>90</v>
      </c>
      <c r="F538" s="13" t="s">
        <v>1864</v>
      </c>
      <c r="G538" s="11" t="s">
        <v>1034</v>
      </c>
      <c r="H538" s="11"/>
      <c r="I538" s="14"/>
      <c r="J538" s="14"/>
      <c r="K538" s="14"/>
      <c r="L538" s="15"/>
      <c r="M538" s="14"/>
      <c r="N538" s="15"/>
      <c r="O538" s="14"/>
      <c r="P538" s="15"/>
      <c r="Q538" s="14"/>
      <c r="R538" s="15"/>
      <c r="S538" s="14"/>
      <c r="T538" s="15"/>
      <c r="U538" s="14"/>
      <c r="V538" s="15"/>
      <c r="W538" s="14"/>
      <c r="X538" s="15"/>
      <c r="Y538" s="14"/>
      <c r="Z538" s="15"/>
      <c r="AA538" s="14"/>
      <c r="AB538" s="15"/>
      <c r="AC538" s="14"/>
      <c r="AD538" s="15"/>
      <c r="AE538" s="14"/>
      <c r="AF538" s="15"/>
      <c r="AG538" s="15"/>
      <c r="AH538" s="15"/>
      <c r="AI538" s="14"/>
      <c r="AJ538" s="14"/>
      <c r="AK538" s="17"/>
    </row>
    <row r="539" customFormat="false" ht="42.75" hidden="false" customHeight="true" outlineLevel="0" collapsed="false">
      <c r="A539" s="11" t="n">
        <v>537</v>
      </c>
      <c r="B539" s="11" t="str">
        <f aca="false">IF(I539="Y",IF(COUNTIF(I$3:I539,"Y")&lt;=20,"pilot",IF(COUNTIF(I$3:I539,"Y")&lt;=40,"dev",IF(COUNTIF(I$3:I539,"Y")&lt;=120,"test","extra"))),"")</f>
        <v/>
      </c>
      <c r="C539" s="11" t="str">
        <f aca="false">IF(I539="Y",IF(COUNTA(K539,Q539,W539,AC539,AE539)=5,"done","in progress"),IF(I539="N","excluded",""))</f>
        <v/>
      </c>
      <c r="D539" s="11" t="s">
        <v>1865</v>
      </c>
      <c r="E539" s="12" t="s">
        <v>90</v>
      </c>
      <c r="F539" s="13" t="s">
        <v>1866</v>
      </c>
      <c r="G539" s="11" t="s">
        <v>145</v>
      </c>
      <c r="H539" s="11"/>
      <c r="I539" s="14"/>
      <c r="J539" s="14"/>
      <c r="K539" s="14"/>
      <c r="L539" s="15"/>
      <c r="M539" s="14"/>
      <c r="N539" s="15"/>
      <c r="O539" s="14"/>
      <c r="P539" s="15"/>
      <c r="Q539" s="14"/>
      <c r="R539" s="15"/>
      <c r="S539" s="14"/>
      <c r="T539" s="15"/>
      <c r="U539" s="14"/>
      <c r="V539" s="15"/>
      <c r="W539" s="14"/>
      <c r="X539" s="15"/>
      <c r="Y539" s="14"/>
      <c r="Z539" s="15"/>
      <c r="AA539" s="14"/>
      <c r="AB539" s="15"/>
      <c r="AC539" s="14"/>
      <c r="AD539" s="15"/>
      <c r="AE539" s="14"/>
      <c r="AF539" s="15"/>
      <c r="AG539" s="15"/>
      <c r="AH539" s="15"/>
      <c r="AI539" s="14"/>
      <c r="AJ539" s="14"/>
      <c r="AK539" s="17"/>
    </row>
    <row r="540" customFormat="false" ht="28.5" hidden="false" customHeight="true" outlineLevel="0" collapsed="false">
      <c r="A540" s="11" t="n">
        <v>538</v>
      </c>
      <c r="B540" s="11" t="str">
        <f aca="false">IF(I540="Y",IF(COUNTIF(I$3:I540,"Y")&lt;=20,"pilot",IF(COUNTIF(I$3:I540,"Y")&lt;=40,"dev",IF(COUNTIF(I$3:I540,"Y")&lt;=120,"test","extra"))),"")</f>
        <v/>
      </c>
      <c r="C540" s="11" t="str">
        <f aca="false">IF(I540="Y",IF(COUNTA(K540,Q540,W540,AC540,AE540)=5,"done","in progress"),IF(I540="N","excluded",""))</f>
        <v/>
      </c>
      <c r="D540" s="11" t="s">
        <v>1867</v>
      </c>
      <c r="E540" s="12" t="s">
        <v>90</v>
      </c>
      <c r="F540" s="13" t="s">
        <v>1868</v>
      </c>
      <c r="G540" s="11" t="s">
        <v>476</v>
      </c>
      <c r="H540" s="11"/>
      <c r="I540" s="14"/>
      <c r="J540" s="14"/>
      <c r="K540" s="14"/>
      <c r="L540" s="15"/>
      <c r="M540" s="14"/>
      <c r="N540" s="15"/>
      <c r="O540" s="14"/>
      <c r="P540" s="15"/>
      <c r="Q540" s="14"/>
      <c r="R540" s="15"/>
      <c r="S540" s="14"/>
      <c r="T540" s="15"/>
      <c r="U540" s="14"/>
      <c r="V540" s="15"/>
      <c r="W540" s="14"/>
      <c r="X540" s="15"/>
      <c r="Y540" s="14"/>
      <c r="Z540" s="15"/>
      <c r="AA540" s="14"/>
      <c r="AB540" s="15"/>
      <c r="AC540" s="14"/>
      <c r="AD540" s="15"/>
      <c r="AE540" s="14"/>
      <c r="AF540" s="15"/>
      <c r="AG540" s="15"/>
      <c r="AH540" s="15"/>
      <c r="AI540" s="14"/>
      <c r="AJ540" s="14"/>
      <c r="AK540" s="17"/>
    </row>
    <row r="541" customFormat="false" ht="42.75" hidden="false" customHeight="true" outlineLevel="0" collapsed="false">
      <c r="A541" s="11" t="n">
        <v>539</v>
      </c>
      <c r="B541" s="11" t="str">
        <f aca="false">IF(I541="Y",IF(COUNTIF(I$3:I541,"Y")&lt;=20,"pilot",IF(COUNTIF(I$3:I541,"Y")&lt;=40,"dev",IF(COUNTIF(I$3:I541,"Y")&lt;=120,"test","extra"))),"")</f>
        <v/>
      </c>
      <c r="C541" s="11" t="str">
        <f aca="false">IF(I541="Y",IF(COUNTA(K541,Q541,W541,AC541,AE541)=5,"done","in progress"),IF(I541="N","excluded",""))</f>
        <v/>
      </c>
      <c r="D541" s="11" t="s">
        <v>1869</v>
      </c>
      <c r="E541" s="12" t="s">
        <v>90</v>
      </c>
      <c r="F541" s="13" t="s">
        <v>1870</v>
      </c>
      <c r="G541" s="11" t="s">
        <v>644</v>
      </c>
      <c r="H541" s="11"/>
      <c r="I541" s="14"/>
      <c r="J541" s="14"/>
      <c r="K541" s="14"/>
      <c r="L541" s="15"/>
      <c r="M541" s="14"/>
      <c r="N541" s="15"/>
      <c r="O541" s="14"/>
      <c r="P541" s="15"/>
      <c r="Q541" s="14"/>
      <c r="R541" s="15"/>
      <c r="S541" s="14"/>
      <c r="T541" s="15"/>
      <c r="U541" s="14"/>
      <c r="V541" s="15"/>
      <c r="W541" s="14"/>
      <c r="X541" s="15"/>
      <c r="Y541" s="14"/>
      <c r="Z541" s="15"/>
      <c r="AA541" s="14"/>
      <c r="AB541" s="15"/>
      <c r="AC541" s="14"/>
      <c r="AD541" s="15"/>
      <c r="AE541" s="14"/>
      <c r="AF541" s="15"/>
      <c r="AG541" s="15"/>
      <c r="AH541" s="15"/>
      <c r="AI541" s="14"/>
      <c r="AJ541" s="14"/>
      <c r="AK541" s="17"/>
    </row>
    <row r="542" customFormat="false" ht="42.75" hidden="false" customHeight="true" outlineLevel="0" collapsed="false">
      <c r="A542" s="11" t="n">
        <v>540</v>
      </c>
      <c r="B542" s="11" t="str">
        <f aca="false">IF(I542="Y",IF(COUNTIF(I$3:I542,"Y")&lt;=20,"pilot",IF(COUNTIF(I$3:I542,"Y")&lt;=40,"dev",IF(COUNTIF(I$3:I542,"Y")&lt;=120,"test","extra"))),"")</f>
        <v/>
      </c>
      <c r="C542" s="11" t="str">
        <f aca="false">IF(I542="Y",IF(COUNTA(K542,Q542,W542,AC542,AE542)=5,"done","in progress"),IF(I542="N","excluded",""))</f>
        <v/>
      </c>
      <c r="D542" s="11" t="s">
        <v>1871</v>
      </c>
      <c r="E542" s="12" t="s">
        <v>90</v>
      </c>
      <c r="F542" s="13" t="s">
        <v>1872</v>
      </c>
      <c r="G542" s="11" t="s">
        <v>972</v>
      </c>
      <c r="H542" s="11"/>
      <c r="I542" s="14"/>
      <c r="J542" s="14"/>
      <c r="K542" s="14"/>
      <c r="L542" s="15"/>
      <c r="M542" s="14"/>
      <c r="N542" s="15"/>
      <c r="O542" s="14"/>
      <c r="P542" s="15"/>
      <c r="Q542" s="14"/>
      <c r="R542" s="15"/>
      <c r="S542" s="14"/>
      <c r="T542" s="15"/>
      <c r="U542" s="14"/>
      <c r="V542" s="15"/>
      <c r="W542" s="14"/>
      <c r="X542" s="15"/>
      <c r="Y542" s="14"/>
      <c r="Z542" s="15"/>
      <c r="AA542" s="14"/>
      <c r="AB542" s="15"/>
      <c r="AC542" s="14"/>
      <c r="AD542" s="15"/>
      <c r="AE542" s="14"/>
      <c r="AF542" s="15"/>
      <c r="AG542" s="15"/>
      <c r="AH542" s="15"/>
      <c r="AI542" s="14"/>
      <c r="AJ542" s="14"/>
      <c r="AK542" s="17"/>
    </row>
    <row r="543" customFormat="false" ht="42.75" hidden="false" customHeight="true" outlineLevel="0" collapsed="false">
      <c r="A543" s="11" t="n">
        <v>541</v>
      </c>
      <c r="B543" s="11" t="str">
        <f aca="false">IF(I543="Y",IF(COUNTIF(I$3:I543,"Y")&lt;=20,"pilot",IF(COUNTIF(I$3:I543,"Y")&lt;=40,"dev",IF(COUNTIF(I$3:I543,"Y")&lt;=120,"test","extra"))),"")</f>
        <v/>
      </c>
      <c r="C543" s="11" t="str">
        <f aca="false">IF(I543="Y",IF(COUNTA(K543,Q543,W543,AC543,AE543)=5,"done","in progress"),IF(I543="N","excluded",""))</f>
        <v/>
      </c>
      <c r="D543" s="11" t="s">
        <v>1873</v>
      </c>
      <c r="E543" s="12" t="s">
        <v>90</v>
      </c>
      <c r="F543" s="13" t="s">
        <v>1874</v>
      </c>
      <c r="G543" s="11" t="s">
        <v>1875</v>
      </c>
      <c r="H543" s="11"/>
      <c r="I543" s="14"/>
      <c r="J543" s="14"/>
      <c r="K543" s="14"/>
      <c r="L543" s="15"/>
      <c r="M543" s="14"/>
      <c r="N543" s="15"/>
      <c r="O543" s="14"/>
      <c r="P543" s="15"/>
      <c r="Q543" s="14"/>
      <c r="R543" s="15"/>
      <c r="S543" s="14"/>
      <c r="T543" s="15"/>
      <c r="U543" s="14"/>
      <c r="V543" s="15"/>
      <c r="W543" s="14"/>
      <c r="X543" s="15"/>
      <c r="Y543" s="14"/>
      <c r="Z543" s="15"/>
      <c r="AA543" s="14"/>
      <c r="AB543" s="15"/>
      <c r="AC543" s="14"/>
      <c r="AD543" s="15"/>
      <c r="AE543" s="14"/>
      <c r="AF543" s="15"/>
      <c r="AG543" s="15"/>
      <c r="AH543" s="15"/>
      <c r="AI543" s="14"/>
      <c r="AJ543" s="14"/>
      <c r="AK543" s="17"/>
    </row>
    <row r="544" customFormat="false" ht="42.75" hidden="false" customHeight="true" outlineLevel="0" collapsed="false">
      <c r="A544" s="11" t="n">
        <v>542</v>
      </c>
      <c r="B544" s="11" t="str">
        <f aca="false">IF(I544="Y",IF(COUNTIF(I$3:I544,"Y")&lt;=20,"pilot",IF(COUNTIF(I$3:I544,"Y")&lt;=40,"dev",IF(COUNTIF(I$3:I544,"Y")&lt;=120,"test","extra"))),"")</f>
        <v/>
      </c>
      <c r="C544" s="11" t="str">
        <f aca="false">IF(I544="Y",IF(COUNTA(K544,Q544,W544,AC544,AE544)=5,"done","in progress"),IF(I544="N","excluded",""))</f>
        <v/>
      </c>
      <c r="D544" s="11" t="s">
        <v>1876</v>
      </c>
      <c r="E544" s="12" t="s">
        <v>90</v>
      </c>
      <c r="F544" s="13" t="s">
        <v>1877</v>
      </c>
      <c r="G544" s="11" t="s">
        <v>1878</v>
      </c>
      <c r="H544" s="11"/>
      <c r="I544" s="14"/>
      <c r="J544" s="14"/>
      <c r="K544" s="14"/>
      <c r="L544" s="15"/>
      <c r="M544" s="14"/>
      <c r="N544" s="15"/>
      <c r="O544" s="14"/>
      <c r="P544" s="15"/>
      <c r="Q544" s="14"/>
      <c r="R544" s="15"/>
      <c r="S544" s="14"/>
      <c r="T544" s="15"/>
      <c r="U544" s="14"/>
      <c r="V544" s="15"/>
      <c r="W544" s="14"/>
      <c r="X544" s="15"/>
      <c r="Y544" s="14"/>
      <c r="Z544" s="15"/>
      <c r="AA544" s="14"/>
      <c r="AB544" s="15"/>
      <c r="AC544" s="14"/>
      <c r="AD544" s="15"/>
      <c r="AE544" s="14"/>
      <c r="AF544" s="15"/>
      <c r="AG544" s="15"/>
      <c r="AH544" s="15"/>
      <c r="AI544" s="14"/>
      <c r="AJ544" s="14"/>
      <c r="AK544" s="17"/>
    </row>
  </sheetData>
  <conditionalFormatting sqref="K3:AE544">
    <cfRule type="cellIs" priority="2" operator="equal" aboveAverage="0" equalAverage="0" bottom="0" percent="0" rank="0" text="" dxfId="0">
      <formula>"RISK"</formula>
    </cfRule>
    <cfRule type="cellIs" priority="3" operator="equal" aboveAverage="0" equalAverage="0" bottom="0" percent="0" rank="0" text="" dxfId="1">
      <formula>"UNCLEAR"</formula>
    </cfRule>
    <cfRule type="cellIs" priority="4" operator="equal" aboveAverage="0" equalAverage="0" bottom="0" percent="0" rank="0" text="" dxfId="2">
      <formula>"SAFE"</formula>
    </cfRule>
  </conditionalFormatting>
  <dataValidations count="7">
    <dataValidation allowBlank="true" error="Choose one of: Y,N" errorStyle="stop" errorTitle="Invalid label" operator="between" showDropDown="false" showErrorMessage="true" showInputMessage="false" sqref="I3:I544" type="list">
      <formula1>"Y,N"</formula1>
      <formula2>0</formula2>
    </dataValidation>
    <dataValidation allowBlank="true" error="Choose one of: SAFE,RISK,UNCLEAR,N/A" errorStyle="stop" errorTitle="Invalid label" operator="between" showDropDown="false" showErrorMessage="true" showInputMessage="false" sqref="K3:K544 M3:M544 O3:O544 Q3:Q544 AA3:AA544" type="list">
      <formula1>"SAFE,RISK,UNCLEAR,N/A"</formula1>
      <formula2>0</formula2>
    </dataValidation>
    <dataValidation allowBlank="true" error="Choose one of: YES,NO" errorStyle="stop" errorTitle="Invalid label" operator="between" showDropDown="false" showErrorMessage="true" showInputMessage="false" sqref="S3:S544 U3:U544 W3:W544" type="list">
      <formula1>"YES,NO"</formula1>
      <formula2>0</formula2>
    </dataValidation>
    <dataValidation allowBlank="true" error="Choose one of: YES,NO,N/A" errorStyle="stop" errorTitle="Invalid label" operator="between" showDropDown="false" showErrorMessage="true" showInputMessage="false" sqref="Y3:Y544" type="list">
      <formula1>"YES,NO,N/A"</formula1>
      <formula2>0</formula2>
    </dataValidation>
    <dataValidation allowBlank="true" error="Choose one of: YES,REQUEST,NO" errorStyle="stop" errorTitle="Invalid label" operator="between" showDropDown="false" showErrorMessage="true" showInputMessage="false" sqref="AC3:AC544" type="list">
      <formula1>"YES,REQUEST,NO"</formula1>
      <formula2>0</formula2>
    </dataValidation>
    <dataValidation allowBlank="true" error="Choose one of: PUBLIC,RESTRICTED,NO" errorStyle="stop" errorTitle="Invalid label" operator="between" showDropDown="false" showErrorMessage="true" showInputMessage="false" sqref="AE3:AE544" type="list">
      <formula1>"PUBLIC,RESTRICTED,NO"</formula1>
      <formula2>0</formula2>
    </dataValidation>
    <dataValidation allowBlank="true" errorStyle="stop" operator="between" showDropDown="false" showErrorMessage="false" showInputMessage="false" sqref="AK3:AK544" type="list">
      <formula1>"1.0,1.1,1.2,1.3"</formula1>
      <formula2>0</formula2>
    </dataValidation>
  </dataValidations>
  <hyperlinks>
    <hyperlink ref="E3" r:id="rId1" display="Europe PMC"/>
    <hyperlink ref="E4" r:id="rId2" display="Europe PMC"/>
    <hyperlink ref="E5" r:id="rId3" display="Europe PMC"/>
    <hyperlink ref="E6" r:id="rId4" display="Europe PMC"/>
    <hyperlink ref="E7" r:id="rId5" display="Europe PMC"/>
    <hyperlink ref="E8" r:id="rId6" display="Europe PMC"/>
    <hyperlink ref="E9" r:id="rId7" display="Europe PMC"/>
    <hyperlink ref="E10" r:id="rId8" display="Europe PMC"/>
    <hyperlink ref="E11" r:id="rId9" display="Europe PMC"/>
    <hyperlink ref="E12" r:id="rId10" display="Europe PMC"/>
    <hyperlink ref="E13" r:id="rId11" display="Europe PMC"/>
    <hyperlink ref="E14" r:id="rId12" display="Europe PMC"/>
    <hyperlink ref="E15" r:id="rId13" display="Europe PMC"/>
    <hyperlink ref="E16" r:id="rId14" display="Europe PMC"/>
    <hyperlink ref="E17" r:id="rId15" display="Europe PMC"/>
    <hyperlink ref="E18" r:id="rId16" display="Europe PMC"/>
    <hyperlink ref="E19" r:id="rId17" display="Europe PMC"/>
    <hyperlink ref="E20" r:id="rId18" display="Europe PMC"/>
    <hyperlink ref="E21" r:id="rId19" display="Europe PMC"/>
    <hyperlink ref="E22" r:id="rId20" display="Europe PMC"/>
    <hyperlink ref="E23" r:id="rId21" display="Europe PMC"/>
    <hyperlink ref="E24" r:id="rId22" display="Europe PMC"/>
    <hyperlink ref="E25" r:id="rId23" display="Europe PMC"/>
    <hyperlink ref="E26" r:id="rId24" display="Europe PMC"/>
    <hyperlink ref="E27" r:id="rId25" display="Europe PMC"/>
    <hyperlink ref="E28" r:id="rId26" display="Europe PMC"/>
    <hyperlink ref="E29" r:id="rId27" display="Europe PMC"/>
    <hyperlink ref="E30" r:id="rId28" display="Europe PMC"/>
    <hyperlink ref="E31" r:id="rId29" display="Europe PMC"/>
    <hyperlink ref="E32" r:id="rId30" display="Europe PMC"/>
    <hyperlink ref="E33" r:id="rId31" display="Europe PMC"/>
    <hyperlink ref="E34" r:id="rId32" display="Europe PMC"/>
    <hyperlink ref="E35" r:id="rId33" display="Europe PMC"/>
    <hyperlink ref="E36" r:id="rId34" display="Europe PMC"/>
    <hyperlink ref="E37" r:id="rId35" display="Europe PMC"/>
    <hyperlink ref="E38" r:id="rId36" display="Europe PMC"/>
    <hyperlink ref="E39" r:id="rId37" display="Europe PMC"/>
    <hyperlink ref="E40" r:id="rId38" display="Europe PMC"/>
    <hyperlink ref="E41" r:id="rId39" display="Europe PMC"/>
    <hyperlink ref="E42" r:id="rId40" display="Europe PMC"/>
    <hyperlink ref="E43" r:id="rId41" display="Europe PMC"/>
    <hyperlink ref="E44" r:id="rId42" display="Europe PMC"/>
    <hyperlink ref="E45" r:id="rId43" display="Europe PMC"/>
    <hyperlink ref="E46" r:id="rId44" display="Europe PMC"/>
    <hyperlink ref="E47" r:id="rId45" display="Europe PMC"/>
    <hyperlink ref="E48" r:id="rId46" display="Europe PMC"/>
    <hyperlink ref="E49" r:id="rId47" display="Europe PMC"/>
    <hyperlink ref="E50" r:id="rId48" display="Europe PMC"/>
    <hyperlink ref="E51" r:id="rId49" display="Europe PMC"/>
    <hyperlink ref="E52" r:id="rId50" display="Europe PMC"/>
    <hyperlink ref="E53" r:id="rId51" display="Europe PMC"/>
    <hyperlink ref="E54" r:id="rId52" display="Europe PMC"/>
    <hyperlink ref="E55" r:id="rId53" display="Europe PMC"/>
    <hyperlink ref="E56" r:id="rId54" display="Europe PMC"/>
    <hyperlink ref="E57" r:id="rId55" display="Europe PMC"/>
    <hyperlink ref="E58" r:id="rId56" display="Europe PMC"/>
    <hyperlink ref="E59" r:id="rId57" display="Europe PMC"/>
    <hyperlink ref="E60" r:id="rId58" display="Europe PMC"/>
    <hyperlink ref="E61" r:id="rId59" display="Europe PMC"/>
    <hyperlink ref="E62" r:id="rId60" display="Europe PMC"/>
    <hyperlink ref="E63" r:id="rId61" display="Europe PMC"/>
    <hyperlink ref="E64" r:id="rId62" display="Europe PMC"/>
    <hyperlink ref="E65" r:id="rId63" display="Europe PMC"/>
    <hyperlink ref="E66" r:id="rId64" display="Europe PMC"/>
    <hyperlink ref="E67" r:id="rId65" display="Europe PMC"/>
    <hyperlink ref="E68" r:id="rId66" display="Europe PMC"/>
    <hyperlink ref="E69" r:id="rId67" display="Europe PMC"/>
    <hyperlink ref="E70" r:id="rId68" display="Europe PMC"/>
    <hyperlink ref="E71" r:id="rId69" display="Europe PMC"/>
    <hyperlink ref="E72" r:id="rId70" display="Europe PMC"/>
    <hyperlink ref="E73" r:id="rId71" display="Europe PMC"/>
    <hyperlink ref="E74" r:id="rId72" display="Europe PMC"/>
    <hyperlink ref="E75" r:id="rId73" display="Europe PMC"/>
    <hyperlink ref="E76" r:id="rId74" display="Europe PMC"/>
    <hyperlink ref="E77" r:id="rId75" display="Europe PMC"/>
    <hyperlink ref="E78" r:id="rId76" display="Europe PMC"/>
    <hyperlink ref="E79" r:id="rId77" display="Europe PMC"/>
    <hyperlink ref="E80" r:id="rId78" display="Europe PMC"/>
    <hyperlink ref="E81" r:id="rId79" display="Europe PMC"/>
    <hyperlink ref="E82" r:id="rId80" display="Europe PMC"/>
    <hyperlink ref="E83" r:id="rId81" display="Europe PMC"/>
    <hyperlink ref="E84" r:id="rId82" display="Europe PMC"/>
    <hyperlink ref="E85" r:id="rId83" display="Europe PMC"/>
    <hyperlink ref="E86" r:id="rId84" display="Europe PMC"/>
    <hyperlink ref="E87" r:id="rId85" display="Europe PMC"/>
    <hyperlink ref="E88" r:id="rId86" display="Europe PMC"/>
    <hyperlink ref="E89" r:id="rId87" display="Europe PMC"/>
    <hyperlink ref="E90" r:id="rId88" display="Europe PMC"/>
    <hyperlink ref="E91" r:id="rId89" display="Europe PMC"/>
    <hyperlink ref="E92" r:id="rId90" display="Europe PMC"/>
    <hyperlink ref="E93" r:id="rId91" display="Europe PMC"/>
    <hyperlink ref="E94" r:id="rId92" display="Europe PMC"/>
    <hyperlink ref="E95" r:id="rId93" display="Europe PMC"/>
    <hyperlink ref="E96" r:id="rId94" display="Europe PMC"/>
    <hyperlink ref="E97" r:id="rId95" display="Europe PMC"/>
    <hyperlink ref="E98" r:id="rId96" display="Europe PMC"/>
    <hyperlink ref="E99" r:id="rId97" display="Europe PMC"/>
    <hyperlink ref="E100" r:id="rId98" display="Europe PMC"/>
    <hyperlink ref="E101" r:id="rId99" display="Europe PMC"/>
    <hyperlink ref="E102" r:id="rId100" display="Europe PMC"/>
    <hyperlink ref="E103" r:id="rId101" display="Europe PMC"/>
    <hyperlink ref="E104" r:id="rId102" display="Europe PMC"/>
    <hyperlink ref="E105" r:id="rId103" display="Europe PMC"/>
    <hyperlink ref="E106" r:id="rId104" display="Europe PMC"/>
    <hyperlink ref="E107" r:id="rId105" display="Europe PMC"/>
    <hyperlink ref="E108" r:id="rId106" display="Europe PMC"/>
    <hyperlink ref="E109" r:id="rId107" display="Europe PMC"/>
    <hyperlink ref="E110" r:id="rId108" display="Europe PMC"/>
    <hyperlink ref="E111" r:id="rId109" display="Europe PMC"/>
    <hyperlink ref="E112" r:id="rId110" display="Europe PMC"/>
    <hyperlink ref="E113" r:id="rId111" display="Europe PMC"/>
    <hyperlink ref="E114" r:id="rId112" display="Europe PMC"/>
    <hyperlink ref="E115" r:id="rId113" display="Europe PMC"/>
    <hyperlink ref="E116" r:id="rId114" display="Europe PMC"/>
    <hyperlink ref="E117" r:id="rId115" display="Europe PMC"/>
    <hyperlink ref="E118" r:id="rId116" display="Europe PMC"/>
    <hyperlink ref="E119" r:id="rId117" display="Europe PMC"/>
    <hyperlink ref="E120" r:id="rId118" display="Europe PMC"/>
    <hyperlink ref="E121" r:id="rId119" display="Europe PMC"/>
    <hyperlink ref="E122" r:id="rId120" display="Europe PMC"/>
    <hyperlink ref="E123" r:id="rId121" display="Europe PMC"/>
    <hyperlink ref="E124" r:id="rId122" display="Europe PMC"/>
    <hyperlink ref="E125" r:id="rId123" display="Europe PMC"/>
    <hyperlink ref="E126" r:id="rId124" display="Europe PMC"/>
    <hyperlink ref="E127" r:id="rId125" display="Europe PMC"/>
    <hyperlink ref="E128" r:id="rId126" display="Europe PMC"/>
    <hyperlink ref="E129" r:id="rId127" display="Europe PMC"/>
    <hyperlink ref="E130" r:id="rId128" display="Europe PMC"/>
    <hyperlink ref="E131" r:id="rId129" display="Europe PMC"/>
    <hyperlink ref="E132" r:id="rId130" display="Europe PMC"/>
    <hyperlink ref="E133" r:id="rId131" display="Europe PMC"/>
    <hyperlink ref="E134" r:id="rId132" display="Europe PMC"/>
    <hyperlink ref="E135" r:id="rId133" display="Europe PMC"/>
    <hyperlink ref="E136" r:id="rId134" display="Europe PMC"/>
    <hyperlink ref="E137" r:id="rId135" display="Europe PMC"/>
    <hyperlink ref="E138" r:id="rId136" display="Europe PMC"/>
    <hyperlink ref="E139" r:id="rId137" display="Europe PMC"/>
    <hyperlink ref="E140" r:id="rId138" display="Europe PMC"/>
    <hyperlink ref="E141" r:id="rId139" display="Europe PMC"/>
    <hyperlink ref="E142" r:id="rId140" display="Europe PMC"/>
    <hyperlink ref="E143" r:id="rId141" display="Europe PMC"/>
    <hyperlink ref="E144" r:id="rId142" display="Europe PMC"/>
    <hyperlink ref="E145" r:id="rId143" display="Europe PMC"/>
    <hyperlink ref="E146" r:id="rId144" display="Europe PMC"/>
    <hyperlink ref="E147" r:id="rId145" display="Europe PMC"/>
    <hyperlink ref="E148" r:id="rId146" display="Europe PMC"/>
    <hyperlink ref="E149" r:id="rId147" display="Europe PMC"/>
    <hyperlink ref="E150" r:id="rId148" display="Europe PMC"/>
    <hyperlink ref="E151" r:id="rId149" display="Europe PMC"/>
    <hyperlink ref="E152" r:id="rId150" display="Europe PMC"/>
    <hyperlink ref="E153" r:id="rId151" display="Europe PMC"/>
    <hyperlink ref="E154" r:id="rId152" display="Europe PMC"/>
    <hyperlink ref="E155" r:id="rId153" display="Europe PMC"/>
    <hyperlink ref="E156" r:id="rId154" display="Europe PMC"/>
    <hyperlink ref="E157" r:id="rId155" display="Europe PMC"/>
    <hyperlink ref="E158" r:id="rId156" display="Europe PMC"/>
    <hyperlink ref="E159" r:id="rId157" display="Europe PMC"/>
    <hyperlink ref="E160" r:id="rId158" display="Europe PMC"/>
    <hyperlink ref="E161" r:id="rId159" display="Europe PMC"/>
    <hyperlink ref="E162" r:id="rId160" display="Europe PMC"/>
    <hyperlink ref="E163" r:id="rId161" display="Europe PMC"/>
    <hyperlink ref="E164" r:id="rId162" display="Europe PMC"/>
    <hyperlink ref="E165" r:id="rId163" display="Europe PMC"/>
    <hyperlink ref="E166" r:id="rId164" display="Europe PMC"/>
    <hyperlink ref="E167" r:id="rId165" display="Europe PMC"/>
    <hyperlink ref="E168" r:id="rId166" display="Europe PMC"/>
    <hyperlink ref="E169" r:id="rId167" display="Europe PMC"/>
    <hyperlink ref="E170" r:id="rId168" display="Europe PMC"/>
    <hyperlink ref="E171" r:id="rId169" display="Europe PMC"/>
    <hyperlink ref="E172" r:id="rId170" display="Europe PMC"/>
    <hyperlink ref="E173" r:id="rId171" display="Europe PMC"/>
    <hyperlink ref="E174" r:id="rId172" display="Europe PMC"/>
    <hyperlink ref="E175" r:id="rId173" display="Europe PMC"/>
    <hyperlink ref="E176" r:id="rId174" display="Europe PMC"/>
    <hyperlink ref="E177" r:id="rId175" display="Europe PMC"/>
    <hyperlink ref="E178" r:id="rId176" display="Europe PMC"/>
    <hyperlink ref="E179" r:id="rId177" display="Europe PMC"/>
    <hyperlink ref="E180" r:id="rId178" display="Europe PMC"/>
    <hyperlink ref="E181" r:id="rId179" display="Europe PMC"/>
    <hyperlink ref="E182" r:id="rId180" display="Europe PMC"/>
    <hyperlink ref="E183" r:id="rId181" display="Europe PMC"/>
    <hyperlink ref="E184" r:id="rId182" display="Europe PMC"/>
    <hyperlink ref="E185" r:id="rId183" display="Europe PMC"/>
    <hyperlink ref="E186" r:id="rId184" display="Europe PMC"/>
    <hyperlink ref="E187" r:id="rId185" display="Europe PMC"/>
    <hyperlink ref="E188" r:id="rId186" display="Europe PMC"/>
    <hyperlink ref="E189" r:id="rId187" display="Europe PMC"/>
    <hyperlink ref="E190" r:id="rId188" display="Europe PMC"/>
    <hyperlink ref="E191" r:id="rId189" display="Europe PMC"/>
    <hyperlink ref="E192" r:id="rId190" display="Europe PMC"/>
    <hyperlink ref="E193" r:id="rId191" display="Europe PMC"/>
    <hyperlink ref="E194" r:id="rId192" display="Europe PMC"/>
    <hyperlink ref="E195" r:id="rId193" display="Europe PMC"/>
    <hyperlink ref="E196" r:id="rId194" display="Europe PMC"/>
    <hyperlink ref="E197" r:id="rId195" display="Europe PMC"/>
    <hyperlink ref="E198" r:id="rId196" display="Europe PMC"/>
    <hyperlink ref="E199" r:id="rId197" display="Europe PMC"/>
    <hyperlink ref="E200" r:id="rId198" display="Europe PMC"/>
    <hyperlink ref="E201" r:id="rId199" display="Europe PMC"/>
    <hyperlink ref="E202" r:id="rId200" display="Europe PMC"/>
    <hyperlink ref="E203" r:id="rId201" display="Europe PMC"/>
    <hyperlink ref="E204" r:id="rId202" display="Europe PMC"/>
    <hyperlink ref="E205" r:id="rId203" display="Europe PMC"/>
    <hyperlink ref="E206" r:id="rId204" display="Europe PMC"/>
    <hyperlink ref="E207" r:id="rId205" display="Europe PMC"/>
    <hyperlink ref="E208" r:id="rId206" display="Europe PMC"/>
    <hyperlink ref="E209" r:id="rId207" display="Europe PMC"/>
    <hyperlink ref="E210" r:id="rId208" display="Europe PMC"/>
    <hyperlink ref="E211" r:id="rId209" display="Europe PMC"/>
    <hyperlink ref="E212" r:id="rId210" display="Europe PMC"/>
    <hyperlink ref="E213" r:id="rId211" display="Europe PMC"/>
    <hyperlink ref="E214" r:id="rId212" display="Europe PMC"/>
    <hyperlink ref="E215" r:id="rId213" display="Europe PMC"/>
    <hyperlink ref="E216" r:id="rId214" display="Europe PMC"/>
    <hyperlink ref="E217" r:id="rId215" display="Europe PMC"/>
    <hyperlink ref="E218" r:id="rId216" display="Europe PMC"/>
    <hyperlink ref="E219" r:id="rId217" display="Europe PMC"/>
    <hyperlink ref="E220" r:id="rId218" display="Europe PMC"/>
    <hyperlink ref="E221" r:id="rId219" display="Europe PMC"/>
    <hyperlink ref="E222" r:id="rId220" display="Europe PMC"/>
    <hyperlink ref="E223" r:id="rId221" display="Europe PMC"/>
    <hyperlink ref="E224" r:id="rId222" display="Europe PMC"/>
    <hyperlink ref="E225" r:id="rId223" display="Europe PMC"/>
    <hyperlink ref="E226" r:id="rId224" display="Europe PMC"/>
    <hyperlink ref="E227" r:id="rId225" display="Europe PMC"/>
    <hyperlink ref="E228" r:id="rId226" display="Europe PMC"/>
    <hyperlink ref="E229" r:id="rId227" display="Europe PMC"/>
    <hyperlink ref="E230" r:id="rId228" display="Europe PMC"/>
    <hyperlink ref="E231" r:id="rId229" display="Europe PMC"/>
    <hyperlink ref="E232" r:id="rId230" display="Europe PMC"/>
    <hyperlink ref="E233" r:id="rId231" display="Europe PMC"/>
    <hyperlink ref="E234" r:id="rId232" display="Europe PMC"/>
    <hyperlink ref="E235" r:id="rId233" display="Europe PMC"/>
    <hyperlink ref="E236" r:id="rId234" display="Europe PMC"/>
    <hyperlink ref="E237" r:id="rId235" display="Europe PMC"/>
    <hyperlink ref="E238" r:id="rId236" display="Europe PMC"/>
    <hyperlink ref="E239" r:id="rId237" display="Europe PMC"/>
    <hyperlink ref="E240" r:id="rId238" display="Europe PMC"/>
    <hyperlink ref="E241" r:id="rId239" display="Europe PMC"/>
    <hyperlink ref="E242" r:id="rId240" display="Europe PMC"/>
    <hyperlink ref="E243" r:id="rId241" display="Europe PMC"/>
    <hyperlink ref="E244" r:id="rId242" display="Europe PMC"/>
    <hyperlink ref="E245" r:id="rId243" display="Europe PMC"/>
    <hyperlink ref="E246" r:id="rId244" display="Europe PMC"/>
    <hyperlink ref="E247" r:id="rId245" display="Europe PMC"/>
    <hyperlink ref="E248" r:id="rId246" display="Europe PMC"/>
    <hyperlink ref="E249" r:id="rId247" display="Europe PMC"/>
    <hyperlink ref="E250" r:id="rId248" display="Europe PMC"/>
    <hyperlink ref="E251" r:id="rId249" display="Europe PMC"/>
    <hyperlink ref="E252" r:id="rId250" display="Europe PMC"/>
    <hyperlink ref="E253" r:id="rId251" display="Europe PMC"/>
    <hyperlink ref="E254" r:id="rId252" display="Europe PMC"/>
    <hyperlink ref="E255" r:id="rId253" display="Europe PMC"/>
    <hyperlink ref="E256" r:id="rId254" display="Europe PMC"/>
    <hyperlink ref="E257" r:id="rId255" display="Europe PMC"/>
    <hyperlink ref="E258" r:id="rId256" display="Europe PMC"/>
    <hyperlink ref="E259" r:id="rId257" display="Europe PMC"/>
    <hyperlink ref="E260" r:id="rId258" display="Europe PMC"/>
    <hyperlink ref="E261" r:id="rId259" display="Europe PMC"/>
    <hyperlink ref="E262" r:id="rId260" display="Europe PMC"/>
    <hyperlink ref="E263" r:id="rId261" display="Europe PMC"/>
    <hyperlink ref="E264" r:id="rId262" display="Europe PMC"/>
    <hyperlink ref="E265" r:id="rId263" display="Europe PMC"/>
    <hyperlink ref="E266" r:id="rId264" display="Europe PMC"/>
    <hyperlink ref="E267" r:id="rId265" display="Europe PMC"/>
    <hyperlink ref="E268" r:id="rId266" display="Europe PMC"/>
    <hyperlink ref="E269" r:id="rId267" display="Europe PMC"/>
    <hyperlink ref="E270" r:id="rId268" display="Europe PMC"/>
    <hyperlink ref="E271" r:id="rId269" display="Europe PMC"/>
    <hyperlink ref="E272" r:id="rId270" display="Europe PMC"/>
    <hyperlink ref="E273" r:id="rId271" display="Europe PMC"/>
    <hyperlink ref="E274" r:id="rId272" display="Europe PMC"/>
    <hyperlink ref="E275" r:id="rId273" display="Europe PMC"/>
    <hyperlink ref="E276" r:id="rId274" display="Europe PMC"/>
    <hyperlink ref="E277" r:id="rId275" display="Europe PMC"/>
    <hyperlink ref="E278" r:id="rId276" display="Europe PMC"/>
    <hyperlink ref="E279" r:id="rId277" display="Europe PMC"/>
    <hyperlink ref="E280" r:id="rId278" display="Europe PMC"/>
    <hyperlink ref="E281" r:id="rId279" display="Europe PMC"/>
    <hyperlink ref="E282" r:id="rId280" display="Europe PMC"/>
    <hyperlink ref="E283" r:id="rId281" display="Europe PMC"/>
    <hyperlink ref="E284" r:id="rId282" display="Europe PMC"/>
    <hyperlink ref="E285" r:id="rId283" display="Europe PMC"/>
    <hyperlink ref="E286" r:id="rId284" display="Europe PMC"/>
    <hyperlink ref="E287" r:id="rId285" display="Europe PMC"/>
    <hyperlink ref="E288" r:id="rId286" display="Europe PMC"/>
    <hyperlink ref="E289" r:id="rId287" display="Europe PMC"/>
    <hyperlink ref="E290" r:id="rId288" display="Europe PMC"/>
    <hyperlink ref="E291" r:id="rId289" display="Europe PMC"/>
    <hyperlink ref="E292" r:id="rId290" display="Europe PMC"/>
    <hyperlink ref="E293" r:id="rId291" display="Europe PMC"/>
    <hyperlink ref="E294" r:id="rId292" display="Europe PMC"/>
    <hyperlink ref="E295" r:id="rId293" display="Europe PMC"/>
    <hyperlink ref="E296" r:id="rId294" display="Europe PMC"/>
    <hyperlink ref="E297" r:id="rId295" display="Europe PMC"/>
    <hyperlink ref="E298" r:id="rId296" display="Europe PMC"/>
    <hyperlink ref="E299" r:id="rId297" display="Europe PMC"/>
    <hyperlink ref="E300" r:id="rId298" display="Europe PMC"/>
    <hyperlink ref="E301" r:id="rId299" display="Europe PMC"/>
    <hyperlink ref="E302" r:id="rId300" display="Europe PMC"/>
    <hyperlink ref="E303" r:id="rId301" display="Europe PMC"/>
    <hyperlink ref="E304" r:id="rId302" display="Europe PMC"/>
    <hyperlink ref="E305" r:id="rId303" display="Europe PMC"/>
    <hyperlink ref="E306" r:id="rId304" display="Europe PMC"/>
    <hyperlink ref="E307" r:id="rId305" display="Europe PMC"/>
    <hyperlink ref="E308" r:id="rId306" display="Europe PMC"/>
    <hyperlink ref="E309" r:id="rId307" display="Europe PMC"/>
    <hyperlink ref="E310" r:id="rId308" display="Europe PMC"/>
    <hyperlink ref="E311" r:id="rId309" display="Europe PMC"/>
    <hyperlink ref="E312" r:id="rId310" display="Europe PMC"/>
    <hyperlink ref="E313" r:id="rId311" display="Europe PMC"/>
    <hyperlink ref="E314" r:id="rId312" display="Europe PMC"/>
    <hyperlink ref="E315" r:id="rId313" display="Europe PMC"/>
    <hyperlink ref="E316" r:id="rId314" display="Europe PMC"/>
    <hyperlink ref="E317" r:id="rId315" display="Europe PMC"/>
    <hyperlink ref="E318" r:id="rId316" display="Europe PMC"/>
    <hyperlink ref="E319" r:id="rId317" display="Europe PMC"/>
    <hyperlink ref="E320" r:id="rId318" display="Europe PMC"/>
    <hyperlink ref="E321" r:id="rId319" display="Europe PMC"/>
    <hyperlink ref="E322" r:id="rId320" display="Europe PMC"/>
    <hyperlink ref="E323" r:id="rId321" display="Europe PMC"/>
    <hyperlink ref="E324" r:id="rId322" display="Europe PMC"/>
    <hyperlink ref="E325" r:id="rId323" display="Europe PMC"/>
    <hyperlink ref="E326" r:id="rId324" display="Europe PMC"/>
    <hyperlink ref="E327" r:id="rId325" display="Europe PMC"/>
    <hyperlink ref="E328" r:id="rId326" display="Europe PMC"/>
    <hyperlink ref="E329" r:id="rId327" display="Europe PMC"/>
    <hyperlink ref="E330" r:id="rId328" display="Europe PMC"/>
    <hyperlink ref="E331" r:id="rId329" display="Europe PMC"/>
    <hyperlink ref="E332" r:id="rId330" display="Europe PMC"/>
    <hyperlink ref="E333" r:id="rId331" display="Europe PMC"/>
    <hyperlink ref="E334" r:id="rId332" display="Europe PMC"/>
    <hyperlink ref="E335" r:id="rId333" display="Europe PMC"/>
    <hyperlink ref="E336" r:id="rId334" display="Europe PMC"/>
    <hyperlink ref="E337" r:id="rId335" display="Europe PMC"/>
    <hyperlink ref="E338" r:id="rId336" display="Europe PMC"/>
    <hyperlink ref="E339" r:id="rId337" display="Europe PMC"/>
    <hyperlink ref="E340" r:id="rId338" display="Europe PMC"/>
    <hyperlink ref="E341" r:id="rId339" display="Europe PMC"/>
    <hyperlink ref="E342" r:id="rId340" display="Europe PMC"/>
    <hyperlink ref="E343" r:id="rId341" display="Europe PMC"/>
    <hyperlink ref="E344" r:id="rId342" display="Europe PMC"/>
    <hyperlink ref="E345" r:id="rId343" display="Europe PMC"/>
    <hyperlink ref="E346" r:id="rId344" display="Europe PMC"/>
    <hyperlink ref="E347" r:id="rId345" display="Europe PMC"/>
    <hyperlink ref="E348" r:id="rId346" display="Europe PMC"/>
    <hyperlink ref="E349" r:id="rId347" display="Europe PMC"/>
    <hyperlink ref="E350" r:id="rId348" display="Europe PMC"/>
    <hyperlink ref="E351" r:id="rId349" display="Europe PMC"/>
    <hyperlink ref="E352" r:id="rId350" display="Europe PMC"/>
    <hyperlink ref="E353" r:id="rId351" display="Europe PMC"/>
    <hyperlink ref="E354" r:id="rId352" display="Europe PMC"/>
    <hyperlink ref="E355" r:id="rId353" display="Europe PMC"/>
    <hyperlink ref="E356" r:id="rId354" display="Europe PMC"/>
    <hyperlink ref="E357" r:id="rId355" display="Europe PMC"/>
    <hyperlink ref="E358" r:id="rId356" display="Europe PMC"/>
    <hyperlink ref="E359" r:id="rId357" display="Europe PMC"/>
    <hyperlink ref="E360" r:id="rId358" display="Europe PMC"/>
    <hyperlink ref="E361" r:id="rId359" display="Europe PMC"/>
    <hyperlink ref="E362" r:id="rId360" display="Europe PMC"/>
    <hyperlink ref="E363" r:id="rId361" display="Europe PMC"/>
    <hyperlink ref="E364" r:id="rId362" display="Europe PMC"/>
    <hyperlink ref="E365" r:id="rId363" display="Europe PMC"/>
    <hyperlink ref="E366" r:id="rId364" display="Europe PMC"/>
    <hyperlink ref="E367" r:id="rId365" display="Europe PMC"/>
    <hyperlink ref="E368" r:id="rId366" display="Europe PMC"/>
    <hyperlink ref="E369" r:id="rId367" display="Europe PMC"/>
    <hyperlink ref="E370" r:id="rId368" display="Europe PMC"/>
    <hyperlink ref="E371" r:id="rId369" display="Europe PMC"/>
    <hyperlink ref="E372" r:id="rId370" display="Europe PMC"/>
    <hyperlink ref="E373" r:id="rId371" display="Europe PMC"/>
    <hyperlink ref="E374" r:id="rId372" display="Europe PMC"/>
    <hyperlink ref="E375" r:id="rId373" display="Europe PMC"/>
    <hyperlink ref="E376" r:id="rId374" display="Europe PMC"/>
    <hyperlink ref="E377" r:id="rId375" display="Europe PMC"/>
    <hyperlink ref="E378" r:id="rId376" display="Europe PMC"/>
    <hyperlink ref="E379" r:id="rId377" display="Europe PMC"/>
    <hyperlink ref="E380" r:id="rId378" display="Europe PMC"/>
    <hyperlink ref="E381" r:id="rId379" display="Europe PMC"/>
    <hyperlink ref="E382" r:id="rId380" display="Europe PMC"/>
    <hyperlink ref="E383" r:id="rId381" display="Europe PMC"/>
    <hyperlink ref="E384" r:id="rId382" display="Europe PMC"/>
    <hyperlink ref="E385" r:id="rId383" display="Europe PMC"/>
    <hyperlink ref="E386" r:id="rId384" display="Europe PMC"/>
    <hyperlink ref="E387" r:id="rId385" display="Europe PMC"/>
    <hyperlink ref="E388" r:id="rId386" display="Europe PMC"/>
    <hyperlink ref="E389" r:id="rId387" display="Europe PMC"/>
    <hyperlink ref="E390" r:id="rId388" display="Europe PMC"/>
    <hyperlink ref="E391" r:id="rId389" display="Europe PMC"/>
    <hyperlink ref="E392" r:id="rId390" display="Europe PMC"/>
    <hyperlink ref="E393" r:id="rId391" display="Europe PMC"/>
    <hyperlink ref="E394" r:id="rId392" display="Europe PMC"/>
    <hyperlink ref="E395" r:id="rId393" display="Europe PMC"/>
    <hyperlink ref="E396" r:id="rId394" display="Europe PMC"/>
    <hyperlink ref="E397" r:id="rId395" display="Europe PMC"/>
    <hyperlink ref="E398" r:id="rId396" display="Europe PMC"/>
    <hyperlink ref="E399" r:id="rId397" display="Europe PMC"/>
    <hyperlink ref="E400" r:id="rId398" display="Europe PMC"/>
    <hyperlink ref="E401" r:id="rId399" display="Europe PMC"/>
    <hyperlink ref="E402" r:id="rId400" display="Europe PMC"/>
    <hyperlink ref="E403" r:id="rId401" display="Europe PMC"/>
    <hyperlink ref="E404" r:id="rId402" display="Europe PMC"/>
    <hyperlink ref="E405" r:id="rId403" display="Europe PMC"/>
    <hyperlink ref="E406" r:id="rId404" display="Europe PMC"/>
    <hyperlink ref="E407" r:id="rId405" display="Europe PMC"/>
    <hyperlink ref="E408" r:id="rId406" display="Europe PMC"/>
    <hyperlink ref="E409" r:id="rId407" display="Europe PMC"/>
    <hyperlink ref="E410" r:id="rId408" display="Europe PMC"/>
    <hyperlink ref="E411" r:id="rId409" display="Europe PMC"/>
    <hyperlink ref="E412" r:id="rId410" display="Europe PMC"/>
    <hyperlink ref="E413" r:id="rId411" display="Europe PMC"/>
    <hyperlink ref="E414" r:id="rId412" display="Europe PMC"/>
    <hyperlink ref="E415" r:id="rId413" display="Europe PMC"/>
    <hyperlink ref="E416" r:id="rId414" display="Europe PMC"/>
    <hyperlink ref="E417" r:id="rId415" display="Europe PMC"/>
    <hyperlink ref="E418" r:id="rId416" display="Europe PMC"/>
    <hyperlink ref="E419" r:id="rId417" display="Europe PMC"/>
    <hyperlink ref="E420" r:id="rId418" display="Europe PMC"/>
    <hyperlink ref="E421" r:id="rId419" display="Europe PMC"/>
    <hyperlink ref="E422" r:id="rId420" display="Europe PMC"/>
    <hyperlink ref="E423" r:id="rId421" display="Europe PMC"/>
    <hyperlink ref="E424" r:id="rId422" display="Europe PMC"/>
    <hyperlink ref="E425" r:id="rId423" display="Europe PMC"/>
    <hyperlink ref="E426" r:id="rId424" display="Europe PMC"/>
    <hyperlink ref="E427" r:id="rId425" display="Europe PMC"/>
    <hyperlink ref="E428" r:id="rId426" display="Europe PMC"/>
    <hyperlink ref="E429" r:id="rId427" display="Europe PMC"/>
    <hyperlink ref="E430" r:id="rId428" display="Europe PMC"/>
    <hyperlink ref="E431" r:id="rId429" display="Europe PMC"/>
    <hyperlink ref="E432" r:id="rId430" display="Europe PMC"/>
    <hyperlink ref="E433" r:id="rId431" display="Europe PMC"/>
    <hyperlink ref="E434" r:id="rId432" display="Europe PMC"/>
    <hyperlink ref="E435" r:id="rId433" display="Europe PMC"/>
    <hyperlink ref="E436" r:id="rId434" display="Europe PMC"/>
    <hyperlink ref="E437" r:id="rId435" display="Europe PMC"/>
    <hyperlink ref="E438" r:id="rId436" display="Europe PMC"/>
    <hyperlink ref="E439" r:id="rId437" display="Europe PMC"/>
    <hyperlink ref="E440" r:id="rId438" display="Europe PMC"/>
    <hyperlink ref="E441" r:id="rId439" display="Europe PMC"/>
    <hyperlink ref="E442" r:id="rId440" display="Europe PMC"/>
    <hyperlink ref="E443" r:id="rId441" display="Europe PMC"/>
    <hyperlink ref="E444" r:id="rId442" display="Europe PMC"/>
    <hyperlink ref="E445" r:id="rId443" display="Europe PMC"/>
    <hyperlink ref="E446" r:id="rId444" display="Europe PMC"/>
    <hyperlink ref="E447" r:id="rId445" display="Europe PMC"/>
    <hyperlink ref="E448" r:id="rId446" display="Europe PMC"/>
    <hyperlink ref="E449" r:id="rId447" display="Europe PMC"/>
    <hyperlink ref="E450" r:id="rId448" display="Europe PMC"/>
    <hyperlink ref="E451" r:id="rId449" display="Europe PMC"/>
    <hyperlink ref="E452" r:id="rId450" display="Europe PMC"/>
    <hyperlink ref="E453" r:id="rId451" display="Europe PMC"/>
    <hyperlink ref="E454" r:id="rId452" display="Europe PMC"/>
    <hyperlink ref="E455" r:id="rId453" display="Europe PMC"/>
    <hyperlink ref="E456" r:id="rId454" display="Europe PMC"/>
    <hyperlink ref="E457" r:id="rId455" display="Europe PMC"/>
    <hyperlink ref="E458" r:id="rId456" display="Europe PMC"/>
    <hyperlink ref="E459" r:id="rId457" display="Europe PMC"/>
    <hyperlink ref="E460" r:id="rId458" display="Europe PMC"/>
    <hyperlink ref="E461" r:id="rId459" display="Europe PMC"/>
    <hyperlink ref="E462" r:id="rId460" display="Europe PMC"/>
    <hyperlink ref="E463" r:id="rId461" display="Europe PMC"/>
    <hyperlink ref="E464" r:id="rId462" display="Europe PMC"/>
    <hyperlink ref="E465" r:id="rId463" display="Europe PMC"/>
    <hyperlink ref="E466" r:id="rId464" display="Europe PMC"/>
    <hyperlink ref="E467" r:id="rId465" display="Europe PMC"/>
    <hyperlink ref="E468" r:id="rId466" display="Europe PMC"/>
    <hyperlink ref="E469" r:id="rId467" display="Europe PMC"/>
    <hyperlink ref="E470" r:id="rId468" display="Europe PMC"/>
    <hyperlink ref="E471" r:id="rId469" display="Europe PMC"/>
    <hyperlink ref="E472" r:id="rId470" display="Europe PMC"/>
    <hyperlink ref="E473" r:id="rId471" display="Europe PMC"/>
    <hyperlink ref="E474" r:id="rId472" display="Europe PMC"/>
    <hyperlink ref="E475" r:id="rId473" display="Europe PMC"/>
    <hyperlink ref="E476" r:id="rId474" display="Europe PMC"/>
    <hyperlink ref="E477" r:id="rId475" display="Europe PMC"/>
    <hyperlink ref="E478" r:id="rId476" display="Europe PMC"/>
    <hyperlink ref="E479" r:id="rId477" display="Europe PMC"/>
    <hyperlink ref="E480" r:id="rId478" display="Europe PMC"/>
    <hyperlink ref="E481" r:id="rId479" display="Europe PMC"/>
    <hyperlink ref="E482" r:id="rId480" display="Europe PMC"/>
    <hyperlink ref="E483" r:id="rId481" display="Europe PMC"/>
    <hyperlink ref="E484" r:id="rId482" display="Europe PMC"/>
    <hyperlink ref="E485" r:id="rId483" display="Europe PMC"/>
    <hyperlink ref="E486" r:id="rId484" display="Europe PMC"/>
    <hyperlink ref="E487" r:id="rId485" display="Europe PMC"/>
    <hyperlink ref="E488" r:id="rId486" display="Europe PMC"/>
    <hyperlink ref="E489" r:id="rId487" display="Europe PMC"/>
    <hyperlink ref="E490" r:id="rId488" display="Europe PMC"/>
    <hyperlink ref="E491" r:id="rId489" display="Europe PMC"/>
    <hyperlink ref="E492" r:id="rId490" display="Europe PMC"/>
    <hyperlink ref="E493" r:id="rId491" display="Europe PMC"/>
    <hyperlink ref="E494" r:id="rId492" display="Europe PMC"/>
    <hyperlink ref="E495" r:id="rId493" display="Europe PMC"/>
    <hyperlink ref="E496" r:id="rId494" display="Europe PMC"/>
    <hyperlink ref="E497" r:id="rId495" display="Europe PMC"/>
    <hyperlink ref="E498" r:id="rId496" display="Europe PMC"/>
    <hyperlink ref="E499" r:id="rId497" display="Europe PMC"/>
    <hyperlink ref="E500" r:id="rId498" display="Europe PMC"/>
    <hyperlink ref="E501" r:id="rId499" display="Europe PMC"/>
    <hyperlink ref="E502" r:id="rId500" display="Europe PMC"/>
    <hyperlink ref="E503" r:id="rId501" display="Europe PMC"/>
    <hyperlink ref="E504" r:id="rId502" display="Europe PMC"/>
    <hyperlink ref="E505" r:id="rId503" display="Europe PMC"/>
    <hyperlink ref="E506" r:id="rId504" display="Europe PMC"/>
    <hyperlink ref="E507" r:id="rId505" display="Europe PMC"/>
    <hyperlink ref="E508" r:id="rId506" display="Europe PMC"/>
    <hyperlink ref="E509" r:id="rId507" display="Europe PMC"/>
    <hyperlink ref="E510" r:id="rId508" display="Europe PMC"/>
    <hyperlink ref="E511" r:id="rId509" display="Europe PMC"/>
    <hyperlink ref="E512" r:id="rId510" display="Europe PMC"/>
    <hyperlink ref="E513" r:id="rId511" display="Europe PMC"/>
    <hyperlink ref="E514" r:id="rId512" display="Europe PMC"/>
    <hyperlink ref="E515" r:id="rId513" display="Europe PMC"/>
    <hyperlink ref="E516" r:id="rId514" display="Europe PMC"/>
    <hyperlink ref="E517" r:id="rId515" display="Europe PMC"/>
    <hyperlink ref="E518" r:id="rId516" display="Europe PMC"/>
    <hyperlink ref="E519" r:id="rId517" display="Europe PMC"/>
    <hyperlink ref="E520" r:id="rId518" display="Europe PMC"/>
    <hyperlink ref="E521" r:id="rId519" display="Europe PMC"/>
    <hyperlink ref="E522" r:id="rId520" display="Europe PMC"/>
    <hyperlink ref="E523" r:id="rId521" display="Europe PMC"/>
    <hyperlink ref="E524" r:id="rId522" display="Europe PMC"/>
    <hyperlink ref="E525" r:id="rId523" display="Europe PMC"/>
    <hyperlink ref="E526" r:id="rId524" display="Europe PMC"/>
    <hyperlink ref="E527" r:id="rId525" display="Europe PMC"/>
    <hyperlink ref="E528" r:id="rId526" display="Europe PMC"/>
    <hyperlink ref="E529" r:id="rId527" display="Europe PMC"/>
    <hyperlink ref="E530" r:id="rId528" display="Europe PMC"/>
    <hyperlink ref="E531" r:id="rId529" display="Europe PMC"/>
    <hyperlink ref="E532" r:id="rId530" display="Europe PMC"/>
    <hyperlink ref="E533" r:id="rId531" display="Europe PMC"/>
    <hyperlink ref="E534" r:id="rId532" display="Europe PMC"/>
    <hyperlink ref="E535" r:id="rId533" display="Europe PMC"/>
    <hyperlink ref="E536" r:id="rId534" display="Europe PMC"/>
    <hyperlink ref="E537" r:id="rId535" display="Europe PMC"/>
    <hyperlink ref="E538" r:id="rId536" display="Europe PMC"/>
    <hyperlink ref="E539" r:id="rId537" display="Europe PMC"/>
    <hyperlink ref="E540" r:id="rId538" display="Europe PMC"/>
    <hyperlink ref="E541" r:id="rId539" display="Europe PMC"/>
    <hyperlink ref="E542" r:id="rId540" display="Europe PMC"/>
    <hyperlink ref="E543" r:id="rId541" display="Europe PMC"/>
    <hyperlink ref="E544" r:id="rId542" display="Europe PMC"/>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32"/>
    <col collapsed="false" customWidth="true" hidden="false" outlineLevel="0" max="3" min="3" style="1" width="22"/>
    <col collapsed="false" customWidth="true" hidden="false" outlineLevel="0" max="4" min="4" style="21" width="90"/>
    <col collapsed="false" customWidth="true" hidden="false" outlineLevel="0" max="5" min="5" style="21" width="30"/>
  </cols>
  <sheetData>
    <row r="1" customFormat="false" ht="15" hidden="false" customHeight="true" outlineLevel="0" collapsed="false">
      <c r="A1" s="22" t="s">
        <v>1879</v>
      </c>
      <c r="B1" s="22" t="s">
        <v>1880</v>
      </c>
      <c r="C1" s="22" t="s">
        <v>1881</v>
      </c>
      <c r="D1" s="22" t="s">
        <v>1882</v>
      </c>
      <c r="E1" s="22" t="s">
        <v>1883</v>
      </c>
    </row>
    <row r="2" customFormat="false" ht="15" hidden="false" customHeight="true" outlineLevel="0" collapsed="false">
      <c r="A2" s="23" t="s">
        <v>1884</v>
      </c>
      <c r="B2" s="23" t="s">
        <v>1885</v>
      </c>
      <c r="C2" s="23" t="s">
        <v>1886</v>
      </c>
      <c r="D2" s="23" t="s">
        <v>1887</v>
      </c>
      <c r="E2" s="23" t="s">
        <v>1888</v>
      </c>
    </row>
    <row r="3" customFormat="false" ht="15" hidden="false" customHeight="true" outlineLevel="0" collapsed="false">
      <c r="A3" s="23" t="s">
        <v>1889</v>
      </c>
      <c r="B3" s="23" t="s">
        <v>1890</v>
      </c>
      <c r="C3" s="23" t="s">
        <v>1886</v>
      </c>
      <c r="D3" s="23" t="s">
        <v>1891</v>
      </c>
      <c r="E3" s="23" t="s">
        <v>1892</v>
      </c>
    </row>
    <row r="4" customFormat="false" ht="28.5" hidden="false" customHeight="true" outlineLevel="0" collapsed="false">
      <c r="A4" s="23" t="s">
        <v>1893</v>
      </c>
      <c r="B4" s="23" t="s">
        <v>1894</v>
      </c>
      <c r="C4" s="23" t="s">
        <v>1895</v>
      </c>
      <c r="D4" s="23" t="s">
        <v>1896</v>
      </c>
      <c r="E4" s="23" t="s">
        <v>1897</v>
      </c>
    </row>
    <row r="5" customFormat="false" ht="28.5" hidden="false" customHeight="true" outlineLevel="0" collapsed="false">
      <c r="A5" s="23" t="s">
        <v>1898</v>
      </c>
      <c r="B5" s="23" t="s">
        <v>1899</v>
      </c>
      <c r="C5" s="23" t="s">
        <v>1900</v>
      </c>
      <c r="D5" s="23" t="s">
        <v>1901</v>
      </c>
      <c r="E5" s="23" t="s">
        <v>1902</v>
      </c>
    </row>
    <row r="6" customFormat="false" ht="15" hidden="false" customHeight="true" outlineLevel="0" collapsed="false">
      <c r="A6" s="23" t="s">
        <v>1903</v>
      </c>
      <c r="B6" s="23" t="s">
        <v>1904</v>
      </c>
      <c r="C6" s="23" t="s">
        <v>1905</v>
      </c>
      <c r="D6" s="23" t="s">
        <v>1906</v>
      </c>
      <c r="E6" s="23" t="s">
        <v>1907</v>
      </c>
    </row>
    <row r="7" customFormat="false" ht="15" hidden="false" customHeight="true" outlineLevel="0" collapsed="false"/>
    <row r="8" customFormat="false" ht="15" hidden="false" customHeight="true" outlineLevel="0" collapsed="false">
      <c r="A8" s="24" t="s">
        <v>1908</v>
      </c>
    </row>
    <row r="9" customFormat="false" ht="15" hidden="false" customHeight="true" outlineLevel="0" collapsed="false"/>
    <row r="10" customFormat="false" ht="28.5" hidden="false" customHeight="true" outlineLevel="0" collapsed="false"/>
    <row r="11" customFormat="false" ht="15" hidden="false" customHeight="true" outlineLevel="0" collapsed="false"/>
    <row r="12" customFormat="false" ht="15" hidden="false" customHeight="true" outlineLevel="0" collapsed="false"/>
    <row r="14"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2026-09-26T22:54:22Z</dcterms:created>
  <dc:creator>openpyxl</dc:creator>
  <dc:description/>
  <dc:language>en-US</dc:language>
  <cp:lastModifiedBy>Esat Fazlullah Çelik</cp:lastModifiedBy>
  <dcterms:modified xsi:type="dcterms:W3CDTF">2026-10-07T09:49:35Z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