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Annotation" sheetId="2" state="visible" r:id="rId4"/>
    <sheet name="Codebook (short)" sheetId="3" state="visible" r:id="rId5"/>
  </sheets>
  <definedNames>
    <definedName function="false" hidden="true" localSheetId="1" name="_xlnm._FilterDatabase" vbProcedure="false">Annotation!$A$1:$AJ$544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<sst xmlns="http://schemas.openxmlformats.org/spreadsheetml/2006/main" count="2327" uniqueCount="1365">
  <si>
    <t xml:space="preserve">Methodology-risk gold standard — annotation workbook</t>
  </si>
  <si>
    <t xml:space="preserve">Codebook</t>
  </si>
  <si>
    <t xml:space="preserve">docs/codebook_v1.0.md (full decision rules; this workbook only summarises them)</t>
  </si>
  <si>
    <t xml:space="preserve">WHAT YOU EDIT</t>
  </si>
  <si>
    <t xml:space="preserve">Yellow cells (sheet "Annotation")</t>
  </si>
  <si>
    <t xml:space="preserve">eligible, exclusion_reason, the 11 label columns (drop-downs), their evidence columns, notes, external_note, minutes, annotated_on.</t>
  </si>
  <si>
    <t xml:space="preserve">Do not edit</t>
  </si>
  <si>
    <t xml:space="preserve">order_no, set, status (formulas), pmcid, title, journal, auto_hint. Row 2 is a fictional EXAMPLE showing the expected format.</t>
  </si>
  <si>
    <t xml:space="preserve">WORKFLOW</t>
  </si>
  <si>
    <t xml:space="preserve">Step 1</t>
  </si>
  <si>
    <t xml:space="preserve">Work strictly top-down in order_no. Open the paper via the "Europe PMC" link.</t>
  </si>
  <si>
    <t xml:space="preserve">Step 2</t>
  </si>
  <si>
    <t xml:space="preserve">Decide eligibility (codebook §3). If N, give a reason and move on; the next eligible paper takes its place automatically.</t>
  </si>
  <si>
    <t xml:space="preserve">Step 3</t>
  </si>
  <si>
    <t xml:space="preserve">Label all 11 items from the article text only. Copy verbatim evidence (ABSENT when nothing supports a label).</t>
  </si>
  <si>
    <t xml:space="preserve">Step 4</t>
  </si>
  <si>
    <t xml:space="preserve">Log minutes and date. "set" fills itself: first 20 eligible = pilot, 21-40 = dev, 41-200 = test.</t>
  </si>
  <si>
    <t xml:space="preserve">Step 5</t>
  </si>
  <si>
    <t xml:space="preserve">After the 20 pilot papers: stop, send the file back for codebook revision (v1.1) before continuing.</t>
  </si>
  <si>
    <t xml:space="preserve">Step 6</t>
  </si>
  <si>
    <t xml:space="preserve">Never look at any model prediction for a paper before its labels are final.</t>
  </si>
  <si>
    <t xml:space="preserve">LABEL MEANINGS</t>
  </si>
  <si>
    <t xml:space="preserve">SAFE / RISK / UNCLEAR / N/A</t>
  </si>
  <si>
    <t xml:space="preserve">SAFE = the article states the safe practice. RISK = it states (or its numbers show) the risky practice. UNCLEAR = cannot tell from the text. N/A = the item does not apply.</t>
  </si>
  <si>
    <t xml:space="preserve">YES / NO (and variants)</t>
  </si>
  <si>
    <t xml:space="preserve">Absence of a statement is always NO (reporting items) or UNCLEAR (risk items), never SAFE.</t>
  </si>
  <si>
    <t xml:space="preserve">PROGRESS</t>
  </si>
  <si>
    <t xml:space="preserve">Papers screened</t>
  </si>
  <si>
    <t xml:space="preserve">Eligible</t>
  </si>
  <si>
    <t xml:space="preserve">Excluded</t>
  </si>
  <si>
    <t xml:space="preserve">Pilot papers done (target 20)</t>
  </si>
  <si>
    <t xml:space="preserve">Dev papers done (target 20 more)</t>
  </si>
  <si>
    <t xml:space="preserve">Test papers done (target 160)</t>
  </si>
  <si>
    <t xml:space="preserve">Mean minutes per completed paper</t>
  </si>
  <si>
    <t xml:space="preserve">Source of the paper list</t>
  </si>
  <si>
    <t xml:space="preserve">Europe PMC, 2025, CC BY / CC0, deep-learning image classification (542 papers). Seeded random order (seed 20260923). See data/processed/frame_log.json.</t>
  </si>
  <si>
    <t xml:space="preserve">order_no</t>
  </si>
  <si>
    <t xml:space="preserve">set</t>
  </si>
  <si>
    <t xml:space="preserve">status</t>
  </si>
  <si>
    <t xml:space="preserve">pmcid</t>
  </si>
  <si>
    <t xml:space="preserve">open</t>
  </si>
  <si>
    <t xml:space="preserve">title</t>
  </si>
  <si>
    <t xml:space="preserve">journal</t>
  </si>
  <si>
    <t xml:space="preserve">auto_hint</t>
  </si>
  <si>
    <t xml:space="preserve">eligible</t>
  </si>
  <si>
    <t xml:space="preserve">exclusion_reason</t>
  </si>
  <si>
    <t xml:space="preserve">A1_split_unit</t>
  </si>
  <si>
    <t xml:space="preserve">A1_evidence</t>
  </si>
  <si>
    <t xml:space="preserve">A2_preproc_before_split</t>
  </si>
  <si>
    <t xml:space="preserve">A2_evidence</t>
  </si>
  <si>
    <t xml:space="preserve">A3_aug_before_split</t>
  </si>
  <si>
    <t xml:space="preserve">A3_evidence</t>
  </si>
  <si>
    <t xml:space="preserve">A4_test_for_selection</t>
  </si>
  <si>
    <t xml:space="preserve">A4_evidence</t>
  </si>
  <si>
    <t xml:space="preserve">A5_duplicate_check</t>
  </si>
  <si>
    <t xml:space="preserve">A5_evidence</t>
  </si>
  <si>
    <t xml:space="preserve">B1_external_validation</t>
  </si>
  <si>
    <t xml:space="preserve">B1_evidence</t>
  </si>
  <si>
    <t xml:space="preserve">B2_variability_reported</t>
  </si>
  <si>
    <t xml:space="preserve">B2_evidence</t>
  </si>
  <si>
    <t xml:space="preserve">B3_stat_test_for_claim</t>
  </si>
  <si>
    <t xml:space="preserve">B3_evidence</t>
  </si>
  <si>
    <t xml:space="preserve">B4_baseline_protocol</t>
  </si>
  <si>
    <t xml:space="preserve">B4_evidence</t>
  </si>
  <si>
    <t xml:space="preserve">C1_code_available</t>
  </si>
  <si>
    <t xml:space="preserve">C1_evidence</t>
  </si>
  <si>
    <t xml:space="preserve">C2_data_available</t>
  </si>
  <si>
    <t xml:space="preserve">C2_evidence</t>
  </si>
  <si>
    <t xml:space="preserve">notes</t>
  </si>
  <si>
    <t xml:space="preserve">external_note</t>
  </si>
  <si>
    <t xml:space="preserve">minutes</t>
  </si>
  <si>
    <t xml:space="preserve">annotated_on</t>
  </si>
  <si>
    <t xml:space="preserve">EX</t>
  </si>
  <si>
    <t xml:space="preserve">EXAMPLE</t>
  </si>
  <si>
    <t xml:space="preserve">example</t>
  </si>
  <si>
    <t xml:space="preserve">PMC0000000</t>
  </si>
  <si>
    <t xml:space="preserve">-</t>
  </si>
  <si>
    <t xml:space="preserve">EXAMPLE (fictional paper, not in the corpus): ResNet-50 classification of chest radiographs</t>
  </si>
  <si>
    <t xml:space="preserve">Y</t>
  </si>
  <si>
    <t xml:space="preserve">RISK</t>
  </si>
  <si>
    <t xml:space="preserve">1,200 radiographs from 400 patients || images were randomly split into 80% training and 20% testing</t>
  </si>
  <si>
    <t xml:space="preserve">SAFE</t>
  </si>
  <si>
    <t xml:space="preserve">images were resized to 224 x 224 and scaled to [0, 1]</t>
  </si>
  <si>
    <t xml:space="preserve">after augmentation, the dataset of 6,000 images was split</t>
  </si>
  <si>
    <t xml:space="preserve">UNCLEAR</t>
  </si>
  <si>
    <t xml:space="preserve">ABSENT</t>
  </si>
  <si>
    <t xml:space="preserve">NO</t>
  </si>
  <si>
    <t xml:space="preserve">our model outperformed all compared methods</t>
  </si>
  <si>
    <t xml:space="preserve">Table 5 compares our accuracy with the values reported in previous studies</t>
  </si>
  <si>
    <t xml:space="preserve">YES</t>
  </si>
  <si>
    <t xml:space="preserve">code is available at https://github.com/example/repo</t>
  </si>
  <si>
    <t xml:space="preserve">PUBLIC</t>
  </si>
  <si>
    <t xml:space="preserve">the dataset is publicly available on Kaggle</t>
  </si>
  <si>
    <t xml:space="preserve">headline result = 3-class experiment</t>
  </si>
  <si>
    <t xml:space="preserve">2026-09-24</t>
  </si>
  <si>
    <t xml:space="preserve">PMC11975892</t>
  </si>
  <si>
    <t xml:space="preserve">Europe PMC</t>
  </si>
  <si>
    <t xml:space="preserve">Early diagnosis of sepsis-associated AKI: based on destruction-replenishment contrast-enhanced ultrasonography</t>
  </si>
  <si>
    <t xml:space="preserve">Frontiers in medicine</t>
  </si>
  <si>
    <t xml:space="preserve">PMC12412478</t>
  </si>
  <si>
    <t xml:space="preserve">A Dynamic Contrast‐Enhanced MRI‐Based Vision Transformer Model for Distinguishing HER2‐Zero, ‐Low, and ‐Positive Expression in Breast Cancer and Exploring Model Interpretability</t>
  </si>
  <si>
    <t xml:space="preserve">Advanced science (Weinheim, Baden-Wurttemberg, Germany)</t>
  </si>
  <si>
    <t xml:space="preserve">PMC12330392</t>
  </si>
  <si>
    <t xml:space="preserve">Risk assessment of thyroid nodules with a multi-instance convolutional neural network</t>
  </si>
  <si>
    <t xml:space="preserve">Frontiers in oncology</t>
  </si>
  <si>
    <t xml:space="preserve">PMC12387691</t>
  </si>
  <si>
    <t xml:space="preserve">Evaluating the Impact of 2D MRI Slice Orientation and Location on Alzheimer’s Disease Diagnosis Using a Lightweight Convolutional Neural Network</t>
  </si>
  <si>
    <t xml:space="preserve">Journal of imaging</t>
  </si>
  <si>
    <t xml:space="preserve">PMC12034867</t>
  </si>
  <si>
    <t xml:space="preserve">Pilot Study of Using Machine Learning to Detect Atherosclerotic Renal Artery Stenosis From Spectral Doppler Waveforms</t>
  </si>
  <si>
    <t xml:space="preserve">Kidney international reports</t>
  </si>
  <si>
    <t xml:space="preserve">PMC12649958</t>
  </si>
  <si>
    <t xml:space="preserve">A Study on the Interpretability of Diabetic Retinopathy Diagnostic Models</t>
  </si>
  <si>
    <t xml:space="preserve">Bioengineering (Basel, Switzerland)</t>
  </si>
  <si>
    <t xml:space="preserve">PMC12747359</t>
  </si>
  <si>
    <t xml:space="preserve">Development of an automated ultrasonographic detection method for fecal retention using a transgluteal cleft approach</t>
  </si>
  <si>
    <t xml:space="preserve">PloS one</t>
  </si>
  <si>
    <t xml:space="preserve">PMC11729117</t>
  </si>
  <si>
    <t xml:space="preserve">Predicting intraoperative 5-ALA-induced tumor fluorescence via MRI and deep learning in gliomas with radiographic lower-grade characteristics</t>
  </si>
  <si>
    <t xml:space="preserve">Journal of neuro-oncology</t>
  </si>
  <si>
    <t xml:space="preserve">PMC11873101</t>
  </si>
  <si>
    <t xml:space="preserve">Contrastive self-supervised learning for neurodegenerative disorder classification</t>
  </si>
  <si>
    <t xml:space="preserve">Frontiers in neuroinformatics</t>
  </si>
  <si>
    <t xml:space="preserve">PMC12468973</t>
  </si>
  <si>
    <t xml:space="preserve">GlioSurvQNet: A DuelContextAttn DQN Framework for Brain Tumor Prognosis with Metaheuristic Optimization</t>
  </si>
  <si>
    <t xml:space="preserve">Diagnostics (Basel, Switzerland)</t>
  </si>
  <si>
    <t xml:space="preserve">PMC12729362</t>
  </si>
  <si>
    <t xml:space="preserve">Beyond VI-RADS Uncertainty: Leveraging Spatiotemporal DCE-MRI to Predict Bladder Cancer Muscle Invasion</t>
  </si>
  <si>
    <t xml:space="preserve">PMC12673201</t>
  </si>
  <si>
    <t xml:space="preserve">Development of a deep learning algorithm for detecting significant coronary artery stenosis in whole-heart coronary magnetic resonance angiography</t>
  </si>
  <si>
    <t xml:space="preserve">Journal of cardiovascular magnetic resonance : official journal of the Society for Cardiovascular Magnetic Resonance</t>
  </si>
  <si>
    <t xml:space="preserve">PMC12022092</t>
  </si>
  <si>
    <t xml:space="preserve">Vision transformer and deep learning based weighted ensemble model for automated spine fracture type identification with GAN generated CT images</t>
  </si>
  <si>
    <t xml:space="preserve">Scientific reports</t>
  </si>
  <si>
    <t xml:space="preserve">PMC12303355</t>
  </si>
  <si>
    <t xml:space="preserve">Hyperparameter tuned deep learning-driven medical image analysis for intracranial hemorrhage detection</t>
  </si>
  <si>
    <t xml:space="preserve">PMC12454033</t>
  </si>
  <si>
    <t xml:space="preserve">Deep learning-based prediction of cerebral white matter hyperintensity burden using carotid magnetic resonance angiography</t>
  </si>
  <si>
    <t xml:space="preserve">Frontiers in neurology</t>
  </si>
  <si>
    <t xml:space="preserve">PMC12540149</t>
  </si>
  <si>
    <t xml:space="preserve">Enhancing clinical diagnosis of laryngeal cancer through fusion-based transfer learning with Osprey Optimisation Algorithm using histology images</t>
  </si>
  <si>
    <t xml:space="preserve">PMC12418695</t>
  </si>
  <si>
    <t xml:space="preserve">Use of artificial intelligence for classification of fractures around the elbow in adults according to the 2018 AO/OTA classification system</t>
  </si>
  <si>
    <t xml:space="preserve">BMC musculoskeletal disorders</t>
  </si>
  <si>
    <t xml:space="preserve">PMC11811177</t>
  </si>
  <si>
    <t xml:space="preserve">BO-CLAHE enhancing neonatal chest X-ray image quality for improved lesion classification</t>
  </si>
  <si>
    <t xml:space="preserve">PMC12471060</t>
  </si>
  <si>
    <t xml:space="preserve">Deep Learning Algorithm to Determine the Presence of Rectal Cancer from Transrectal Ultrasound Images</t>
  </si>
  <si>
    <t xml:space="preserve">Life (Basel, Switzerland)</t>
  </si>
  <si>
    <t xml:space="preserve">PMC12573454</t>
  </si>
  <si>
    <t xml:space="preserve">Identification of critical brain regions for autism diagnosis from fMRI data using explainable AI: an observational analysis of the ABIDE dataset</t>
  </si>
  <si>
    <t xml:space="preserve">EClinicalMedicine</t>
  </si>
  <si>
    <t xml:space="preserve">PMC11634984</t>
  </si>
  <si>
    <t xml:space="preserve">Automated Detection of Central Retinal Artery Occlusion Using OCT Imaging via Explainable Deep Learning</t>
  </si>
  <si>
    <t xml:space="preserve">Ophthalmology science</t>
  </si>
  <si>
    <t xml:space="preserve">PMC12178899</t>
  </si>
  <si>
    <t xml:space="preserve">Application of deep learning based on convolutional neural network model in multimodal ultrasound diagnosis of unexplained cervical lymph node enlargement</t>
  </si>
  <si>
    <t xml:space="preserve">PMC12226554</t>
  </si>
  <si>
    <t xml:space="preserve">Carotid plaque segmentation and classification using MRI-based plaque texture analysis and convolutional neural network</t>
  </si>
  <si>
    <t xml:space="preserve">PMC12364712</t>
  </si>
  <si>
    <t xml:space="preserve">Histopathology-based protein multiplex generation using deep learning</t>
  </si>
  <si>
    <t xml:space="preserve">Nature machine intelligence</t>
  </si>
  <si>
    <t xml:space="preserve">PMC12364636</t>
  </si>
  <si>
    <t xml:space="preserve">A multi-data fusion deep learning model for prognostic prediction in upper tract urothelial carcinoma</t>
  </si>
  <si>
    <t xml:space="preserve">PMC12592200</t>
  </si>
  <si>
    <t xml:space="preserve">Integrating clinical indications and patient demographics for multilabel abnormality classification and automated report generation in 3D chest CT scans</t>
  </si>
  <si>
    <t xml:space="preserve">Frontiers in radiology</t>
  </si>
  <si>
    <t xml:space="preserve">PMC12221888</t>
  </si>
  <si>
    <t xml:space="preserve">Development of intelligent tools to predict neuroblastoma risk stratification and overall prognosis based on multiphase enhanced CT and clinical features</t>
  </si>
  <si>
    <t xml:space="preserve">PMC12153539</t>
  </si>
  <si>
    <t xml:space="preserve">Multiple Instance Learning for the Detection of Lymph Node and Omental Metastases in Carcinoma of the Ovaries, Fallopian Tubes and Peritoneum</t>
  </si>
  <si>
    <t xml:space="preserve">Cancers</t>
  </si>
  <si>
    <t xml:space="preserve">PMC11994760</t>
  </si>
  <si>
    <t xml:space="preserve">Hybrid of DSR-GAN and CNN for Alzheimer disease detection based on MRI images</t>
  </si>
  <si>
    <t xml:space="preserve">PMC11820013</t>
  </si>
  <si>
    <t xml:space="preserve">A Novel Framework for Whole-Slide Pathological Image Classification Based on the Cascaded Attention Mechanism</t>
  </si>
  <si>
    <t xml:space="preserve">Sensors (Basel, Switzerland)</t>
  </si>
  <si>
    <t xml:space="preserve">PMC12405159</t>
  </si>
  <si>
    <t xml:space="preserve">Novel deep learning for multi-class classification of Alzheimer’s in disability using MRI datasets</t>
  </si>
  <si>
    <t xml:space="preserve">Frontiers in bioinformatics</t>
  </si>
  <si>
    <t xml:space="preserve">PMC11928541</t>
  </si>
  <si>
    <t xml:space="preserve">Automated classification of tertiary lymphoid structures in colorectal cancer using TLS-PAT artificial intelligence tool</t>
  </si>
  <si>
    <t xml:space="preserve">PMC12654495</t>
  </si>
  <si>
    <t xml:space="preserve">Evaluation of a Hybrid CNN Model for Automatic Detection of Malignant and Benign Lesions</t>
  </si>
  <si>
    <t xml:space="preserve">Medicina (Kaunas, Lithuania)</t>
  </si>
  <si>
    <t xml:space="preserve">PMC12338767</t>
  </si>
  <si>
    <t xml:space="preserve">Enhancing meningioma tumor classification accuracy through multi-task learning approach and image analysis of MRI images</t>
  </si>
  <si>
    <t xml:space="preserve">PMC12477006</t>
  </si>
  <si>
    <t xml:space="preserve">Comparative analysis of machine learning techniques on the BraTS dataset for brain tumor classification</t>
  </si>
  <si>
    <t xml:space="preserve">PMC12191917</t>
  </si>
  <si>
    <t xml:space="preserve">Characterizing Breast Tumor Heterogeneity Through IVIM-DWI Parameters and Signal Decay Analysis</t>
  </si>
  <si>
    <t xml:space="preserve">PMC11742393</t>
  </si>
  <si>
    <t xml:space="preserve">Comparison of 1D and 3D volume measurement techniques in NF2-associated vestibular schwannoma monitoring</t>
  </si>
  <si>
    <t xml:space="preserve">no training/test wording found</t>
  </si>
  <si>
    <t xml:space="preserve">PMC12654790</t>
  </si>
  <si>
    <t xml:space="preserve">Interfacial Gap Prediction in Laser Welding of Pure Copper Overlap Joints Using Multiple Sensors</t>
  </si>
  <si>
    <t xml:space="preserve">Materials (Basel, Switzerland)</t>
  </si>
  <si>
    <t xml:space="preserve">PMC12842669</t>
  </si>
  <si>
    <t xml:space="preserve">Adaptive Normalization Enhances the Generalization of Deep Learning Model in Chest X-Ray Classification</t>
  </si>
  <si>
    <t xml:space="preserve">PMC12720023</t>
  </si>
  <si>
    <t xml:space="preserve">Proton radiography interpretation with artificial intelligence for treatment deviation detection in proton therapy☆</t>
  </si>
  <si>
    <t xml:space="preserve">Physics and imaging in radiation oncology</t>
  </si>
  <si>
    <t xml:space="preserve">PMC12753960</t>
  </si>
  <si>
    <t xml:space="preserve">Secure pulmonary diagnosis using transformer-based approach to X-ray classification with KL divergence optimization</t>
  </si>
  <si>
    <t xml:space="preserve">PMC12105205</t>
  </si>
  <si>
    <t xml:space="preserve">Detecting microcephaly and macrocephaly from ultrasound images using artificial intelligence</t>
  </si>
  <si>
    <t xml:space="preserve">BMC medical imaging</t>
  </si>
  <si>
    <t xml:space="preserve">PMC12448012</t>
  </si>
  <si>
    <t xml:space="preserve">Improving risk stratification and detection of early HCC using ultrasound-based deep learning models</t>
  </si>
  <si>
    <t xml:space="preserve">JHEP reports : innovation in hepatology</t>
  </si>
  <si>
    <t xml:space="preserve">PMC12141588</t>
  </si>
  <si>
    <t xml:space="preserve">KARNet: A Novel Deep-Learning Approach for Dementia Stage Detection in MRI Images</t>
  </si>
  <si>
    <t xml:space="preserve">Cureus</t>
  </si>
  <si>
    <t xml:space="preserve">PMC12212162</t>
  </si>
  <si>
    <t xml:space="preserve">Recognition and diagnosis of Alzheimer’s Disease using T1-weighted magnetic resonance imaging via integrating CNN and Swin vision transformer</t>
  </si>
  <si>
    <t xml:space="preserve">Clinics (Sao Paulo, Brazil)</t>
  </si>
  <si>
    <t xml:space="preserve">PMC12191009</t>
  </si>
  <si>
    <t xml:space="preserve">Hybrid Deep Learning Architecture with Adaptive Feature Fusion for Multi-Stage Alzheimer’s Disease Classification</t>
  </si>
  <si>
    <t xml:space="preserve">Brain sciences</t>
  </si>
  <si>
    <t xml:space="preserve">PMC11786091</t>
  </si>
  <si>
    <t xml:space="preserve">A deep learning approach versus expert clinician panel in the classification of posterior circulation infarction</t>
  </si>
  <si>
    <t xml:space="preserve">NeuroImage. Clinical</t>
  </si>
  <si>
    <t xml:space="preserve">PMC12389973</t>
  </si>
  <si>
    <t xml:space="preserve">Integrating Cortical Source Reconstruction and Adversarial Learning for EEG Classification</t>
  </si>
  <si>
    <t xml:space="preserve">PMC12838146</t>
  </si>
  <si>
    <t xml:space="preserve">RadioGuide-DCN: A Radiomics-Guided Decorrelated Network for Medical Image Classification</t>
  </si>
  <si>
    <t xml:space="preserve">PMC12179520</t>
  </si>
  <si>
    <t xml:space="preserve">A pathology-attention multi-instance learning framework for multimodal classification of colorectal lesions</t>
  </si>
  <si>
    <t xml:space="preserve">Frontiers in pharmacology</t>
  </si>
  <si>
    <t xml:space="preserve">PMC12371411</t>
  </si>
  <si>
    <t xml:space="preserve">HeteroMRI: Robust white matter abnormality classification across multi-scanner MRI data</t>
  </si>
  <si>
    <t xml:space="preserve">GigaScience</t>
  </si>
  <si>
    <t xml:space="preserve">PMC12129765</t>
  </si>
  <si>
    <t xml:space="preserve">BrainTumNet: multi-task deep learning framework for brain tumor segmentation and classification using adaptive masked transformers</t>
  </si>
  <si>
    <t xml:space="preserve">PMC12191842</t>
  </si>
  <si>
    <t xml:space="preserve">Can AI-Based ChatGPT Models Accurately Analyze Hand–Wrist Radiographs? A Comparative Study</t>
  </si>
  <si>
    <t xml:space="preserve">PMC12326743</t>
  </si>
  <si>
    <t xml:space="preserve">Federated knee injury diagnosis using few shot learning</t>
  </si>
  <si>
    <t xml:space="preserve">Frontiers in artificial intelligence</t>
  </si>
  <si>
    <t xml:space="preserve">PMC11680720</t>
  </si>
  <si>
    <t xml:space="preserve">Aiding Diagnosis and Classifying of Early Stage Osteonecrosis of the Femoral Head with Convolutional Neural Network Based on Magnetic Resonance Imaging</t>
  </si>
  <si>
    <t xml:space="preserve">Indian journal of orthopaedics</t>
  </si>
  <si>
    <t xml:space="preserve">PMC12404543</t>
  </si>
  <si>
    <t xml:space="preserve">Prediction of the ectasia screening index from raw Casia2 volume data for keratoconus identification by using convolutional neural networks</t>
  </si>
  <si>
    <t xml:space="preserve">PMC11781067</t>
  </si>
  <si>
    <t xml:space="preserve">Fully automated segmentation and classification of renal tumors on CT scans via machine learning</t>
  </si>
  <si>
    <t xml:space="preserve">BMC cancer</t>
  </si>
  <si>
    <t xml:space="preserve">PMC12069281</t>
  </si>
  <si>
    <t xml:space="preserve">An efficient method for early Alzheimer’s disease detection based on MRI images using deep convolutional neural networks</t>
  </si>
  <si>
    <t xml:space="preserve">PMC12250696</t>
  </si>
  <si>
    <t xml:space="preserve">Multi-Stage Cascaded Deep Learning-Based Model for Acute Aortic Syndrome Detection: A Multisite Validation Study</t>
  </si>
  <si>
    <t xml:space="preserve">Journal of clinical medicine</t>
  </si>
  <si>
    <t xml:space="preserve">PMC12104720</t>
  </si>
  <si>
    <t xml:space="preserve">Automatic collateral quantification in acute ischemic stroke using U2-net</t>
  </si>
  <si>
    <t xml:space="preserve">PMC11836176</t>
  </si>
  <si>
    <t xml:space="preserve">Automated classification of coronary LEsions fRom coronary computed Tomography angiography scans with an updated deep learning model: ALERT study</t>
  </si>
  <si>
    <t xml:space="preserve">European radiology</t>
  </si>
  <si>
    <t xml:space="preserve">PMC12591463</t>
  </si>
  <si>
    <t xml:space="preserve">Broad-spectrum eye disease classification using a deep learning-based tailored software lens</t>
  </si>
  <si>
    <t xml:space="preserve">PMC11719834</t>
  </si>
  <si>
    <t xml:space="preserve">Differentiating Choroidal Melanomas and Nevi Using a Self-Supervised Deep Learning Model Applied to Clinical Fundoscopy Images</t>
  </si>
  <si>
    <t xml:space="preserve">PMC11765744</t>
  </si>
  <si>
    <t xml:space="preserve">ZooCNN: A Zero-Order Optimized Convolutional Neural Network for Pneumonia Classification Using Chest Radiographs</t>
  </si>
  <si>
    <t xml:space="preserve">PMC12269930</t>
  </si>
  <si>
    <t xml:space="preserve">Lung Cancer Management: Revolutionizing Patient Outcomes Through Machine Learning and Artificial Intelligence</t>
  </si>
  <si>
    <t xml:space="preserve">Cancer reports (Hoboken, N.J.)</t>
  </si>
  <si>
    <t xml:space="preserve">PMC12812902</t>
  </si>
  <si>
    <t xml:space="preserve">Artificial intelligence prediction of nonenhancing brain tumor malignancy based on in vivo confocal laser endomicroscopic imaging</t>
  </si>
  <si>
    <t xml:space="preserve">Frontiers in surgery</t>
  </si>
  <si>
    <t xml:space="preserve">PMC12646731</t>
  </si>
  <si>
    <t xml:space="preserve">Retrospective Development of an AI Model Combining Ultrasound and Clinical Data for Pediatric Appendicitis Differentiation</t>
  </si>
  <si>
    <t xml:space="preserve">Emergency medicine international</t>
  </si>
  <si>
    <t xml:space="preserve">PMC12008990</t>
  </si>
  <si>
    <t xml:space="preserve">Evaluating the Impact of Attention Mechanisms on a Fine-Tuned Neural Network for Magnetic Resonance Imaging Tumor Classification: A Comparative Analysis</t>
  </si>
  <si>
    <t xml:space="preserve">PMC12370136</t>
  </si>
  <si>
    <t xml:space="preserve">Multi-task deep learning for predicting metabolic syndrome from retinal fundus images in a Japanese health checkup dataset</t>
  </si>
  <si>
    <t xml:space="preserve">PMC12384400</t>
  </si>
  <si>
    <t xml:space="preserve">A Multimodal MRI-Based Model for Colorectal Liver Metastasis Prediction: Integrating Radiomics, Deep Learning, and Clinical Features with SHAP Interpretation</t>
  </si>
  <si>
    <t xml:space="preserve">Current oncology (Toronto, Ont.)</t>
  </si>
  <si>
    <t xml:space="preserve">PMC12107882</t>
  </si>
  <si>
    <t xml:space="preserve">Auto-segmentation of cerebral cavernous malformations using a convolutional neural network</t>
  </si>
  <si>
    <t xml:space="preserve">PMC12608630</t>
  </si>
  <si>
    <t xml:space="preserve">A Hybrid Convolutional Neural Network–Long Short-Term Memory (CNN–LSTM)–Attention Model Architecture for Precise Medical Image Analysis and Disease Diagnosis</t>
  </si>
  <si>
    <t xml:space="preserve">PMC12318030</t>
  </si>
  <si>
    <t xml:space="preserve">Transfer learning based deep architecture for lung cancer classification using CT image with pattern and entropy based feature set</t>
  </si>
  <si>
    <t xml:space="preserve">PMC11882137</t>
  </si>
  <si>
    <t xml:space="preserve">Optimizing Automated Hematoma Expansion Classification from Baseline and Follow-Up Head Computed Tomography</t>
  </si>
  <si>
    <t xml:space="preserve">Applied sciences (Basel, Switzerland)</t>
  </si>
  <si>
    <t xml:space="preserve">PMC11988156</t>
  </si>
  <si>
    <t xml:space="preserve">Tumor Bud Classification in Colorectal Cancer Using Attention-Based Deep Multiple Instance Learning and Domain-Specific Foundation Models</t>
  </si>
  <si>
    <t xml:space="preserve">PMC12252233</t>
  </si>
  <si>
    <t xml:space="preserve">Binary Classification of Pneumonia in Chest X-Ray Images Using Modified Contrast-Limited Adaptive Histogram Equalization Algorithm</t>
  </si>
  <si>
    <t xml:space="preserve">PMC12295062</t>
  </si>
  <si>
    <t xml:space="preserve">Optimizing Tumor Detection in Brain MRI with One-Class SVM and Convolutional Neural Network-Based Feature Extraction</t>
  </si>
  <si>
    <t xml:space="preserve">PMC12222053</t>
  </si>
  <si>
    <t xml:space="preserve">Neural decoding of Aristotle tactile illusion using deep learning-based fMRI classification</t>
  </si>
  <si>
    <t xml:space="preserve">Frontiers in neuroscience</t>
  </si>
  <si>
    <t xml:space="preserve">PMC11975991</t>
  </si>
  <si>
    <t xml:space="preserve">Leveraging Comprehensive Echo Data to Power Artificial Intelligence Models for Handheld Cardiac Ultrasound</t>
  </si>
  <si>
    <t xml:space="preserve">Mayo Clinic proceedings. Digital health</t>
  </si>
  <si>
    <t xml:space="preserve">PMC11861772</t>
  </si>
  <si>
    <t xml:space="preserve">Preoperative prediction of the Lauren classification in gastric cancer using automated nnU-Net and radiomics: a multicenter study</t>
  </si>
  <si>
    <t xml:space="preserve">Insights into imaging</t>
  </si>
  <si>
    <t xml:space="preserve">PMC11937600</t>
  </si>
  <si>
    <t xml:space="preserve">Multimodal diagnosis of Alzheimer’s disease based on resting-state electroencephalography and structural magnetic resonance imaging</t>
  </si>
  <si>
    <t xml:space="preserve">Frontiers in physiology</t>
  </si>
  <si>
    <t xml:space="preserve">PMC12468869</t>
  </si>
  <si>
    <t xml:space="preserve">Automated Detection and Segmentation of Ascending Aorta Dilation on a Non-ECG-Gated Chest CT Using Deep Learning</t>
  </si>
  <si>
    <t xml:space="preserve">PMC12020513</t>
  </si>
  <si>
    <t xml:space="preserve">Improving healthcare sustainability using advanced brain simulations using a multi-modal deep learning strategy with VGG19 and bidirectional LSTM</t>
  </si>
  <si>
    <t xml:space="preserve">PMC12217170</t>
  </si>
  <si>
    <t xml:space="preserve">A deep convolutional neural network-based novel class balancing for imbalance data segmentation</t>
  </si>
  <si>
    <t xml:space="preserve">PMC12862092</t>
  </si>
  <si>
    <t xml:space="preserve">Convolutional automatic identification of B-lines and interstitial syndrome in lung ultrasound images using pre-trained neural networks with feature fusion</t>
  </si>
  <si>
    <t xml:space="preserve">Frontiers in digital health</t>
  </si>
  <si>
    <t xml:space="preserve">PMC12628488</t>
  </si>
  <si>
    <t xml:space="preserve">Diffusion Models for Neuroimaging Data Augmentation: Assessing Realism and Clinical Relevance</t>
  </si>
  <si>
    <t xml:space="preserve">Journal of medical systems</t>
  </si>
  <si>
    <t xml:space="preserve">PMC12535900</t>
  </si>
  <si>
    <t xml:space="preserve">Multiparametric magnetic resonance imaging-based comprehensive model on prediction of lymphovascular space invasion in cervical cancer</t>
  </si>
  <si>
    <t xml:space="preserve">PMC11483474</t>
  </si>
  <si>
    <t xml:space="preserve">Development and Validation of a Deep Learning Algorithm for Differentiation of Choroidal Nevi from Small Melanoma in Fundus Photographs</t>
  </si>
  <si>
    <t xml:space="preserve">PMC12380340</t>
  </si>
  <si>
    <t xml:space="preserve">Enhancing the early detection of Alzheimer’s disease using an integrated CNN-LSTM framework: A robust approach for fMRI-based multi-stage classification</t>
  </si>
  <si>
    <t xml:space="preserve">PMC11837479</t>
  </si>
  <si>
    <t xml:space="preserve">Predicting malignant risk of ground-glass nodules using convolutional neural networks based on dual-time-point 18F-FDG PET/CT</t>
  </si>
  <si>
    <t xml:space="preserve">Cancer imaging : the official publication of the International Cancer Imaging Society</t>
  </si>
  <si>
    <t xml:space="preserve">PMC12524090</t>
  </si>
  <si>
    <t xml:space="preserve">A Robust Semi-Supervised Brain Tumor MRI Classification Network for Data-Constrained Clinical Environments</t>
  </si>
  <si>
    <t xml:space="preserve">PMC11837701</t>
  </si>
  <si>
    <t xml:space="preserve">Integrating ultrasound radiomics and clinicopathological features for machine learning-based survival prediction in patients with nonmetastatic triple-negative breast cancer</t>
  </si>
  <si>
    <t xml:space="preserve">PMC12701185</t>
  </si>
  <si>
    <t xml:space="preserve">Explained Deep Learning Framework for COVID-19 Detection in Volumetric CT Images Aligned with the British Society of Thoracic Imaging Reporting Guidance: A Pilot Study</t>
  </si>
  <si>
    <t xml:space="preserve">Journal of imaging informatics in medicine</t>
  </si>
  <si>
    <t xml:space="preserve">PMC12468862</t>
  </si>
  <si>
    <t xml:space="preserve">Automated Computer-Assisted Diagnosis of Pleural Effusion in Chest X-Rays via Deep Learning</t>
  </si>
  <si>
    <t xml:space="preserve">PMC11899611</t>
  </si>
  <si>
    <t xml:space="preserve">Enhanced Multi-Class Breast Cancer Classification from Whole-Slide Histopathology Images Using a Proposed Deep Learning Model</t>
  </si>
  <si>
    <t xml:space="preserve">PMC12399013</t>
  </si>
  <si>
    <t xml:space="preserve">MSFE-GallNet-X: a multi-scale feature extraction-based CNN Model for gallbladder disease analysis with enhanced explainability</t>
  </si>
  <si>
    <t xml:space="preserve">PMC12387618</t>
  </si>
  <si>
    <t xml:space="preserve">ODDM: Integration of SMOTE Tomek with Deep Learning on Imbalanced Color Fundus Images for Classification of Several Ocular Diseases</t>
  </si>
  <si>
    <t xml:space="preserve">PMC12155400</t>
  </si>
  <si>
    <t xml:space="preserve">An Information-Extreme Algorithm for Universal Nuclear Feature-Driven Automated Classification of Breast Cancer Cells</t>
  </si>
  <si>
    <t xml:space="preserve">PMC12349148</t>
  </si>
  <si>
    <t xml:space="preserve">Segmentation-Assisted Fusion-Based Classification for Automated CXR Image Analysis</t>
  </si>
  <si>
    <t xml:space="preserve">PMC11902609</t>
  </si>
  <si>
    <t xml:space="preserve">Automated Segmentation of Breast Cancer Focal Lesions on Ultrasound Images</t>
  </si>
  <si>
    <t xml:space="preserve">PMC12070956</t>
  </si>
  <si>
    <t xml:space="preserve">Deep Learning-Based Classification of Canine Cataracts from Ocular B-Mode Ultrasound Images</t>
  </si>
  <si>
    <t xml:space="preserve">Animals : an open access journal from MDPI</t>
  </si>
  <si>
    <t xml:space="preserve">PMC7617223</t>
  </si>
  <si>
    <t xml:space="preserve">Qualitative American Heart Association plot of late gadolinium enhancement with mortality and ventricular arrhythmia prediction using artificial intelligence</t>
  </si>
  <si>
    <t xml:space="preserve">Journal of medical artificial intelligence</t>
  </si>
  <si>
    <t xml:space="preserve">PMC12179047</t>
  </si>
  <si>
    <t xml:space="preserve">Deep learning detects retropharyngeal edema on MRI in patients with acute neck infections</t>
  </si>
  <si>
    <t xml:space="preserve">European radiology experimental</t>
  </si>
  <si>
    <t xml:space="preserve">PMC12436311</t>
  </si>
  <si>
    <t xml:space="preserve">Intelligent Alzheimer's diagnosis and disability assessment: robust medical imaging analysis using ensemble learning with ResNet-50 and EfficientNet-B3</t>
  </si>
  <si>
    <t xml:space="preserve">PMC12350125</t>
  </si>
  <si>
    <t xml:space="preserve">Contrast-enhanced CT-based deep learning model assists in preoperative risk classification of thymic epithelial tumors</t>
  </si>
  <si>
    <t xml:space="preserve">PMC12280904</t>
  </si>
  <si>
    <t xml:space="preserve">Development and validation of a deep learning-based pathomics signature for prognosis and chemotherapy benefits in colorectal cancer: a retrospective multicenter cohort study</t>
  </si>
  <si>
    <t xml:space="preserve">Frontiers in immunology</t>
  </si>
  <si>
    <t xml:space="preserve">PMC11950503</t>
  </si>
  <si>
    <t xml:space="preserve">A novel deep learning radiopathomics model for predicting carcinogenesis promotor cyclooxygenase-2 expression in common bile duct in children with pancreaticobiliary maljunction: a multicenter study</t>
  </si>
  <si>
    <t xml:space="preserve">PMC11979982</t>
  </si>
  <si>
    <t xml:space="preserve">CNN-TumorNet: leveraging explainability in deep learning for precise brain tumor diagnosis on MRI images</t>
  </si>
  <si>
    <t xml:space="preserve">PMC11981170</t>
  </si>
  <si>
    <t xml:space="preserve">Deep neural network modeling for brain tumor classification using magnetic resonance spectroscopic imaging</t>
  </si>
  <si>
    <t xml:space="preserve">PLOS digital health</t>
  </si>
  <si>
    <t xml:space="preserve">PMC12295850</t>
  </si>
  <si>
    <t xml:space="preserve">KidneyNeXt: A Lightweight Convolutional Neural Network for Multi-Class Renal Tumor Classification in Computed Tomography Imaging</t>
  </si>
  <si>
    <t xml:space="preserve">PMC12427627</t>
  </si>
  <si>
    <t xml:space="preserve">An Explainable Deep Learning Framework for Multimodal Autism Diagnosis Using XAI GAMI-Net and Hypernetworks</t>
  </si>
  <si>
    <t xml:space="preserve">PMC12460420</t>
  </si>
  <si>
    <t xml:space="preserve">Diagnostic performance and generalizability of deep learning for multiple retinal diseases using bimodal imaging of fundus photography and optical coherence tomography</t>
  </si>
  <si>
    <t xml:space="preserve">Frontiers in cell and developmental biology</t>
  </si>
  <si>
    <t xml:space="preserve">PMC12142743</t>
  </si>
  <si>
    <t xml:space="preserve">Classification of non-small cell lung cancer by histologic subtype using deep learning in public and private data sets of computed tomography images</t>
  </si>
  <si>
    <t xml:space="preserve">Radiologia brasileira</t>
  </si>
  <si>
    <t xml:space="preserve">PMC12052716</t>
  </si>
  <si>
    <t xml:space="preserve">AI-driven early diagnosis of specific mental disorders: a comprehensive study</t>
  </si>
  <si>
    <t xml:space="preserve">Cognitive neurodynamics</t>
  </si>
  <si>
    <t xml:space="preserve">PMC12264328</t>
  </si>
  <si>
    <t xml:space="preserve">The impact of uncertainty estimation on radiomic segmentation reproducibility and scan–rescan repeatability in kidney MRI</t>
  </si>
  <si>
    <t xml:space="preserve">Medical physics</t>
  </si>
  <si>
    <t xml:space="preserve">PMC12310693</t>
  </si>
  <si>
    <t xml:space="preserve">Deep learning-based classification of multiple fundus diseases using ultra-widefield images</t>
  </si>
  <si>
    <t xml:space="preserve">PMC11817112</t>
  </si>
  <si>
    <t xml:space="preserve">Enhanced Multi-Model Deep Learning for Rapid and Precise Diagnosis of Pulmonary Diseases Using Chest X-Ray Imaging</t>
  </si>
  <si>
    <t xml:space="preserve">PMC12316994</t>
  </si>
  <si>
    <t xml:space="preserve">Transparent brain tumor detection using DenseNet169 and LIME</t>
  </si>
  <si>
    <t xml:space="preserve">PMC11987621</t>
  </si>
  <si>
    <t xml:space="preserve">Enhanced Macular Telangiectasia Type 2 Detection: Leveraging Self-Supervised Learning and Ensemble Models</t>
  </si>
  <si>
    <t xml:space="preserve">PMC12440165</t>
  </si>
  <si>
    <t xml:space="preserve">Enhanced gallbladder cancer detection via active and self-supervised learning integration: Innovating B-ultrasound image analysis</t>
  </si>
  <si>
    <t xml:space="preserve">PMC12733862</t>
  </si>
  <si>
    <t xml:space="preserve">Application of Generative Adversarial Networks to Improve COVID-19 Classification on Ultrasound Images</t>
  </si>
  <si>
    <t xml:space="preserve">PMC12227691</t>
  </si>
  <si>
    <t xml:space="preserve">CNN based method for classifying cervical cancer cells in pap smear images</t>
  </si>
  <si>
    <t xml:space="preserve">PMC12193078</t>
  </si>
  <si>
    <t xml:space="preserve">Improved swin transformer-based thorax disease classification with optimal feature selection using chest X-ray</t>
  </si>
  <si>
    <t xml:space="preserve">PMC12499557</t>
  </si>
  <si>
    <t xml:space="preserve">A novel deep learning framework for automatic scoring of PD-L1 expression in non-small cell lung cancer</t>
  </si>
  <si>
    <t xml:space="preserve">Biomolecules &amp; biomedicine</t>
  </si>
  <si>
    <t xml:space="preserve">PMC12332990</t>
  </si>
  <si>
    <t xml:space="preserve">Automatic recognition of adrenal incidentalomas using a two-stage cascade network: a multicenter study</t>
  </si>
  <si>
    <t xml:space="preserve">Annals of medicine</t>
  </si>
  <si>
    <t xml:space="preserve">PMC12580201</t>
  </si>
  <si>
    <t xml:space="preserve">WOAENet: a whale optimization-guided ensemble deep learning with soft voting for uterine cancer diagnosis based on MRI images</t>
  </si>
  <si>
    <t xml:space="preserve">PMC11898657</t>
  </si>
  <si>
    <t xml:space="preserve">A novel framework for the automated characterization of Gram-stained blood culture slides using a large-scale vision transformer</t>
  </si>
  <si>
    <t xml:space="preserve">Journal of clinical microbiology</t>
  </si>
  <si>
    <t xml:space="preserve">PMC11983456</t>
  </si>
  <si>
    <t xml:space="preserve">Preliminary exploratory study on differential diagnosis between benign and malignant peripheral lung tumors: based on deep learning networks</t>
  </si>
  <si>
    <t xml:space="preserve">PMC12467694</t>
  </si>
  <si>
    <t xml:space="preserve">Machine and Deep Learning on Radiomic Features from Contrast-Enhanced Mammography and Dynamic Contrast-Enhanced Magnetic Resonance Imaging for Breast Cancer Characterization</t>
  </si>
  <si>
    <t xml:space="preserve">PMC12119131</t>
  </si>
  <si>
    <t xml:space="preserve">AutoRadAI: a versatile artificial intelligence framework validated for detecting extracapsular extension in prostate cancer</t>
  </si>
  <si>
    <t xml:space="preserve">Biology methods &amp; protocols</t>
  </si>
  <si>
    <t xml:space="preserve">PMC11933192</t>
  </si>
  <si>
    <t xml:space="preserve">Automatic mandibular third molar and mandibular canal relationship determination based on deep learning models for preoperative risk reduction</t>
  </si>
  <si>
    <t xml:space="preserve">Clinical oral investigations</t>
  </si>
  <si>
    <t xml:space="preserve">PMC12189867</t>
  </si>
  <si>
    <t xml:space="preserve">An Innovative Artificial Intelligence Classification Model for Non-Ischemic Cardiomyopathy Utilizing Cardiac Biomechanics Derived from Magnetic Resonance Imaging</t>
  </si>
  <si>
    <t xml:space="preserve">PMC12404480</t>
  </si>
  <si>
    <t xml:space="preserve">Deep learning detection of retinal detachment: Optical coherence tomography staging and estimation of duration of macular detachment</t>
  </si>
  <si>
    <t xml:space="preserve">PMC12239351</t>
  </si>
  <si>
    <t xml:space="preserve">Development of a deep learning-based MRI diagnostic model for human Brucella spondylitis</t>
  </si>
  <si>
    <t xml:space="preserve">Biomedical engineering online</t>
  </si>
  <si>
    <t xml:space="preserve">PMC12471856</t>
  </si>
  <si>
    <t xml:space="preserve">HIRD-Net: An Explainable CNN-Based Framework with Attention Mechanism for Diabetic Retinopathy Diagnosis Using CLAHE-D-DoG Enhanced Fundus Images</t>
  </si>
  <si>
    <t xml:space="preserve">PMC12213050</t>
  </si>
  <si>
    <t xml:space="preserve">A Deep Convolutional Neural Network Model for Lung Disease Detection Using Chest X-Ray Imaging</t>
  </si>
  <si>
    <t xml:space="preserve">Pulmonary medicine</t>
  </si>
  <si>
    <t xml:space="preserve">PMC11999632</t>
  </si>
  <si>
    <t xml:space="preserve">Retinal fundus imaging-based diabetic retinopathy classification using transfer learning and fennec fox optimization</t>
  </si>
  <si>
    <t xml:space="preserve">MethodsX</t>
  </si>
  <si>
    <t xml:space="preserve">PMC12388561</t>
  </si>
  <si>
    <t xml:space="preserve">A Web-Deployed, Explainable AI System for Comprehensive Brain Tumor Diagnosis</t>
  </si>
  <si>
    <t xml:space="preserve">Neurology international</t>
  </si>
  <si>
    <t xml:space="preserve">PMC12190387</t>
  </si>
  <si>
    <t xml:space="preserve">Fine-tuned deep transfer learning: an effective strategy for the accurate chronic kidney disease classification</t>
  </si>
  <si>
    <t xml:space="preserve">PeerJ. Computer science</t>
  </si>
  <si>
    <t xml:space="preserve">PMC12489083</t>
  </si>
  <si>
    <t xml:space="preserve">High-resolution conditional MR image synthesis through the PACGAN framework</t>
  </si>
  <si>
    <t xml:space="preserve">PMC12620616</t>
  </si>
  <si>
    <t xml:space="preserve">Predicting alcohol use disorder risk in firefighters using a multimodal deep learning model: a cross-sectional study</t>
  </si>
  <si>
    <t xml:space="preserve">Frontiers in psychiatry</t>
  </si>
  <si>
    <t xml:space="preserve">PMC12234637</t>
  </si>
  <si>
    <t xml:space="preserve">Artificial intelligence-based prediction of organ involvement in Sjogren’s syndrome using labial gland biopsy whole-slide images</t>
  </si>
  <si>
    <t xml:space="preserve">Clinical rheumatology</t>
  </si>
  <si>
    <t xml:space="preserve">PMC12290913</t>
  </si>
  <si>
    <t xml:space="preserve">MRI-based Alzheimer’s disease classification using Vision Transformer and time-series transformer: A step-by-step guide</t>
  </si>
  <si>
    <t xml:space="preserve">Software impacts</t>
  </si>
  <si>
    <t xml:space="preserve">PMC11898873</t>
  </si>
  <si>
    <t xml:space="preserve">Enhancing Lymph Node Metastasis Risk Prediction in Early Gastric Cancer Through the Integration of Endoscopic Images and Real-World Data in a Multimodal AI Model</t>
  </si>
  <si>
    <t xml:space="preserve">PMC12564389</t>
  </si>
  <si>
    <t xml:space="preserve">Transformer-Based Deep Learning for Preoperative Prediction of Microvascular Invasion in Hepatocellular Carcinoma</t>
  </si>
  <si>
    <t xml:space="preserve">PMC11667687</t>
  </si>
  <si>
    <t xml:space="preserve">Deep learning-based classification of breast cancer molecular subtypes from H&amp;E whole-slide images</t>
  </si>
  <si>
    <t xml:space="preserve">Journal of pathology informatics</t>
  </si>
  <si>
    <t xml:space="preserve">PMC12212108</t>
  </si>
  <si>
    <t xml:space="preserve">An explainable-by-design end-to-end AI framework based on prototypical part learning for lesion detection and classification in Digital Breast Tomosynthesis images</t>
  </si>
  <si>
    <t xml:space="preserve">Computational and structural biotechnology journal</t>
  </si>
  <si>
    <t xml:space="preserve">PMC12610522</t>
  </si>
  <si>
    <t xml:space="preserve">Automated Multi-Class Classification of Retinal Pathologies: A Deep Learning Approach to Unified Ophthalmic Screening</t>
  </si>
  <si>
    <t xml:space="preserve">PMC12563722</t>
  </si>
  <si>
    <t xml:space="preserve">A Priori Prediction of Neoadjuvant Chemotherapy Response in Breast Cancer Using Deep Features from Pre-Treatment MRI and CT</t>
  </si>
  <si>
    <t xml:space="preserve">PMC12605480</t>
  </si>
  <si>
    <t xml:space="preserve">Unlocking the potential of radiomics in identifying fibrosing and inflammatory patterns in interstitial lung disease</t>
  </si>
  <si>
    <t xml:space="preserve">La Radiologia medica</t>
  </si>
  <si>
    <t xml:space="preserve">PMC12092319</t>
  </si>
  <si>
    <t xml:space="preserve">Cerebral ischemia detection using deep learning techniques</t>
  </si>
  <si>
    <t xml:space="preserve">Health information science and systems</t>
  </si>
  <si>
    <t xml:space="preserve">PMC11774367</t>
  </si>
  <si>
    <t xml:space="preserve">Identification of diabetic retinopathy lesions in fundus images by integrating CNN and vision mamba models</t>
  </si>
  <si>
    <t xml:space="preserve">PMC12027922</t>
  </si>
  <si>
    <t xml:space="preserve">Comparing Auto-Machine Learning and Expert-Designed Models in Diagnosing Vitreomacular Interface Disorders</t>
  </si>
  <si>
    <t xml:space="preserve">PMC12383659</t>
  </si>
  <si>
    <t xml:space="preserve">Deep Learning for Comprehensive Analysis of Retinal Fundus Images: Detection of Systemic and Ocular Conditions</t>
  </si>
  <si>
    <t xml:space="preserve">PMC12603675</t>
  </si>
  <si>
    <t xml:space="preserve">An Artificial Intelligence System for Staging the Spheno‐Occipital Synchondrosis</t>
  </si>
  <si>
    <t xml:space="preserve">Orthodontics &amp; craniofacial research</t>
  </si>
  <si>
    <t xml:space="preserve">PMC12552472</t>
  </si>
  <si>
    <t xml:space="preserve">Multi-institutional validation of AI models for classifying urothelial neoplasms in digital pathology</t>
  </si>
  <si>
    <t xml:space="preserve">PMC12148044</t>
  </si>
  <si>
    <t xml:space="preserve">AI-powered remote monitoring of brain responses to clear and incomprehensible speech via speckle pattern analysis</t>
  </si>
  <si>
    <t xml:space="preserve">Journal of biomedical optics</t>
  </si>
  <si>
    <t xml:space="preserve">PMC12606778</t>
  </si>
  <si>
    <t xml:space="preserve">OTC-NET: A Multimodal Method for Accurate Diagnosis of Ovarian Cancer in O-RADS Category 4 Masses</t>
  </si>
  <si>
    <t xml:space="preserve">PMC11968703</t>
  </si>
  <si>
    <t xml:space="preserve">An imaging and genetic-based deep learning network for Alzheimer's disease diagnosis</t>
  </si>
  <si>
    <t xml:space="preserve">Frontiers in aging neuroscience</t>
  </si>
  <si>
    <t xml:space="preserve">article type 'methods-article'</t>
  </si>
  <si>
    <t xml:space="preserve">PMC12467930</t>
  </si>
  <si>
    <t xml:space="preserve">From Anatomy to Genomics Using a Multi-Task Deep Learning Approach for Comprehensive Glioma Profiling</t>
  </si>
  <si>
    <t xml:space="preserve">PMC13223431</t>
  </si>
  <si>
    <t xml:space="preserve">Fine-grained Prototype Network for MRI Sequence Classification</t>
  </si>
  <si>
    <t xml:space="preserve">Current medical imaging</t>
  </si>
  <si>
    <t xml:space="preserve">PMC12513637</t>
  </si>
  <si>
    <t xml:space="preserve">Advanced deep learning-based brain tumor classification using a novel customized CNN and optimized residual network</t>
  </si>
  <si>
    <t xml:space="preserve">PMC12687559</t>
  </si>
  <si>
    <t xml:space="preserve">Multi-model deep learning for dementia detection: addressing data and model limitations</t>
  </si>
  <si>
    <t xml:space="preserve">PMC12316318</t>
  </si>
  <si>
    <t xml:space="preserve">A comparative study of machine learning models for automated detection and classification of retinal diseases in Ghana</t>
  </si>
  <si>
    <t xml:space="preserve">PMC12353728</t>
  </si>
  <si>
    <t xml:space="preserve">Enhancing head and neck cancer detection accuracy in digitized whole-slide histology with the HNSC-classifier: a deep learning approach</t>
  </si>
  <si>
    <t xml:space="preserve">Frontiers in molecular biosciences</t>
  </si>
  <si>
    <t xml:space="preserve">PMC12485631</t>
  </si>
  <si>
    <t xml:space="preserve">A deep learning approach for brain tumour classification and detection in MRI images using YOLOv7</t>
  </si>
  <si>
    <t xml:space="preserve">PMC11999846</t>
  </si>
  <si>
    <t xml:space="preserve">Construction of the preoperative staging prediction model for cervical cancer based on deep learning and MRI: a retrospective study</t>
  </si>
  <si>
    <t xml:space="preserve">PMC12396830</t>
  </si>
  <si>
    <t xml:space="preserve">Deep Learning Radiomics Model Based on Computed Tomography Image for Predicting the Classification of Osteoporotic Vertebral Fractures: Algorithm Development and Validation</t>
  </si>
  <si>
    <t xml:space="preserve">JMIR medical informatics</t>
  </si>
  <si>
    <t xml:space="preserve">PMC12689593</t>
  </si>
  <si>
    <t xml:space="preserve">Quantum AI for psychiatric diagnosis: enhancing dementia classification with quantum machine learning</t>
  </si>
  <si>
    <t xml:space="preserve">PMC12345889</t>
  </si>
  <si>
    <t xml:space="preserve">Deep Learning-Based Differentiation of Vertebral Body Lesions on Magnetic Resonance Imaging</t>
  </si>
  <si>
    <t xml:space="preserve">PMC12737021</t>
  </si>
  <si>
    <t xml:space="preserve">Clinically Focused Computer-Aided Diagnosis for Breast Cancer Using SE and CBAM with Multi-Head Attention</t>
  </si>
  <si>
    <t xml:space="preserve">Tomography (Ann Arbor, Mich.)</t>
  </si>
  <si>
    <t xml:space="preserve">PMC12387165</t>
  </si>
  <si>
    <t xml:space="preserve">Comparison Between the Human-Sourced Ellipsoid Method and Kidney Volumetry Using Artificial Intelligence in Polycystic Kidney Disease</t>
  </si>
  <si>
    <t xml:space="preserve">Journal of personalized medicine</t>
  </si>
  <si>
    <t xml:space="preserve">PMC12143801</t>
  </si>
  <si>
    <t xml:space="preserve">Automatic quantification of left atrium volume for cardiac rhythm analysis leveraging 3D residual UNet for time-varying segmentation of ECG-gated CT</t>
  </si>
  <si>
    <t xml:space="preserve">PMC12564920</t>
  </si>
  <si>
    <t xml:space="preserve">An Explainable Web-Based Diagnostic System for Alzheimer’s Disease Using XRAI and Deep Learning on Brain MRI</t>
  </si>
  <si>
    <t xml:space="preserve">PMC12845566</t>
  </si>
  <si>
    <t xml:space="preserve">Detection and Classification of Alzheimer’s Disease Using Deep and Machine Learning</t>
  </si>
  <si>
    <t xml:space="preserve">PMC11766424</t>
  </si>
  <si>
    <t xml:space="preserve">A New Deep Learning-Based Method for Automated Identification of Thoracic Lymph Node Stations in Endobronchial Ultrasound (EBUS): A Proof-of-Concept Study</t>
  </si>
  <si>
    <t xml:space="preserve">PMC12143367</t>
  </si>
  <si>
    <t xml:space="preserve">Deep Learning Reveals Liver MRI Features Associated With PNPLA3 I148M in Steatotic Liver Disease</t>
  </si>
  <si>
    <t xml:space="preserve">Liver international : official journal of the International Association for the Study of the Liver</t>
  </si>
  <si>
    <t xml:space="preserve">PMC12189467</t>
  </si>
  <si>
    <t xml:space="preserve">Deep-Learning-Based Computer-Aided Grading of Cervical Spinal Stenosis from MR Images: Accuracy and Clinical Alignment</t>
  </si>
  <si>
    <t xml:space="preserve">PMC12295020</t>
  </si>
  <si>
    <t xml:space="preserve">Development of Deep Learning Models for Real-Time Thoracic Ultrasound Image Interpretation</t>
  </si>
  <si>
    <t xml:space="preserve">PMC12249172</t>
  </si>
  <si>
    <t xml:space="preserve">CELM: An Ensemble Deep Learning Model for Early Cardiomegaly Diagnosis in Chest Radiography</t>
  </si>
  <si>
    <t xml:space="preserve">PMC12572571</t>
  </si>
  <si>
    <t xml:space="preserve">Deep Convolutional Neural Networks on Multiclass Classification of Three-Dimensional Brain Images for Parkinson’s Disease Stage Prediction</t>
  </si>
  <si>
    <t xml:space="preserve">PMC12322712</t>
  </si>
  <si>
    <t xml:space="preserve">Deep Learning Can be Used to Classify the Disease Status of the Canine Middle Ear From Computed Tomographic Images</t>
  </si>
  <si>
    <t xml:space="preserve">Veterinary radiology &amp; ultrasound : the official journal of the American College of Veterinary Radiology and the International Veterinary Radiology Association</t>
  </si>
  <si>
    <t xml:space="preserve">PMC11856240</t>
  </si>
  <si>
    <t xml:space="preserve">Artificial Intelligence in the Surgery-First Approach: Harnessing Deep Learning for Enhanced Condylar Reshaping Analysis: A Retrospective Study</t>
  </si>
  <si>
    <t xml:space="preserve">PMC12669110</t>
  </si>
  <si>
    <t xml:space="preserve">Predicting cardiovascular disease risk using retinal optical coherence tomography imaging</t>
  </si>
  <si>
    <t xml:space="preserve">PMC12152023</t>
  </si>
  <si>
    <t xml:space="preserve">Artificial intelligence and endoanal ultrasound: pioneering automated differentiation of benign anal and sphincter lesions</t>
  </si>
  <si>
    <t xml:space="preserve">Techniques in coloproctology</t>
  </si>
  <si>
    <t xml:space="preserve">PMC12444220</t>
  </si>
  <si>
    <t xml:space="preserve">Interpretable Artificial Intelligence Analysis of Functional Magnetic Resonance Imaging for Migraine Classification: Quantitative Study</t>
  </si>
  <si>
    <t xml:space="preserve">PMC12190310</t>
  </si>
  <si>
    <t xml:space="preserve">Prediction of Alzheimer’s Disease Based on Multi-Modal Domain Adaptation</t>
  </si>
  <si>
    <t xml:space="preserve">PMC12063467</t>
  </si>
  <si>
    <t xml:space="preserve">Hierarchical diagnosis of breast phyllodes tumors enabled by deep learning of ultrasound images: a retrospective multi-center study</t>
  </si>
  <si>
    <t xml:space="preserve">PMC12346750</t>
  </si>
  <si>
    <t xml:space="preserve">Assessing ResNeXt and RegNet Models for Diabetic Retinopathy Classification: A Comprehensive Comparative Study</t>
  </si>
  <si>
    <t xml:space="preserve">PMC12565449</t>
  </si>
  <si>
    <t xml:space="preserve">Lung Nodule Malignancy Classification Integrating Deep and Radiomic Features in a Three-Way Attention-Based Fusion Module</t>
  </si>
  <si>
    <t xml:space="preserve">PMC12886037</t>
  </si>
  <si>
    <t xml:space="preserve">Predicting the growth of asymptomatic small abdominal aortic aneurysms (AAA) based on deep learning</t>
  </si>
  <si>
    <t xml:space="preserve">PMC12218925</t>
  </si>
  <si>
    <t xml:space="preserve">A hybrid compound scaling hypergraph neural network for robust cervical cancer subtype classification using whole slide cytology images</t>
  </si>
  <si>
    <t xml:space="preserve">PMC12454447</t>
  </si>
  <si>
    <t xml:space="preserve">Intervertebral disc anomaly intelligent classification system based on deep learning, IDAICS</t>
  </si>
  <si>
    <t xml:space="preserve">PMC12165889</t>
  </si>
  <si>
    <t xml:space="preserve">Malignancy risk stratification for pulmonary nodules: comparing a deep learning approach to multiparametric statistical models in different disease groups</t>
  </si>
  <si>
    <t xml:space="preserve">PMC11988322</t>
  </si>
  <si>
    <t xml:space="preserve">A Distillation Approach to Transformer-Based Medical Image Classification with Limited Data</t>
  </si>
  <si>
    <t xml:space="preserve">PMC12405214</t>
  </si>
  <si>
    <t xml:space="preserve">A novel MRI-based deep learning–radiomics framework for evaluating cerebrospinal fluid signal in central nervous system infection</t>
  </si>
  <si>
    <t xml:space="preserve">PMC12157125</t>
  </si>
  <si>
    <t xml:space="preserve">Improving lung cancer diagnosis and survival prediction with deep learning and CT imaging</t>
  </si>
  <si>
    <t xml:space="preserve">PMC12162252</t>
  </si>
  <si>
    <t xml:space="preserve">Graph-based analysis of histopathological images for lung cancer classification using GLCM features and enhanced graph</t>
  </si>
  <si>
    <t xml:space="preserve">PMC12572109</t>
  </si>
  <si>
    <t xml:space="preserve">A deep learning approach to predict temporal changes of subdural hemorrhage on computed tomography</t>
  </si>
  <si>
    <t xml:space="preserve">PMC11763917</t>
  </si>
  <si>
    <t xml:space="preserve">Explainable Self-Supervised Dynamic Neuroimaging Using Time Reversal</t>
  </si>
  <si>
    <t xml:space="preserve">PMC11695392</t>
  </si>
  <si>
    <t xml:space="preserve">Deep learning approaches for the detection of scar presence from cine cardiac magnetic resonance adding derived parametric images</t>
  </si>
  <si>
    <t xml:space="preserve">Medical &amp; biological engineering &amp; computing</t>
  </si>
  <si>
    <t xml:space="preserve">PMC12346189</t>
  </si>
  <si>
    <t xml:space="preserve">Role of Feature Diversity in the Performance of Hybrid Models—An Investigation of Brain Tumor Classification from Brain MRI Scans</t>
  </si>
  <si>
    <t xml:space="preserve">PMC12336342</t>
  </si>
  <si>
    <t xml:space="preserve">Improving early detection of Alzheimer’s disease through MRI slice selection and deep learning techniques</t>
  </si>
  <si>
    <t xml:space="preserve">PMC11866614</t>
  </si>
  <si>
    <t xml:space="preserve">Using deep learning to differentiate among histology renal tumor types in computed tomography scans</t>
  </si>
  <si>
    <t xml:space="preserve">PMC12066621</t>
  </si>
  <si>
    <t xml:space="preserve">MRI-based deep learning with clinical and imaging features to differentiate medulloblastoma and ependymoma in children</t>
  </si>
  <si>
    <t xml:space="preserve">PMC11999292</t>
  </si>
  <si>
    <t xml:space="preserve">Grey wolf optimization technique with U-shaped and capsule networks-A novel framework for glaucoma diagnosis</t>
  </si>
  <si>
    <t xml:space="preserve">PMC13105305</t>
  </si>
  <si>
    <t xml:space="preserve">A Machine Learning Approach to Quantitative Analysis of Enamel Microstructure from Scanning Electron Microscopy Images</t>
  </si>
  <si>
    <t xml:space="preserve">Small structures</t>
  </si>
  <si>
    <t xml:space="preserve">PMC11950469</t>
  </si>
  <si>
    <t xml:space="preserve">Feature-Based vs. Deep-Learning Fusion Methods for the In Vivo Detection of Radiation Dermatitis Using Optical Coherence Tomography, a Feasibility Study</t>
  </si>
  <si>
    <t xml:space="preserve">PMC11835854</t>
  </si>
  <si>
    <t xml:space="preserve">Deep learning in gonarthrosis classification: a comparative study of model architectures and single vs. multi-model methods</t>
  </si>
  <si>
    <t xml:space="preserve">PMC11944010</t>
  </si>
  <si>
    <t xml:space="preserve">Brain Tumor Detection and Prediction in MRI Images Utilizing a Fine-Tuned Transfer Learning Model Integrated Within Deep Learning Frameworks</t>
  </si>
  <si>
    <t xml:space="preserve">PMC12650808</t>
  </si>
  <si>
    <t xml:space="preserve">Multi-Task Deep Learning on MRI for Tumor Segmentation and Treatment Response Prediction in an Experimental Model of Hepatocellular Carcinoma</t>
  </si>
  <si>
    <t xml:space="preserve">PMC12647221</t>
  </si>
  <si>
    <t xml:space="preserve">An artificial intelligence model of whole-slide pathology specimens differentiating cutaneous high-grade squamous proliferations</t>
  </si>
  <si>
    <t xml:space="preserve">Virchows Archiv : an international journal of pathology</t>
  </si>
  <si>
    <t xml:space="preserve">PMC12283581</t>
  </si>
  <si>
    <t xml:space="preserve">Integrating pathomics and deep learning for subtyping uveal melanoma: identifying high-risk immune infiltration profiles</t>
  </si>
  <si>
    <t xml:space="preserve">PMC12036548</t>
  </si>
  <si>
    <t xml:space="preserve">Improved Alzheimer Disease Diagnosis With a Machine Learning Approach and Neuroimaging: Case Study Development</t>
  </si>
  <si>
    <t xml:space="preserve">JMIRx med</t>
  </si>
  <si>
    <t xml:space="preserve">PMC12329014</t>
  </si>
  <si>
    <t xml:space="preserve">Development of a deep learning based approach for multi-material decomposition in spectral CT: a proof of principle in silico study</t>
  </si>
  <si>
    <t xml:space="preserve">PMC12021809</t>
  </si>
  <si>
    <t xml:space="preserve">Synthetic fibrosis distributions for data augmentation in predicting atrial fibrillation ablation outcomes: an in silico study</t>
  </si>
  <si>
    <t xml:space="preserve">Frontiers in cardiovascular medicine</t>
  </si>
  <si>
    <t xml:space="preserve">PMC12685141</t>
  </si>
  <si>
    <t xml:space="preserve">Dimeric gold nanoparticles enable multiplexed labeling in cryoelectron tomography</t>
  </si>
  <si>
    <t xml:space="preserve">Proceedings of the National Academy of Sciences of the United States of America</t>
  </si>
  <si>
    <t xml:space="preserve">PMC12646915</t>
  </si>
  <si>
    <t xml:space="preserve">Precise diagnosis of pediatric posterior cranial fossa neoplasms based on 2.5D MRI deep learning</t>
  </si>
  <si>
    <t xml:space="preserve">PMC12691013</t>
  </si>
  <si>
    <t xml:space="preserve">ConvNeXt-Driven Detection of Alzheimer’s Disease: A Benchmark Study on Expert-Annotated AlzaSet MRI Dataset Across Anatomical Planes</t>
  </si>
  <si>
    <t xml:space="preserve">PMC11761908</t>
  </si>
  <si>
    <t xml:space="preserve">LightweightUNet: Multimodal Deep Learning with GAN-Augmented Imaging Data for Efficient Breast Cancer Detection</t>
  </si>
  <si>
    <t xml:space="preserve">PMC12405520</t>
  </si>
  <si>
    <t xml:space="preserve">Pancancer outcome prediction via a unified weakly supervised deep learning model</t>
  </si>
  <si>
    <t xml:space="preserve">Signal transduction and targeted therapy</t>
  </si>
  <si>
    <t xml:space="preserve">PMC11902864</t>
  </si>
  <si>
    <t xml:space="preserve">MRI-Based Meningioma Firmness Classification Using an Adversarial Feature Learning Approach</t>
  </si>
  <si>
    <t xml:space="preserve">PMC12153998</t>
  </si>
  <si>
    <t xml:space="preserve">A Hybrid Model of Feature Extraction and Dimensionality Reduction Using ViT, PCA, and Random Forest for Multi-Classification of Brain Cancer</t>
  </si>
  <si>
    <t xml:space="preserve">PMC12085623</t>
  </si>
  <si>
    <t xml:space="preserve">A self-supervised multimodal deep learning approach to differentiate post-radiotherapy progression from pseudoprogression in glioblastoma</t>
  </si>
  <si>
    <t xml:space="preserve">PMC12861897</t>
  </si>
  <si>
    <t xml:space="preserve">Lesion detection using artificial intelligence models in MR images of prostate cancer and prostatitis patients and comparison of model performance</t>
  </si>
  <si>
    <t xml:space="preserve">Frontiers in urology</t>
  </si>
  <si>
    <t xml:space="preserve">PMC12862074</t>
  </si>
  <si>
    <t xml:space="preserve">Development and independent validation of explainable radiomics-based machine learning models for prognosis in colorectal liver metastases</t>
  </si>
  <si>
    <t xml:space="preserve">PMC11763248</t>
  </si>
  <si>
    <t xml:space="preserve">Biomarker Investigation Using Multiple Brain Measures from MRI Through Explainable Artificial Intelligence in Alzheimer’s Disease Classification</t>
  </si>
  <si>
    <t xml:space="preserve">PMC12733839</t>
  </si>
  <si>
    <t xml:space="preserve">Optimized Hounsfield Units Transformation for Explainable Temporal Stage-Specific Ischemic Stroke Classification in CT Imaging</t>
  </si>
  <si>
    <t xml:space="preserve">PMC12686508</t>
  </si>
  <si>
    <t xml:space="preserve">Intelligent retinal disease detection using deep learning</t>
  </si>
  <si>
    <t xml:space="preserve">PMC12148559</t>
  </si>
  <si>
    <t xml:space="preserve">Detecting wing fractures in chickens using deep learning, photographs and computed tomography scanning☆</t>
  </si>
  <si>
    <t xml:space="preserve">Poultry science</t>
  </si>
  <si>
    <t xml:space="preserve">PMC12817460</t>
  </si>
  <si>
    <t xml:space="preserve">Standardizing DICOM annotation: deep learning enhances body part description in X-ray image retrieval for clinical research</t>
  </si>
  <si>
    <t xml:space="preserve">PMC12189345</t>
  </si>
  <si>
    <t xml:space="preserve">A Novel Machine Learning Model for the Automated Diagnosis of Nasal Pathology in Canine Patients</t>
  </si>
  <si>
    <t xml:space="preserve">PMC11974447</t>
  </si>
  <si>
    <t xml:space="preserve">TractCloud‐FOV: Deep Learning‐Based Robust Tractography Parcellation in Diffusion MRI With Incomplete Field of View</t>
  </si>
  <si>
    <t xml:space="preserve">Human brain mapping</t>
  </si>
  <si>
    <t xml:space="preserve">PMC13223442</t>
  </si>
  <si>
    <t xml:space="preserve">Multi-scale based Network and Adaptive EfficientnetB7 with ASPP: Analysis of Novel Brain Tumor Segmentation and Classification</t>
  </si>
  <si>
    <t xml:space="preserve">PMC12460464</t>
  </si>
  <si>
    <t xml:space="preserve">VAE deep learning model with domain adaptation, transfer learning and harmonization for diagnostic classification from multi-site neuroimaging data</t>
  </si>
  <si>
    <t xml:space="preserve">PMC12229398</t>
  </si>
  <si>
    <t xml:space="preserve">Efficient sparse-view medical image classification for low radiation and rapid COVID-19 diagnosis</t>
  </si>
  <si>
    <t xml:space="preserve">Biomedical engineering letters</t>
  </si>
  <si>
    <t xml:space="preserve">PMC12249270</t>
  </si>
  <si>
    <t xml:space="preserve">Fusion-Based Deep Learning Approach for Renal Cell Carcinoma Subtype Detection Using Multi-Phasic MRI Data</t>
  </si>
  <si>
    <t xml:space="preserve">PMC12358265</t>
  </si>
  <si>
    <t xml:space="preserve">Glaucoma detection in myopic eyes using deep learning autoencoder-based regions of interest</t>
  </si>
  <si>
    <t xml:space="preserve">Frontiers in ophthalmology</t>
  </si>
  <si>
    <t xml:space="preserve">PMC11936934</t>
  </si>
  <si>
    <t xml:space="preserve">InGSA: integrating generalized self-attention in CNN for Alzheimer's disease classification</t>
  </si>
  <si>
    <t xml:space="preserve">PMC11852629</t>
  </si>
  <si>
    <t xml:space="preserve">Streamlit Application and Deep Learning Model for Brain Metastasis Monitoring After Gamma Knife Treatment</t>
  </si>
  <si>
    <t xml:space="preserve">Biomedicines</t>
  </si>
  <si>
    <t xml:space="preserve">PMC12812965</t>
  </si>
  <si>
    <t xml:space="preserve">MDL-CA: a multimodal deep learning approach with a cross attention mechanism for accurate brain cancer diagnosis</t>
  </si>
  <si>
    <t xml:space="preserve">Frontiers in public health</t>
  </si>
  <si>
    <t xml:space="preserve">PMC12293373</t>
  </si>
  <si>
    <t xml:space="preserve">Exploration of 3D Few-Shot Learning Techniques for Classification of Knee Joint Injuries on MR Images</t>
  </si>
  <si>
    <t xml:space="preserve">PMC12085910</t>
  </si>
  <si>
    <t xml:space="preserve">Artificial Intelligence as a Screening Tool for MRI Evaluation of Normal and Abnormal Medial Meniscus</t>
  </si>
  <si>
    <t xml:space="preserve">PMC12833296</t>
  </si>
  <si>
    <t xml:space="preserve">Hybrid deep learning and feature optimization approach for early detection of multiple sclerosis</t>
  </si>
  <si>
    <t xml:space="preserve">Frontiers in human neuroscience</t>
  </si>
  <si>
    <t xml:space="preserve">PMC12286415</t>
  </si>
  <si>
    <t xml:space="preserve">Predicting the Recurrence of Sporadic Odontogenic Keratocyst Using Whole‐Slide Histopathology Images With the Hybrid Encoder Iterative Attention Convolution Model</t>
  </si>
  <si>
    <t xml:space="preserve">Clinical and experimental dental research</t>
  </si>
  <si>
    <t xml:space="preserve">PMC11816878</t>
  </si>
  <si>
    <t xml:space="preserve">Alzheimer’s Prediction Methods with Harris Hawks Optimization (HHO) and Deep Learning-Based Approach Using an MLP-LSTM Hybrid Network</t>
  </si>
  <si>
    <t xml:space="preserve">PMC12409722</t>
  </si>
  <si>
    <t xml:space="preserve">Prediction of bone oligometastases in breast cancer using models based on deep learning radiomics of PET/CT imaging</t>
  </si>
  <si>
    <t xml:space="preserve">PMC11852041</t>
  </si>
  <si>
    <t xml:space="preserve">Deep Learning-Assisted Diagnostic System: Apices and Odontogenic Sinus Floor Level Analysis in Dental Panoramic Radiographs</t>
  </si>
  <si>
    <t xml:space="preserve">PMC12797949</t>
  </si>
  <si>
    <t xml:space="preserve">Transferable CNN-based data mining approaches for medical imaging: application to spine DXA scans for osteoporosis detection</t>
  </si>
  <si>
    <t xml:space="preserve">Frontiers in computational neuroscience</t>
  </si>
  <si>
    <t xml:space="preserve">PMC12436478</t>
  </si>
  <si>
    <t xml:space="preserve">Subclinical atrial fibrillation prediction based on deep learning and strain analysis using echocardiography</t>
  </si>
  <si>
    <t xml:space="preserve">PMC12722621</t>
  </si>
  <si>
    <t xml:space="preserve">Skull-stripping induces shortcut learning in MRI-based Alzheimer’s disease classification</t>
  </si>
  <si>
    <t xml:space="preserve">PMC11771893</t>
  </si>
  <si>
    <t xml:space="preserve">Classification of CT scan and X-ray dataset based on deep learning and particle swarm optimization</t>
  </si>
  <si>
    <t xml:space="preserve">PMC11729609</t>
  </si>
  <si>
    <t xml:space="preserve">Automatic segmentation model and machine learning model grounded in ultrasound radiomics for distinguishing between low malignant risk and intermediate-high malignant risk of adnexal masses</t>
  </si>
  <si>
    <t xml:space="preserve">PMC12734304</t>
  </si>
  <si>
    <t xml:space="preserve">Lightweight 3D CNN for MRI Analysis in Alzheimer’s Disease: Balancing Accuracy and Efficiency</t>
  </si>
  <si>
    <t xml:space="preserve">PMC12183800</t>
  </si>
  <si>
    <t xml:space="preserve">Quantitative and automatic plan-of-the-day assessment to facilitate adaptive radiotherapy in cervical cancer</t>
  </si>
  <si>
    <t xml:space="preserve">Physics in medicine and biology</t>
  </si>
  <si>
    <t xml:space="preserve">PMC12025211</t>
  </si>
  <si>
    <t xml:space="preserve">Optimization-Incorporated Deep Learning Strategy to Automate L3 Slice Detection and Abdominal Segmentation in Computed Tomography</t>
  </si>
  <si>
    <t xml:space="preserve">PMC12534675</t>
  </si>
  <si>
    <t xml:space="preserve">Predicting pathological subtypes of pure ground-glass nodules using Swin Transformer deep learning model</t>
  </si>
  <si>
    <t xml:space="preserve">PMC12711134</t>
  </si>
  <si>
    <t xml:space="preserve">Large Separable Kernel Attention–Driven Multidimensional Feature Cross-Level Fusion Classification Network of Knee Cartilage Injury: Algorithm Development and Validation</t>
  </si>
  <si>
    <t xml:space="preserve">PMC12855055</t>
  </si>
  <si>
    <t xml:space="preserve">Deep learning and radiomics-based system for early diagnosis of hip synovitis in juvenile idiopathic arthritis</t>
  </si>
  <si>
    <t xml:space="preserve">PMC12731630</t>
  </si>
  <si>
    <t xml:space="preserve">LivSCP: Improving Liver Fibrosis Classification Through Supervised Contrastive Pretraining</t>
  </si>
  <si>
    <t xml:space="preserve">PMC12491050</t>
  </si>
  <si>
    <t xml:space="preserve">Evaluation of recent lightweight deep learning architectures for lung cancer CT classification</t>
  </si>
  <si>
    <t xml:space="preserve">PMC11971367</t>
  </si>
  <si>
    <t xml:space="preserve">A fine-tuned convolutional neural network model for accurate Alzheimer’s disease classification</t>
  </si>
  <si>
    <t xml:space="preserve">PMC12387851</t>
  </si>
  <si>
    <t xml:space="preserve">From Detection to Diagnosis: An Advanced Transfer Learning Pipeline Using YOLO11 with Morphological Post-Processing for Brain Tumor Analysis for MRI Images</t>
  </si>
  <si>
    <t xml:space="preserve">PMC12699262</t>
  </si>
  <si>
    <t xml:space="preserve">PathoEye: A deep learning framework for the whole-slide image analysis of skin tissue</t>
  </si>
  <si>
    <t xml:space="preserve">PMC13223414</t>
  </si>
  <si>
    <t xml:space="preserve">Effective Feature Extraction for Knee Osteoarthritis Detection on X-ray Images using Convolutional Neural Networks</t>
  </si>
  <si>
    <t xml:space="preserve">PMC12523697</t>
  </si>
  <si>
    <t xml:space="preserve">Brain Stroke Classification Using CT Scans with Transformer-Based Models and Explainable AI</t>
  </si>
  <si>
    <t xml:space="preserve">PMC12745478</t>
  </si>
  <si>
    <t xml:space="preserve">Toward accurate Alzheimer’s detection: transfer learning with ResNet50 for MRI-based diagnosis</t>
  </si>
  <si>
    <t xml:space="preserve">PMC11929326</t>
  </si>
  <si>
    <t xml:space="preserve">Machine learning-based radiomics using MRI to differentiate early-stage Duchenne and Becker muscular dystrophy in children</t>
  </si>
  <si>
    <t xml:space="preserve">PMC11953181</t>
  </si>
  <si>
    <t xml:space="preserve">Feasibility of deep learning algorithm in diagnosing lumbar central canal stenosis using abdominal CT</t>
  </si>
  <si>
    <t xml:space="preserve">Skeletal radiology</t>
  </si>
  <si>
    <t xml:space="preserve">PMC12190484</t>
  </si>
  <si>
    <t xml:space="preserve">Coronary artery disease classification using ConvMixer based classifier from CT angiography images</t>
  </si>
  <si>
    <t xml:space="preserve">PMC12237964</t>
  </si>
  <si>
    <t xml:space="preserve">Accurate classification of benign and malignant breast tumors in ultrasound imaging with an enhanced deep learning model</t>
  </si>
  <si>
    <t xml:space="preserve">Frontiers in bioengineering and biotechnology</t>
  </si>
  <si>
    <t xml:space="preserve">PMC12271101</t>
  </si>
  <si>
    <t xml:space="preserve">Deep learning-based method for grading histopathological liver fibrosis in rodent models of metabolic dysfunction-associated steatohepatitis</t>
  </si>
  <si>
    <t xml:space="preserve">PMC11970440</t>
  </si>
  <si>
    <t xml:space="preserve">Employing Squeeze-and-Excitation Architecture in a Fine-Tuned Convolutional Neural Network for Magnetic Resonance Imaging Tumor Classification</t>
  </si>
  <si>
    <t xml:space="preserve">article type 'other'</t>
  </si>
  <si>
    <t xml:space="preserve">PMC11999707</t>
  </si>
  <si>
    <t xml:space="preserve">A comparative study of explainability methods for whole slide classification of lymph node metastases using vision transformers</t>
  </si>
  <si>
    <t xml:space="preserve">PMC12074408</t>
  </si>
  <si>
    <t xml:space="preserve">Multimodal MRI Image Fusion for Early Automatic Staging of Endometrial Cancer</t>
  </si>
  <si>
    <t xml:space="preserve">PMC12154171</t>
  </si>
  <si>
    <t xml:space="preserve">Optimizing CNN-Based Diagnosis of Knee Osteoarthritis: Enhancing Model Accuracy with CleanLab Relabeling</t>
  </si>
  <si>
    <t xml:space="preserve">PMC12204963</t>
  </si>
  <si>
    <t xml:space="preserve">A two-step automatic identification of contrast phases for abdominal CT images based on residual networks</t>
  </si>
  <si>
    <t xml:space="preserve">PMC12088959</t>
  </si>
  <si>
    <t xml:space="preserve">Leveraging spatial dependencies and multi-scale features for automated knee injury detection on MRI diagnosis</t>
  </si>
  <si>
    <t xml:space="preserve">PMC11719945</t>
  </si>
  <si>
    <t xml:space="preserve">Advanced Brain Tumor Classification in MR Images Using Transfer Learning and Pre-Trained Deep CNN Models</t>
  </si>
  <si>
    <t xml:space="preserve">PMC12280878</t>
  </si>
  <si>
    <t xml:space="preserve">OMT and tensor SVD–based deep learning model for segmentation and predicting genetic markers of glioma: A multicenter study</t>
  </si>
  <si>
    <t xml:space="preserve">PMC12074947</t>
  </si>
  <si>
    <t xml:space="preserve">Prediction of prognosis in acute ischemic stroke after mechanical thrombectomy based on multimodal MRI radiomics and deep learning</t>
  </si>
  <si>
    <t xml:space="preserve">PMC12516162</t>
  </si>
  <si>
    <t xml:space="preserve">Automated segmentation of multiple sclerosis lesions, paramagnetic rims, and central vein sign on MRI provides reliable diagnostic biomarkers</t>
  </si>
  <si>
    <t xml:space="preserve">Imaging neuroscience (Cambridge, Mass.)</t>
  </si>
  <si>
    <t xml:space="preserve">PMC12833394</t>
  </si>
  <si>
    <t xml:space="preserve">Enhanced multi-class object detector for bone fracture diagnosis with prescription recommendation</t>
  </si>
  <si>
    <t xml:space="preserve">PMC12245699</t>
  </si>
  <si>
    <t xml:space="preserve">Prostate cancer classification using 3D deep learning and ultrasound video clips: a multicenter study</t>
  </si>
  <si>
    <t xml:space="preserve">PMC12610351</t>
  </si>
  <si>
    <t xml:space="preserve">Automated Detection of Lumbosacral Transitional Vertebrae on Plain Lumbar Radiographs Using a Deep Learning Model</t>
  </si>
  <si>
    <t xml:space="preserve">PMC12691452</t>
  </si>
  <si>
    <t xml:space="preserve">A Robust Framework for Domain-Generalized Classification of Ovarian Cancer Histology Images</t>
  </si>
  <si>
    <t xml:space="preserve">PMC12594325</t>
  </si>
  <si>
    <t xml:space="preserve">Adaptive dual-window enhancement and multi-scale texture prior fusion for robust kidney CT classification</t>
  </si>
  <si>
    <t xml:space="preserve">PMC12565600</t>
  </si>
  <si>
    <t xml:space="preserve">An Adaptive Transfer Learning Framework for Multimodal Autism Spectrum Disorder Diagnosis</t>
  </si>
  <si>
    <t xml:space="preserve">PMC12658776</t>
  </si>
  <si>
    <t xml:space="preserve">Assessment of functional decline in stroke patients using 3D deep learning and dynamic functional connectivity based on resting-state fMRI</t>
  </si>
  <si>
    <t xml:space="preserve">PMC12141237</t>
  </si>
  <si>
    <t xml:space="preserve">Artificial intelligence based surgical support for experimental laparoscopic Nissen fundoplication</t>
  </si>
  <si>
    <t xml:space="preserve">Frontiers in pediatrics</t>
  </si>
  <si>
    <t xml:space="preserve">PMC12457126</t>
  </si>
  <si>
    <t xml:space="preserve">Development of a deep learning model for automated diagnosis of neuromuscular diseases using ultrasound imaging</t>
  </si>
  <si>
    <t xml:space="preserve">PMC12222156</t>
  </si>
  <si>
    <t xml:space="preserve">Transfer deep learning and explainable AI framework for brain tumor and Alzheimer's detection across multiple datasets</t>
  </si>
  <si>
    <t xml:space="preserve">PMC12141739</t>
  </si>
  <si>
    <t xml:space="preserve">A method for spatial interpretation of weakly supervised deep learning models in computational pathology</t>
  </si>
  <si>
    <t xml:space="preserve">PMC11941083</t>
  </si>
  <si>
    <t xml:space="preserve">A Novel Diagnostic Framework with an Optimized Ensemble of Vision Transformers and Convolutional Neural Networks for Enhanced Alzheimer’s Disease Detection in Medical Imaging</t>
  </si>
  <si>
    <t xml:space="preserve">PMC11922808</t>
  </si>
  <si>
    <t xml:space="preserve">Towards Clinical Diagnoses: Classifying Alzheimer's Disease Using Single fMRI, Small Datasets, and Transfer Learning</t>
  </si>
  <si>
    <t xml:space="preserve">Brain and behavior</t>
  </si>
  <si>
    <t xml:space="preserve">PMC12209302</t>
  </si>
  <si>
    <t xml:space="preserve">Comparative analysis of convolutional neural networks and transformer architectures for breast cancer histopathological image classification</t>
  </si>
  <si>
    <t xml:space="preserve">PMC12391760</t>
  </si>
  <si>
    <t xml:space="preserve">Automatic labels are as effective as manual labels in digital pathology images classification with deep learning</t>
  </si>
  <si>
    <t xml:space="preserve">PMC12511338</t>
  </si>
  <si>
    <t xml:space="preserve">A robust deep learning classifier for screening multiple retinal diseases on optical coherence tomography</t>
  </si>
  <si>
    <t xml:space="preserve">PMC11825062</t>
  </si>
  <si>
    <t xml:space="preserve">Diagnostic of fatty liver using radiomics and deep learning models on non-contrast abdominal CT</t>
  </si>
  <si>
    <t xml:space="preserve">PMC12310404</t>
  </si>
  <si>
    <t xml:space="preserve">Leveraging Transfer Learning and Attention Mechanisms for a Computed Tomography Lung Cancer Classification Model</t>
  </si>
  <si>
    <t xml:space="preserve">PMC12499545</t>
  </si>
  <si>
    <t xml:space="preserve">A deep learning model based on chest CT to predict benign and malignant breast masses and axillary lymph node metastasis</t>
  </si>
  <si>
    <t xml:space="preserve">PMC12434915</t>
  </si>
  <si>
    <t xml:space="preserve">Exploring deep learning and hybrid approaches in molecular subgrouping and prognostic-related genetic signatures of medulloblastoma</t>
  </si>
  <si>
    <t xml:space="preserve">Chinese neurosurgical journal</t>
  </si>
  <si>
    <t xml:space="preserve">PMC12565728</t>
  </si>
  <si>
    <t xml:space="preserve">SEPoolConvNeXt: A Deep Learning Framework for Automated Classification of Neonatal Brain Development Using T1- and T2-Weighted MRI</t>
  </si>
  <si>
    <t xml:space="preserve">PMC12024523</t>
  </si>
  <si>
    <t xml:space="preserve">Predicting the Evolution of Lung Squamous Cell Carcinoma In Situ Using Computational Pathology</t>
  </si>
  <si>
    <t xml:space="preserve">PMC12531632</t>
  </si>
  <si>
    <t xml:space="preserve">Explainable AI-enabled hybrid deep learning architecture for breast cancer detection</t>
  </si>
  <si>
    <t xml:space="preserve">PMC12524272</t>
  </si>
  <si>
    <t xml:space="preserve">Automatic Diagnosis, Classification, and Segmentation of Abdominal Aortic Aneurysm and Dissection from Computed Tomography Images</t>
  </si>
  <si>
    <t xml:space="preserve">PMC12521981</t>
  </si>
  <si>
    <t xml:space="preserve">Multi-phase deep learning model for automated disease classification from cardiac cine MRI</t>
  </si>
  <si>
    <t xml:space="preserve">Journal of the Royal Society, Interface</t>
  </si>
  <si>
    <t xml:space="preserve">PMC12385503</t>
  </si>
  <si>
    <t xml:space="preserve">An Explainable Approach to Parkinson’s Diagnosis Using the Contrastive Explanation Method—CEM</t>
  </si>
  <si>
    <t xml:space="preserve">PMC12559157</t>
  </si>
  <si>
    <t xml:space="preserve">Optimizing MRI sequence classification performance: insights from domain shift analysis</t>
  </si>
  <si>
    <t xml:space="preserve">PMC12832843</t>
  </si>
  <si>
    <t xml:space="preserve">Deep learning and machine learning integration of radiomics and transcriptomics predicts response-adapted radiotherapy outcome and radiosensitivity in resectable locally advanced laryngeal carcinoma</t>
  </si>
  <si>
    <t xml:space="preserve">PMC12468348</t>
  </si>
  <si>
    <t xml:space="preserve">A Multi-Model Image Enhancement and Tailored U-Net Architecture for Robust Diabetic Retinopathy Grading</t>
  </si>
  <si>
    <t xml:space="preserve">PMC12071678</t>
  </si>
  <si>
    <t xml:space="preserve">Explainable Artificial Intelligence for Diagnosis and Staging of Liver Cirrhosis Using Stacked Ensemble and Multi-Task Learning</t>
  </si>
  <si>
    <t xml:space="preserve">PMC11912691</t>
  </si>
  <si>
    <t xml:space="preserve">LI-RADS-based hepatocellular carcinoma risk mapping using contrast-enhanced MRI and self-configuring deep learning</t>
  </si>
  <si>
    <t xml:space="preserve">PMC12109275</t>
  </si>
  <si>
    <t xml:space="preserve">Automated Early-Stage Glaucoma Detection Using a Robust Concatenated AI Model</t>
  </si>
  <si>
    <t xml:space="preserve">PMC11724494</t>
  </si>
  <si>
    <t xml:space="preserve">Not seeing the trees for the forest. The impact of neighbours on graph-based configurations in histopathology</t>
  </si>
  <si>
    <t xml:space="preserve">BMC bioinformatics</t>
  </si>
  <si>
    <t xml:space="preserve">PMC13266693</t>
  </si>
  <si>
    <t xml:space="preserve">Enhanced Pneumonia Detection in Chest x-rays using Hybrid Convolutional and Vision Transformer Networks</t>
  </si>
  <si>
    <t xml:space="preserve">PMC12708528</t>
  </si>
  <si>
    <t xml:space="preserve">Anatomically refined entorhinal cortex segmentation improves MRI-based early diagnosis of Alzheimer’s disease</t>
  </si>
  <si>
    <t xml:space="preserve">PMC12307509</t>
  </si>
  <si>
    <t xml:space="preserve">Predictive study of machine learning combined with serum Neuregulin 4 levels for hyperthyroidism in type II diabetes mellitus</t>
  </si>
  <si>
    <t xml:space="preserve">PMC11857081</t>
  </si>
  <si>
    <t xml:space="preserve">Design of an Optimal Convolutional Neural Network Architecture for MRI Brain Tumor Classification by Exploiting Particle Swarm Optimization</t>
  </si>
  <si>
    <t xml:space="preserve">PMC12365901</t>
  </si>
  <si>
    <t xml:space="preserve">Bridging the clinical gap: Confidence informed IDH prediction in brain gliomas using MRI and deep learning</t>
  </si>
  <si>
    <t xml:space="preserve">Neuro-oncology advances</t>
  </si>
  <si>
    <t xml:space="preserve">PMC12072425</t>
  </si>
  <si>
    <t xml:space="preserve">Identifying Key Predictors of Sarcopenic Obesity in Italian Severely Obese Older Adults: Deep Learning Approach</t>
  </si>
  <si>
    <t xml:space="preserve">PMC13060574</t>
  </si>
  <si>
    <t xml:space="preserve">DSAM: A deep learning framework for analyzing temporal and spatial dynamics in brain networks</t>
  </si>
  <si>
    <t xml:space="preserve">Medical image analysis</t>
  </si>
  <si>
    <t xml:space="preserve">PMC12135985</t>
  </si>
  <si>
    <t xml:space="preserve">Prediction of the space group and cell volume by training a convolutional neural network with primitive ‘ideal’ diffraction profiles and its application to ‘real’ experimental data</t>
  </si>
  <si>
    <t xml:space="preserve">Journal of applied crystallography</t>
  </si>
  <si>
    <t xml:space="preserve">PMC12694168</t>
  </si>
  <si>
    <t xml:space="preserve">Few-Shot and Zero-Shot Learning for MRI Brain Tumor Classification Using CLIP and Vision Transformers</t>
  </si>
  <si>
    <t xml:space="preserve">PMC11841465</t>
  </si>
  <si>
    <t xml:space="preserve">A pelvis MR transformer-based deep learning model for predicting lung metastases risk in patients with rectal cancer</t>
  </si>
  <si>
    <t xml:space="preserve">PMC11903279</t>
  </si>
  <si>
    <t xml:space="preserve">Explainable AI in medical imaging: an interpretable and collaborative federated learning model for brain tumor classification</t>
  </si>
  <si>
    <t xml:space="preserve">PMC12025728</t>
  </si>
  <si>
    <t xml:space="preserve">FCN-PD: An Advanced Deep Learning Framework for Parkinson’s Disease Diagnosis Using MRI Data</t>
  </si>
  <si>
    <t xml:space="preserve">PMC12453851</t>
  </si>
  <si>
    <t xml:space="preserve">Optimizing a 3D convolutional neural network to detect Alzheimer’s disease based on MRI</t>
  </si>
  <si>
    <t xml:space="preserve">PMC11706309</t>
  </si>
  <si>
    <t xml:space="preserve">Deep Learning‐Enabled Automated Quality Control for Liver MR Elastography: Initial Results</t>
  </si>
  <si>
    <t xml:space="preserve">Journal of magnetic resonance imaging : JMRI</t>
  </si>
  <si>
    <t xml:space="preserve">PMC12798188</t>
  </si>
  <si>
    <t xml:space="preserve">The effect of weight loss on brain age in schizophrenia spectrum disorders</t>
  </si>
  <si>
    <t xml:space="preserve">PLOS mental health</t>
  </si>
  <si>
    <t xml:space="preserve">PMC12155752</t>
  </si>
  <si>
    <t xml:space="preserve">Automatic identification of Parkinsonism using clinical multi-contrast brain MRI: a large self-supervised vision foundation model strategy</t>
  </si>
  <si>
    <t xml:space="preserve">EBioMedicine</t>
  </si>
  <si>
    <t xml:space="preserve">PMC12364678</t>
  </si>
  <si>
    <t xml:space="preserve">Automated interpretation of PD-L1 CPS based on multi-AI models integration strategy in gastric cancer</t>
  </si>
  <si>
    <t xml:space="preserve">PMC12647217</t>
  </si>
  <si>
    <t xml:space="preserve">Dynamic graph-based quantum feature selection for accurate fetal plane classification in ultrasound imaging</t>
  </si>
  <si>
    <t xml:space="preserve">PMC12588513</t>
  </si>
  <si>
    <t xml:space="preserve">Interpretable weakly-supervised learning through kernel density matrices: A digital pathology use case</t>
  </si>
  <si>
    <t xml:space="preserve">PMC12680758</t>
  </si>
  <si>
    <t xml:space="preserve">Alzheimer disease predicting from clinical and MRI data using DeepALZNET dual pathway framework</t>
  </si>
  <si>
    <t xml:space="preserve">PMC12691229</t>
  </si>
  <si>
    <t xml:space="preserve">Multimodal Deep Learning-Based Classification of Breast Non-Mass Lesions Using Gray Scale and Color Doppler Ultrasound</t>
  </si>
  <si>
    <t xml:space="preserve">PMC12560293</t>
  </si>
  <si>
    <t xml:space="preserve">Automated FAZ segmentation and diabetic retinopathy classification using OCTA images</t>
  </si>
  <si>
    <t xml:space="preserve">BMC ophthalmology</t>
  </si>
  <si>
    <t xml:space="preserve">PMC12545830</t>
  </si>
  <si>
    <t xml:space="preserve">HER2-IHC-40x: A high-resolution histopathology dataset for HER2 IHC scoring in breast cancer</t>
  </si>
  <si>
    <t xml:space="preserve">Data in brief</t>
  </si>
  <si>
    <t xml:space="preserve">article type 'data-paper'</t>
  </si>
  <si>
    <t xml:space="preserve">PMC11898425</t>
  </si>
  <si>
    <t xml:space="preserve">Secure Hybrid Deep Learning for MRI-Based Brain Tumor Detection in Smart Medical IoT Systems</t>
  </si>
  <si>
    <t xml:space="preserve">PMC12686268</t>
  </si>
  <si>
    <t xml:space="preserve">Integrating CT-based radiomics and deep learning for invasive prediction of ground-glass nodules in lung adenocarcinoma: a multicohort study</t>
  </si>
  <si>
    <t xml:space="preserve">PMC12192951</t>
  </si>
  <si>
    <t xml:space="preserve">A novel brain tumor magnetic resonance imaging dataset (Gazi Brains 2020): initial benchmark results and comprehensive analysis</t>
  </si>
  <si>
    <t xml:space="preserve">PMC12651976</t>
  </si>
  <si>
    <t xml:space="preserve">Decision-Support for Restorative Dentistry: Hybrid Optimization Enhances Detection on Panoramic Radiographs</t>
  </si>
  <si>
    <t xml:space="preserve">Healthcare (Basel, Switzerland)</t>
  </si>
  <si>
    <t xml:space="preserve">PMC12729749</t>
  </si>
  <si>
    <t xml:space="preserve">Translational deep learning models for risk stratification to predict prognosis and immunotherapy response in gastric cancer using digital pathology</t>
  </si>
  <si>
    <t xml:space="preserve">Journal of translational medicine</t>
  </si>
  <si>
    <t xml:space="preserve">PMC12907448</t>
  </si>
  <si>
    <t xml:space="preserve">Graph-enhanced multimodal fusion of vascular biomarkers and deep features for diabetic retinopathy detection</t>
  </si>
  <si>
    <t xml:space="preserve">PMC12823827</t>
  </si>
  <si>
    <t xml:space="preserve">A dual-model AI framework for Alzheimer’s disease diagnosis using clinical and MRI data</t>
  </si>
  <si>
    <t xml:space="preserve">PMC12133262</t>
  </si>
  <si>
    <t xml:space="preserve">Predicting ustekinumab treatment response in Crohn’s disease using pre-treatment biopsy images</t>
  </si>
  <si>
    <t xml:space="preserve">Bioinformatics (Oxford, England)</t>
  </si>
  <si>
    <t xml:space="preserve">PMC12691961</t>
  </si>
  <si>
    <t xml:space="preserve">Evaluation of Model Performance and Clinical Usefulness in Automated Rectal Segmentation in CT for Prostate and Cervical Cancer</t>
  </si>
  <si>
    <t xml:space="preserve">PMC12454378</t>
  </si>
  <si>
    <t xml:space="preserve">An MRI based histogram oriented gradient and deep learning approach for accurate classification of mild cognitive impairment and Alzheimer’s disease</t>
  </si>
  <si>
    <t xml:space="preserve">PMC12733990</t>
  </si>
  <si>
    <t xml:space="preserve">DiagNeXt: A Two-Stage Attention-Guided ConvNeXt Framework for Kidney Pathology Segmentation and Classification</t>
  </si>
  <si>
    <t xml:space="preserve">PMC12518381</t>
  </si>
  <si>
    <t xml:space="preserve">Identifying visible tissue in intraoperative ultrasound: a method and application</t>
  </si>
  <si>
    <t xml:space="preserve">International journal of computer assisted radiology and surgery</t>
  </si>
  <si>
    <t xml:space="preserve">PMC12516016</t>
  </si>
  <si>
    <t xml:space="preserve">Automated Detection of Bone Fractures in Muscle X‐Ray Images Using Multiband‐Frequency Aware Deep Representation Learning</t>
  </si>
  <si>
    <t xml:space="preserve">Healthcare technology letters</t>
  </si>
  <si>
    <t xml:space="preserve">article type 'brief-report'</t>
  </si>
  <si>
    <t xml:space="preserve">PMC12808379</t>
  </si>
  <si>
    <t xml:space="preserve">A CT-based deep learning model to predict local recurrence-free survival in primary retroperitoneal sarcoma</t>
  </si>
  <si>
    <t xml:space="preserve">PMC12660356</t>
  </si>
  <si>
    <t xml:space="preserve">Feature fusion context attention gate UNet for detection of polycystic ovary syndrome</t>
  </si>
  <si>
    <t xml:space="preserve">PMC12564139</t>
  </si>
  <si>
    <t xml:space="preserve">Precision Through Detail: Radiomics and Windowing Techniques as Key for Detecting Dens Axis Fractures in CT Scans</t>
  </si>
  <si>
    <t xml:space="preserve">PMC12565242</t>
  </si>
  <si>
    <t xml:space="preserve">ILD-Slider: A Parameter-Efficient Model for Identifying Progressive Fibrosing Interstitial Lung Disease from Chest CT Slices</t>
  </si>
  <si>
    <t xml:space="preserve">PMC12629890</t>
  </si>
  <si>
    <t xml:space="preserve">Precise Electrode Co‐Alignment in Deep Brain Stimulation Fusing Neuroimaging and Electrophysiology</t>
  </si>
  <si>
    <t xml:space="preserve">The European journal of neuroscience</t>
  </si>
  <si>
    <t xml:space="preserve">PMC12847453</t>
  </si>
  <si>
    <t xml:space="preserve">Effective deep convolutional neural network with attention mechanism for Alzheimer disease classification</t>
  </si>
  <si>
    <t xml:space="preserve">PMC12664667</t>
  </si>
  <si>
    <t xml:space="preserve">Automated Technique for Brain Tumor Detection From Magnetic Resonance Imaging Based on Local Features, Ensemble Classification, and YOLOv3</t>
  </si>
  <si>
    <t xml:space="preserve">BioMed research international</t>
  </si>
  <si>
    <t xml:space="preserve">PMC11954740</t>
  </si>
  <si>
    <t xml:space="preserve">A deep-learning algorithm (AIFORIA) for classification of hematopoietic cells in bone marrow aspirate smears based on nine cell classes—a feasible approach for routine screening?</t>
  </si>
  <si>
    <t xml:space="preserve">Journal of hematopathology</t>
  </si>
  <si>
    <t xml:space="preserve">PMC12052540</t>
  </si>
  <si>
    <t xml:space="preserve">Enhanced breast cancer diagnosis using modified InceptionNet-V3: a deep learning approach for ultrasound image classification</t>
  </si>
  <si>
    <t xml:space="preserve">PMC13223436</t>
  </si>
  <si>
    <t xml:space="preserve">SqueezeViX-Net with SOAE: A Prevailing Deep Learning Framework for Accurate Pneumonia Classification using X-Ray and CT Imaging Modalities</t>
  </si>
  <si>
    <t xml:space="preserve">PMC12028011</t>
  </si>
  <si>
    <t xml:space="preserve">Assessing Cancer Presence in Prostate MRI Using Multi-Encoder Cross-Attention Networks</t>
  </si>
  <si>
    <t xml:space="preserve">PMC12383388</t>
  </si>
  <si>
    <t xml:space="preserve">Automated Mucormycosis Diagnosis from Paranasal CT Using ResNet50 and ConvNeXt Small</t>
  </si>
  <si>
    <t xml:space="preserve">PMC12546431</t>
  </si>
  <si>
    <t xml:space="preserve">Artificial intelligence for multi-time-point arterial phase contrast-enhanced MRI profiling to predict prognosis after transarterial chemoembolization in hepatocellular carcinoma</t>
  </si>
  <si>
    <t xml:space="preserve">PMC12565056</t>
  </si>
  <si>
    <t xml:space="preserve">An Automated Diagnosis of Myopia from an Optic Disc Image Using YOLOv11: A Feasible Approach for Non-Expert ECPs in Computer Vision</t>
  </si>
  <si>
    <t xml:space="preserve">PMC12171332</t>
  </si>
  <si>
    <t xml:space="preserve">Deep learning-based image classification for AI-assisted integration of pathology and radiology in medical imaging</t>
  </si>
  <si>
    <t xml:space="preserve">PMC12776568</t>
  </si>
  <si>
    <t xml:space="preserve">Accuracy and Reliability of Multimodal Imaging in Diagnosing Knee Sports Injuries</t>
  </si>
  <si>
    <t xml:space="preserve">PMC12024531</t>
  </si>
  <si>
    <t xml:space="preserve">A Lightweight Machine Learning Model for High Precision Gastrointestinal Stromal Tumors Identification</t>
  </si>
  <si>
    <t xml:space="preserve">PMC12675461</t>
  </si>
  <si>
    <t xml:space="preserve">XAI-BT-EdgeNet: explainable edge-aware deep learning with squeeze-and-excitation for brain tumor detection and prediction</t>
  </si>
  <si>
    <t xml:space="preserve">PMC12731716</t>
  </si>
  <si>
    <t xml:space="preserve">A Lightweight Hybrid Deep Learning Model for Tuberculosis Detection from Chest X-Rays</t>
  </si>
  <si>
    <t xml:space="preserve">PMC12528745</t>
  </si>
  <si>
    <t xml:space="preserve">Efficient hybrid fuzzy weighted 3D FCNN with TSO PSO optimization for accurate multi modal MRI brain tumor classification</t>
  </si>
  <si>
    <t xml:space="preserve">PMC12651589</t>
  </si>
  <si>
    <t xml:space="preserve">XBusNet: Text-Guided Breast Ultrasound Segmentation via Multimodal Vision–Language Learning</t>
  </si>
  <si>
    <t xml:space="preserve">PMC12177086</t>
  </si>
  <si>
    <t xml:space="preserve">Applying a multi-task and multi-instance framework to predict axillary lymph node metastases in breast cancer</t>
  </si>
  <si>
    <t xml:space="preserve">NPJ precision oncology</t>
  </si>
  <si>
    <t xml:space="preserve">PMC12642030</t>
  </si>
  <si>
    <t xml:space="preserve">MRI-based deep learning model for early TACE response prediction in HCC: multicenter validation with biological insights</t>
  </si>
  <si>
    <t xml:space="preserve">PMC11836373</t>
  </si>
  <si>
    <t xml:space="preserve">HDL-ACO hybrid deep learning and ant colony optimization for ocular optical coherence tomography image classification</t>
  </si>
  <si>
    <t xml:space="preserve">PMC12428199</t>
  </si>
  <si>
    <t xml:space="preserve">Multi-Class Classification of Breast Ultrasound Images Using Vision Transformer-Based Ensemble Learning</t>
  </si>
  <si>
    <t xml:space="preserve">PMC12333992</t>
  </si>
  <si>
    <t xml:space="preserve">Liver MRI proton density fat fraction inference from contrast enhanced CT images using deep learning: A proof-of-concept study</t>
  </si>
  <si>
    <t xml:space="preserve">PMC12835897</t>
  </si>
  <si>
    <t xml:space="preserve">Deep learning for multitask prediction on thyroid nodule frozen sections</t>
  </si>
  <si>
    <t xml:space="preserve">PMC12708817</t>
  </si>
  <si>
    <t xml:space="preserve">Garden classification of femoral neck fracture using deep-learning algorithm</t>
  </si>
  <si>
    <t xml:space="preserve">PMC11868628</t>
  </si>
  <si>
    <t xml:space="preserve">A hybrid multi model artificial intelligence approach for glaucoma screening using fundus images</t>
  </si>
  <si>
    <t xml:space="preserve">NPJ digital medicine</t>
  </si>
  <si>
    <t xml:space="preserve">PMC12527036</t>
  </si>
  <si>
    <t xml:space="preserve">Images Versus Videos in Contrast-Enhanced Ultrasound for Computer-Aided Diagnosis</t>
  </si>
  <si>
    <t xml:space="preserve">PMC12373713</t>
  </si>
  <si>
    <t xml:space="preserve">Inductive and Transfer Learning‐Based Hybrid Model Techniques for Accurate and Automated Diagnosis of Neurological Diseases</t>
  </si>
  <si>
    <t xml:space="preserve">PMC12092909</t>
  </si>
  <si>
    <t xml:space="preserve">Deep Learning–Based Estimation of Radiographic Position to Automatically Set Up the X-Ray Prime Factors</t>
  </si>
  <si>
    <t xml:space="preserve">PMC12555394</t>
  </si>
  <si>
    <t xml:space="preserve">Enhancing COVID-19 classification of X-ray images with hybrid deep transfer learning models</t>
  </si>
  <si>
    <t xml:space="preserve">PMC12597869</t>
  </si>
  <si>
    <t xml:space="preserve">Clinical-grade AI model for molecular subtyping of endometrial cancer: a multi-center cohort study in China</t>
  </si>
  <si>
    <t xml:space="preserve">Molecular biomedicine</t>
  </si>
  <si>
    <t xml:space="preserve">PMC11732976</t>
  </si>
  <si>
    <t xml:space="preserve">A generalised computer vision model for improved glaucoma screening using fundus images</t>
  </si>
  <si>
    <t xml:space="preserve">Eye (London, England)</t>
  </si>
  <si>
    <t xml:space="preserve">PMC12509238</t>
  </si>
  <si>
    <t xml:space="preserve">A computer‐aided diagnosis (CAD) system based on convolutional neural networks for lung cancer diagnosis from 2D [18F]‐ PET/CT images</t>
  </si>
  <si>
    <t xml:space="preserve">Journal of applied clinical medical physics</t>
  </si>
  <si>
    <t xml:space="preserve">PMC12390166</t>
  </si>
  <si>
    <t xml:space="preserve">RetinoDeep: Leveraging Deep Learning Models for Advanced Retinopathy Diagnostics</t>
  </si>
  <si>
    <t xml:space="preserve">PMC12680636</t>
  </si>
  <si>
    <t xml:space="preserve">Early detection of Alzheimer’s disease progression: comparative evaluation of deep learning models</t>
  </si>
  <si>
    <t xml:space="preserve">PMC11759462</t>
  </si>
  <si>
    <t xml:space="preserve">Robust prostate disease classification using transformers with discrete representations</t>
  </si>
  <si>
    <t xml:space="preserve">PMC12453788</t>
  </si>
  <si>
    <t xml:space="preserve">Comparison of EfficientNet CNN models for multi-label chest X-ray disease diagnosis</t>
  </si>
  <si>
    <t xml:space="preserve">PMC12476419</t>
  </si>
  <si>
    <t xml:space="preserve">Multi-task deep learning for automatic image segmentation and treatment response assessment in metastatic ovarian cancer</t>
  </si>
  <si>
    <t xml:space="preserve">PMC12247529</t>
  </si>
  <si>
    <t xml:space="preserve">A nnU-Net-based automatic segmentation of FCD type II lesions in 3D FLAIR MRI images</t>
  </si>
  <si>
    <t xml:space="preserve">PMC11927916</t>
  </si>
  <si>
    <t xml:space="preserve">Optimizing deep learning models for glaucoma screening with vision transformers for resource efficiency and the pie augmentation method</t>
  </si>
  <si>
    <t xml:space="preserve">PMC12526791</t>
  </si>
  <si>
    <t xml:space="preserve">WeldVGG: A VGG-Inspired Deep Learning Model for Weld Defect Classification from Radiographic Images with Visual Interpretability</t>
  </si>
  <si>
    <t xml:space="preserve">PMC11936986</t>
  </si>
  <si>
    <t xml:space="preserve">SympCoughNet: symptom assisted audio-based COVID-19 detection</t>
  </si>
  <si>
    <t xml:space="preserve">PMC11856859</t>
  </si>
  <si>
    <t xml:space="preserve">A Methodological Framework for AI-Assisted Diagnosis of Ovarian Masses Using CT and MR Imaging</t>
  </si>
  <si>
    <t xml:space="preserve">PMC12570530</t>
  </si>
  <si>
    <t xml:space="preserve">A pipelined, resource-efficient convolutional neural network architecture for detecting and diagnosing Alzheimer's disease using brain sMRI</t>
  </si>
  <si>
    <t xml:space="preserve">PMC12691345</t>
  </si>
  <si>
    <t xml:space="preserve">Ordinal Regression Research Based on Dual Loss Function—An Example on Lumbar Vertebra Classification in CT Images</t>
  </si>
  <si>
    <t xml:space="preserve">PMC12481068</t>
  </si>
  <si>
    <t xml:space="preserve">A dataset of lung ultrasound images for automated AI-based lung disease classification</t>
  </si>
  <si>
    <t xml:space="preserve">PMC12504877</t>
  </si>
  <si>
    <t xml:space="preserve">VFM-SSL-BMADCC-Framework: vision foundation model and self-supervised learning based automated framework for differential cell counts on whole-slide bone marrow aspirate smears</t>
  </si>
  <si>
    <t xml:space="preserve">PMC12456844</t>
  </si>
  <si>
    <t xml:space="preserve">Trade-Off Analysis of Classical Machine Learning and Deep Learning Models for Robust Brain Tumor Detection: Benchmark Study</t>
  </si>
  <si>
    <t xml:space="preserve">JMIR AI</t>
  </si>
  <si>
    <t xml:space="preserve">PMC11815955</t>
  </si>
  <si>
    <t xml:space="preserve">Deep Learning-Enhanced Diagnosis of Sow Pregnancy Through Low-Frequency Ultrasound Imaging</t>
  </si>
  <si>
    <t xml:space="preserve">PMC11876936</t>
  </si>
  <si>
    <t xml:space="preserve">Development of an MRI based artificial intelligence model for the identification of underlying atrial fibrillation after ischemic stroke: a multicenter proof-of-concept analysis</t>
  </si>
  <si>
    <t xml:space="preserve">PMC12561617</t>
  </si>
  <si>
    <t xml:space="preserve">Brain Tumor Classification in MRI Scans Using Edge Computing and a Shallow Attention-Guided CNN</t>
  </si>
  <si>
    <t xml:space="preserve">PMC12177113</t>
  </si>
  <si>
    <t xml:space="preserve">Quality appraisal of radiomics-based studies on chondrosarcoma using METhodological RadiomICs Score (METRICS) and Radiomics Quality Score (RQS)</t>
  </si>
  <si>
    <t xml:space="preserve">PMC12622268</t>
  </si>
  <si>
    <t xml:space="preserve">Artificial Intelligence-Led Whole Coronary Artery OCT Analysis; Validation and Identification of Drug Efficacy and Higher-Risk Plaques</t>
  </si>
  <si>
    <t xml:space="preserve">Circulation. Cardiovascular imaging</t>
  </si>
  <si>
    <t xml:space="preserve">PMC12331667</t>
  </si>
  <si>
    <t xml:space="preserve">Integrated radiomics and deep learning model for identifying medullary sponge kidney stones</t>
  </si>
  <si>
    <t xml:space="preserve">PMC12169524</t>
  </si>
  <si>
    <t xml:space="preserve">RRFNet: A free-anchor brain tumor detection and classification network based on reparameterization technology</t>
  </si>
  <si>
    <t xml:space="preserve">PMC12732170</t>
  </si>
  <si>
    <t xml:space="preserve">Deep Learning-Assisted Detection and Classification of Thymoma Tumors in CT Scans</t>
  </si>
  <si>
    <t xml:space="preserve">PMC12650834</t>
  </si>
  <si>
    <t xml:space="preserve">Hybrid State–Space and Vision Transformer Framework for Fetal Ultrasound Plane Classification in Prenatal Diagnostics</t>
  </si>
  <si>
    <t xml:space="preserve">PMC12000039</t>
  </si>
  <si>
    <t xml:space="preserve">A lightweight multi-deep learning framework for accurate diabetic retinopathy detection and multi-level severity identification</t>
  </si>
  <si>
    <t xml:space="preserve">PMC12593452</t>
  </si>
  <si>
    <t xml:space="preserve">CausalX-Net: a causality-guided explainable segmentation network for brain tumors</t>
  </si>
  <si>
    <t xml:space="preserve">PMC12546231</t>
  </si>
  <si>
    <t xml:space="preserve">Automated AI detection of thoracic aortic dissection on CT imaging</t>
  </si>
  <si>
    <t xml:space="preserve">PMC12385457</t>
  </si>
  <si>
    <t xml:space="preserve">Hybrid of VGG-16 and FTVT-b16 Models to Enhance Brain Tumors Classification Using MRI Images</t>
  </si>
  <si>
    <t xml:space="preserve">PMC12287020</t>
  </si>
  <si>
    <t xml:space="preserve">Deep learning-assisted diagnosis of liver tumors using non-contrast magnetic resonance imaging: a multicenter study</t>
  </si>
  <si>
    <t xml:space="preserve">PMC11971837</t>
  </si>
  <si>
    <t xml:space="preserve">Multi-dimensional interpretable deep learning-radiomics based on intra-tumoral and spatial habitat for preoperative prediction of thymic epithelial tumours risk categorisation</t>
  </si>
  <si>
    <t xml:space="preserve">Acta oncologica (Stockholm, Sweden)</t>
  </si>
  <si>
    <t xml:space="preserve">PMC12063847</t>
  </si>
  <si>
    <t xml:space="preserve">Brain tumor classification using MRI images and deep learning techniques</t>
  </si>
  <si>
    <t xml:space="preserve">PMC12851946</t>
  </si>
  <si>
    <t xml:space="preserve">Explainable AI for classifying vertebral fracture histology in digital spine pathology</t>
  </si>
  <si>
    <t xml:space="preserve">PMC12705568</t>
  </si>
  <si>
    <t xml:space="preserve">An advanced multimodal image fusion model for accurate detection of Alzheimer's disease using MRI and PET</t>
  </si>
  <si>
    <t xml:space="preserve">Frontiers in medical technology</t>
  </si>
  <si>
    <t xml:space="preserve">PMC12188138</t>
  </si>
  <si>
    <t xml:space="preserve">A Deep Learning Model for Identifying the Risk of Mesenteric Malperfusion in Acute Aortic Dissection Using Initial Diagnostic Data: Algorithm Development and Validation</t>
  </si>
  <si>
    <t xml:space="preserve">Journal of medical Internet research</t>
  </si>
  <si>
    <t xml:space="preserve">PMC12603148</t>
  </si>
  <si>
    <t xml:space="preserve">Automated detection of radiolucent foreign body aspiration on chest CT using deep learning</t>
  </si>
  <si>
    <t xml:space="preserve">PMC12293116</t>
  </si>
  <si>
    <t xml:space="preserve">A Multi-Modal Deep Learning Approach for Predicting Eligibility for Adaptive Radiation Therapy in Nasopharyngeal Carcinoma Patients</t>
  </si>
  <si>
    <t xml:space="preserve">PMC11762182</t>
  </si>
  <si>
    <t xml:space="preserve">FundusNet: A Deep-Learning Approach for Fast Diagnosis of Neurodegenerative and Eye Diseases Using Fundus Images</t>
  </si>
  <si>
    <t xml:space="preserve">PMC12098364</t>
  </si>
  <si>
    <t xml:space="preserve">Diagnostic precision of a deep learning algorithm for the classification of non-contrast brain CT reports</t>
  </si>
  <si>
    <t xml:space="preserve">PMC12738869</t>
  </si>
  <si>
    <t xml:space="preserve">Knowledge-enhanced AI drives diagnosis of multiple retinal diseases in fundus fluorescein angiography</t>
  </si>
  <si>
    <t xml:space="preserve">PMC11887235</t>
  </si>
  <si>
    <t xml:space="preserve">LoG-staging: a rectal cancer staging method with LoG operator based on maximization of mutual information</t>
  </si>
  <si>
    <t xml:space="preserve">PMC12658185</t>
  </si>
  <si>
    <t xml:space="preserve">LightMG-Net: an efficient lightweight deep neural network for multiclass grading of retinal detachment using handcrafted statistical mechanisms</t>
  </si>
  <si>
    <t xml:space="preserve">PMC12354714</t>
  </si>
  <si>
    <t xml:space="preserve">Development of a deep learning algorithm for radiographic detection of syndesmotic instability in ankle fractures with intraoperative validation</t>
  </si>
  <si>
    <t xml:space="preserve">PMC12729827</t>
  </si>
  <si>
    <t xml:space="preserve">Classification of Osteonecrosis of the Femoral Head Stage on Radiographic Images Using Deep Learning Techniques</t>
  </si>
  <si>
    <t xml:space="preserve">PMC12500497</t>
  </si>
  <si>
    <t xml:space="preserve">Evaluating deep learning approaches for AI-assisted lung ultrasound diagnosis: an international multi-center and multi-scanner study</t>
  </si>
  <si>
    <t xml:space="preserve">The ultrasound journal</t>
  </si>
  <si>
    <t xml:space="preserve">PMC12516837</t>
  </si>
  <si>
    <t xml:space="preserve">A mixture of experts (MoE) model to improve AI-based computational pathology prediction performance under variable levels of image blur</t>
  </si>
  <si>
    <t xml:space="preserve">PMC12675158</t>
  </si>
  <si>
    <t xml:space="preserve">Classifying abnormalities in chest radiographs from Vietnam using deep learning for early detection of cardiopulmonary diseases</t>
  </si>
  <si>
    <t xml:space="preserve">PMC11763925</t>
  </si>
  <si>
    <t xml:space="preserve">Impact of Dataset Size on 3D CNN Performance in Intracranial Hemorrhage Classification</t>
  </si>
  <si>
    <t xml:space="preserve">PMC12565618</t>
  </si>
  <si>
    <t xml:space="preserve">Development of a Fully Optimized Convolutional Neural Network for Astrocytoma Classification in MRI Using Explainable Artificial Intelligence</t>
  </si>
  <si>
    <t xml:space="preserve">PMC12367112</t>
  </si>
  <si>
    <t xml:space="preserve">Deep learning-based spatial analysis on tumor and immune cells of pathology images predicts MIBC prognosis</t>
  </si>
  <si>
    <t xml:space="preserve">PMC12758015</t>
  </si>
  <si>
    <t xml:space="preserve">Migration of Deep Learning Models Across Ultrasound Scanners</t>
  </si>
  <si>
    <t xml:space="preserve">IEEE transactions on bio-medical engineering</t>
  </si>
  <si>
    <t xml:space="preserve">PMC11851456</t>
  </si>
  <si>
    <t xml:space="preserve">CXR-Seg: A Novel Deep Learning Network for Lung Segmentation from Chest X-Ray Images</t>
  </si>
  <si>
    <t xml:space="preserve">PMC12248572</t>
  </si>
  <si>
    <t xml:space="preserve">Early Diabetic Retinopathy Detection from OCT Images Using Multifractal Analysis and Multi-Layer Perceptron Classification</t>
  </si>
  <si>
    <t xml:space="preserve">PMC13223492</t>
  </si>
  <si>
    <t xml:space="preserve">PneumoNet: Deep Neural Network for Advanced Pneumonia Detection</t>
  </si>
  <si>
    <t xml:space="preserve">PMC12241142</t>
  </si>
  <si>
    <t xml:space="preserve">Automated classification of midpalatal suture maturation using 2D convolutional neural networks on CBCT scans</t>
  </si>
  <si>
    <t xml:space="preserve">Frontiers in dental medicine</t>
  </si>
  <si>
    <t xml:space="preserve">PMC12574434</t>
  </si>
  <si>
    <t xml:space="preserve">Investigating the capability of deep learning models to predict age and biological sex from anterior segment ophthalmic imaging: a multi-centre retrospective study</t>
  </si>
  <si>
    <t xml:space="preserve">BMJ open</t>
  </si>
  <si>
    <t xml:space="preserve">PMC12637164</t>
  </si>
  <si>
    <t xml:space="preserve">Robust Radiomic Signatures of Intervertebral Disc Degeneration From MRI</t>
  </si>
  <si>
    <t xml:space="preserve">Spine</t>
  </si>
  <si>
    <t xml:space="preserve">PMC12069047</t>
  </si>
  <si>
    <t xml:space="preserve">A predictive nomogram of thyroid nodules based on deep learning ultrasound image analysis</t>
  </si>
  <si>
    <t xml:space="preserve">Frontiers in endocrinology</t>
  </si>
  <si>
    <t xml:space="preserve">PMC12469220</t>
  </si>
  <si>
    <t xml:space="preserve">Artificial Intelligence-Based Arterial Input Function for the Quantitative Assessment of Myocardial Blood Flow and Perfusion Reserve in Cardiac Magnetic Resonance: A Validation Study</t>
  </si>
  <si>
    <t xml:space="preserve">PMC12523546</t>
  </si>
  <si>
    <t xml:space="preserve">Validation of an Artificial Intelligence Model for Breast Cancer Molecular Subtyping Using Hematoxylin and Eosin-Stained Whole-Slide Images in a Population-Based Cohort</t>
  </si>
  <si>
    <t xml:space="preserve">PMC11799055</t>
  </si>
  <si>
    <t xml:space="preserve">Convolutional neural network classification of ultrasound parametric images based on echo-envelope statistics for the quantitative diagnosis of liver steatosis</t>
  </si>
  <si>
    <t xml:space="preserve">Journal of medical ultrasonics (2001)</t>
  </si>
  <si>
    <t xml:space="preserve">PMC12301082</t>
  </si>
  <si>
    <t xml:space="preserve">LGF‐Net: A multi‐scale feature fusion network for thyroid nodule ultrasound image classification</t>
  </si>
  <si>
    <t xml:space="preserve">PMC12602640</t>
  </si>
  <si>
    <t xml:space="preserve">RELICT-NI: Replica Detection in Synthetic Neuroimaging—A Study on Noncontrast CT and Time-of-Flight MRA</t>
  </si>
  <si>
    <t xml:space="preserve">Neuroinformatics</t>
  </si>
  <si>
    <t xml:space="preserve">PMC13223426</t>
  </si>
  <si>
    <t xml:space="preserve">Classifiers Combined with DenseNet Models for Lung Cancer Computed Tomography Image Classification: A Comparative Analysis</t>
  </si>
  <si>
    <t xml:space="preserve">PMC12459604</t>
  </si>
  <si>
    <t xml:space="preserve">Automated classification and explainable AI analysis of lung cancer stages using EfficientNet and gradient-weighted class activation mapping</t>
  </si>
  <si>
    <t xml:space="preserve">PMC12628415</t>
  </si>
  <si>
    <t xml:space="preserve">A Dual-stage Deep Learning Framework for Breast Ultrasound Image Segmentation and Classification</t>
  </si>
  <si>
    <t xml:space="preserve">PMC11717794</t>
  </si>
  <si>
    <t xml:space="preserve">Applying deep learning-based ensemble model to [18F]-FDG-PET-radiomic features for differentiating benign from malignant parotid gland diseases</t>
  </si>
  <si>
    <t xml:space="preserve">Japanese journal of radiology</t>
  </si>
  <si>
    <t xml:space="preserve">PMC12551925</t>
  </si>
  <si>
    <t xml:space="preserve">IV3TM: Inception V3 enabled bidirectional long short-term memory network for brain tumor classification</t>
  </si>
  <si>
    <t xml:space="preserve">PMC12006410</t>
  </si>
  <si>
    <t xml:space="preserve">Deep learning model DeepNeo predicts neointimal tissue characterization using optical coherence tomography</t>
  </si>
  <si>
    <t xml:space="preserve">Communications medicine</t>
  </si>
  <si>
    <t xml:space="preserve">PMC12521361</t>
  </si>
  <si>
    <t xml:space="preserve">A deep learning-based framework for standardized analysis of trabecular bone compartments from micro-CT imaging data in the mouse tibia</t>
  </si>
  <si>
    <t xml:space="preserve">PMC12387119</t>
  </si>
  <si>
    <t xml:space="preserve">Fundus Image-Based Eye Disease Detection Using EfficientNetB3 Architecture</t>
  </si>
  <si>
    <t xml:space="preserve">PMC12094958</t>
  </si>
  <si>
    <t xml:space="preserve">Deep ensemble learning-driven fully automated multi-structure segmentation for precision craniomaxillofacial surgery</t>
  </si>
  <si>
    <t xml:space="preserve">PMC12823918</t>
  </si>
  <si>
    <t xml:space="preserve">Explainable AI-driven MRI-based brain tumor classification: a novel deep learning approach</t>
  </si>
  <si>
    <t xml:space="preserve">PMC12109281</t>
  </si>
  <si>
    <t xml:space="preserve">Radiomics Analysis of Whole-Kidney Non-Contrast CT for Early Identification of Chronic Kidney Disease Stages 1–3</t>
  </si>
  <si>
    <t xml:space="preserve">PMC12385022</t>
  </si>
  <si>
    <t xml:space="preserve">Deep Learning-Based Diagnosis of Lumbar Spondylolisthesis Using X-Ray Imaging</t>
  </si>
  <si>
    <t xml:space="preserve">PMC11740782</t>
  </si>
  <si>
    <t xml:space="preserve">Breast cancer classification in point-of-care ultrasound imaging—the impact of training data</t>
  </si>
  <si>
    <t xml:space="preserve">Journal of medical imaging (Bellingham, Wash.)</t>
  </si>
  <si>
    <t xml:space="preserve">PMC12607841</t>
  </si>
  <si>
    <t xml:space="preserve">Radiomics and Deep Learning Interplay for Predicting MGMT Methylation in Glioblastoma: The Crucial Role of Segmentation Quality</t>
  </si>
  <si>
    <t xml:space="preserve">may be segmentation-only</t>
  </si>
  <si>
    <t xml:space="preserve">PMC12151474</t>
  </si>
  <si>
    <t xml:space="preserve">A plaque recognition algorithm for coronary OCT images by Dense Atrous Convolution and attention mechanism</t>
  </si>
  <si>
    <t xml:space="preserve">PMC12715249</t>
  </si>
  <si>
    <t xml:space="preserve">Comparative analysis of multiple deep learning models with mitigation-driven approaches for enhanced Alzheimer’s disease classification</t>
  </si>
  <si>
    <t xml:space="preserve">PMC12256241</t>
  </si>
  <si>
    <t xml:space="preserve">Assessment of prostate cancer aggressiveness through the combined analysis of prostate MRI and 2.5D deep learning models</t>
  </si>
  <si>
    <t xml:space="preserve">PMC12361585</t>
  </si>
  <si>
    <t xml:space="preserve">Advancing deep learning-based segmentation for multiple lung cancer lesions in real-world multicenter CT scans</t>
  </si>
  <si>
    <t xml:space="preserve">PMC12753390</t>
  </si>
  <si>
    <t xml:space="preserve">Neural networks and foundation models: two strategies for EEG-to-fMRI prediction</t>
  </si>
  <si>
    <t xml:space="preserve">Frontiers in systems biology</t>
  </si>
  <si>
    <t xml:space="preserve">PMC12365151</t>
  </si>
  <si>
    <t xml:space="preserve">Lung adenocarcinoma subtype classification based on contrastive learning model with multimodal integration</t>
  </si>
  <si>
    <t xml:space="preserve">PMC12597856</t>
  </si>
  <si>
    <t xml:space="preserve">AI-assisted differentiation of nontuberculous mycobacterial pulmonary disease from colonization: a multi-center study</t>
  </si>
  <si>
    <t xml:space="preserve">PMC11813795</t>
  </si>
  <si>
    <t xml:space="preserve">Magnetic resonance imaging-based deep learning for predicting subtypes of glioma</t>
  </si>
  <si>
    <t xml:space="preserve">PMC12543161</t>
  </si>
  <si>
    <t xml:space="preserve">A hybrid dense convolutional network and fuzzy inference system for pneumonia diagnosis with dynamic symptom tracking</t>
  </si>
  <si>
    <t xml:space="preserve">PMC12058334</t>
  </si>
  <si>
    <t xml:space="preserve">Speckle pattern analysis with deep learning for low-cost stroke detection: a phantom-based feasibility study</t>
  </si>
  <si>
    <t xml:space="preserve">PMC11828341</t>
  </si>
  <si>
    <t xml:space="preserve">Hybrid-RViT: Hybridizing ResNet-50 and Vision Transformer for Enhanced Alzheimer’s disease detection</t>
  </si>
  <si>
    <t xml:space="preserve">PMC11937601</t>
  </si>
  <si>
    <t xml:space="preserve">A multi-modal deep learning solution for precise pneumonia diagnosis: the PneumoFusion-Net model</t>
  </si>
  <si>
    <t xml:space="preserve">PMC12222329</t>
  </si>
  <si>
    <t xml:space="preserve">Biologically inspired hybrid model for Alzheimer’s disease classification using structural MRI in the ADNI dataset</t>
  </si>
  <si>
    <t xml:space="preserve">PMC12454901</t>
  </si>
  <si>
    <t xml:space="preserve">Improving the diagnosis of endometrial cancer in postmenopausal women in primary care settings using an artificial intelligence-based ultrasound detecting model</t>
  </si>
  <si>
    <t xml:space="preserve">PMC12429428</t>
  </si>
  <si>
    <t xml:space="preserve">Artificial Intelligence-Assisted Biparametric MRI for Detecting Prostate Cancer—A Comparative Multireader Multicase Accuracy Study</t>
  </si>
  <si>
    <t xml:space="preserve">PMC12043696</t>
  </si>
  <si>
    <t xml:space="preserve">Radiomics-driven neuro-fuzzy framework for rule generation to enhance explainability in MRI-based brain tumor segmentation</t>
  </si>
  <si>
    <t xml:space="preserve">PMC12478919</t>
  </si>
  <si>
    <t xml:space="preserve">Alzheimer’s disease classification using a hybrid deep learning approach with multi-layer U-net segmentation and XAI driven analysis</t>
  </si>
  <si>
    <t xml:space="preserve">PMC12062765</t>
  </si>
  <si>
    <t xml:space="preserve">Localization and Classification of Adrenal Masses in Multiphase Computed Tomography: Retrospective Study</t>
  </si>
  <si>
    <t xml:space="preserve">PMC12402046</t>
  </si>
  <si>
    <t xml:space="preserve">Automated pulmonary nodule classification from low-dose CT images using ERBNet: an ensemble learning approach</t>
  </si>
  <si>
    <t xml:space="preserve">PMC12418648</t>
  </si>
  <si>
    <t xml:space="preserve">Two step approach for detecting and segmenting the second mesiobuccal canal of maxillary first molars on cone beam computed tomography (CBCT) images via artificial intelligence</t>
  </si>
  <si>
    <t xml:space="preserve">BMC oral health</t>
  </si>
  <si>
    <t xml:space="preserve">PMC12052117</t>
  </si>
  <si>
    <t xml:space="preserve">Semisupervised adaptive learning models for IDH1 mutation status prediction</t>
  </si>
  <si>
    <t xml:space="preserve">PMC11979263</t>
  </si>
  <si>
    <t xml:space="preserve">Beyond plaque segmentation: a combined radiomics-deep learning approach for automated CAD-RADS classification</t>
  </si>
  <si>
    <t xml:space="preserve">PMC12226657</t>
  </si>
  <si>
    <t xml:space="preserve">PlaqueViT: a vision transformer model for fully automatic vessel and plaque segmentation in coronary computed tomography angiography</t>
  </si>
  <si>
    <t xml:space="preserve">PMC11818623</t>
  </si>
  <si>
    <t xml:space="preserve">Deep Learning to Distinguish Edema Secondary to Retinal Vein Occlusion and Diabetic Macular Edema: A Multimodal Approach Using OCT and Infrared Imaging</t>
  </si>
  <si>
    <t xml:space="preserve">PMC12383681</t>
  </si>
  <si>
    <t xml:space="preserve">2.5D Deep Learning and Machine Learning for Discriminative DLBCL and IDC with Radiomics on PET/CT</t>
  </si>
  <si>
    <t xml:space="preserve">PMC12275356</t>
  </si>
  <si>
    <t xml:space="preserve">AI-Driven segmentation and morphogeometric profiling of epicardial adipose tissue in type 2 diabetes</t>
  </si>
  <si>
    <t xml:space="preserve">Cardiovascular diabetology</t>
  </si>
  <si>
    <t xml:space="preserve">PMC12627679</t>
  </si>
  <si>
    <t xml:space="preserve">Enhancing automatic diagnosis of thyroid nodules from ultrasound scans leveraging deep learning models</t>
  </si>
  <si>
    <t xml:space="preserve">PMC12335580</t>
  </si>
  <si>
    <t xml:space="preserve">Artificial intelligence with feature fusion empowered enhanced brain stroke detection and classification for disabled persons using biomedical images</t>
  </si>
  <si>
    <t xml:space="preserve">PMC12462649</t>
  </si>
  <si>
    <t xml:space="preserve">Deep learning‐based 3D classification of head and neck cancer PET/MRI: Radiologist comparison and Grad‐CAM interpretability</t>
  </si>
  <si>
    <t xml:space="preserve">Clinical physiology and functional imaging</t>
  </si>
  <si>
    <t xml:space="preserve">PMC12852129</t>
  </si>
  <si>
    <t xml:space="preserve">XcepFusion for brain tumor detection using a hybrid transfer learning framework with layer pruning and freezing</t>
  </si>
  <si>
    <t xml:space="preserve">PMC12445147</t>
  </si>
  <si>
    <t xml:space="preserve">Automatic differentiation of Parkinson’s disease motor subtypes based on deep learning and radiomics</t>
  </si>
  <si>
    <t xml:space="preserve">PMC11960629</t>
  </si>
  <si>
    <t xml:space="preserve">Automated chick gender determination using optical coherence tomography and deep learning</t>
  </si>
  <si>
    <t xml:space="preserve">PMC12473302</t>
  </si>
  <si>
    <t xml:space="preserve">Deep Learning-Based Diagnosis of Femoropopliteal Artery Steno-Occlusion Using Maximum Intensity Projection Images of CT Angiography</t>
  </si>
  <si>
    <t xml:space="preserve">PMC12540183</t>
  </si>
  <si>
    <t xml:space="preserve">Multiparametric MRI-based radiomics and deep learning for differentiating uterine serous carcinoma from endometrioid carcinoma: a multicenter retrospective study</t>
  </si>
  <si>
    <t xml:space="preserve">PMC11929658</t>
  </si>
  <si>
    <t xml:space="preserve">BrainNeXt: novel lightweight CNN model for the automated detection of brain disorders using MRI images</t>
  </si>
  <si>
    <t xml:space="preserve">PMC12084453</t>
  </si>
  <si>
    <t xml:space="preserve">Development and validation of clinical-radiomics deep learning model based on MRI for endometrial cancer molecular subtypes classification</t>
  </si>
  <si>
    <t xml:space="preserve">PMC12648177</t>
  </si>
  <si>
    <t xml:space="preserve">Detection of spheno-occipital synchondrosis fusion stages using artificial intelligence</t>
  </si>
  <si>
    <t xml:space="preserve">PMC11794261</t>
  </si>
  <si>
    <t xml:space="preserve">Automated diagnosis and grading of lumbar intervertebral disc degeneration based on a modified YOLO framework</t>
  </si>
  <si>
    <t xml:space="preserve">PMC12534769</t>
  </si>
  <si>
    <t xml:space="preserve">YOLOv12 Algorithm-Aided Detection and Classification of Lateral Malleolar Avulsion Fracture and Subfibular Ossicle Based on CT Images: Multicenter Study</t>
  </si>
  <si>
    <t xml:space="preserve">PMC12714595</t>
  </si>
  <si>
    <t xml:space="preserve">Thyroid intelligent diagnosis based on THMSNet</t>
  </si>
  <si>
    <t xml:space="preserve">PMC12730384</t>
  </si>
  <si>
    <t xml:space="preserve">A Weakly Supervised Approach for HPV Status Prediction in Oropharyngeal Carcinoma from H&amp;E-Stained Slides</t>
  </si>
  <si>
    <t xml:space="preserve">PMC12561078</t>
  </si>
  <si>
    <t xml:space="preserve">NeuroNet-AD: A Multimodal Deep Learning Framework for Multiclass Alzheimer’s Disease Diagnosis</t>
  </si>
  <si>
    <t xml:space="preserve">PMC12719480</t>
  </si>
  <si>
    <t xml:space="preserve">GAME-Net: an ensemble deep learning framework integrating Generative Autoencoders and attention mechanisms for automated brain tumor segmentation in MRI</t>
  </si>
  <si>
    <t xml:space="preserve">PMC12564970</t>
  </si>
  <si>
    <t xml:space="preserve">Optimized Lung Nodule Classification Using CLAHE-Enhanced CT Imaging and Swin Transformer-Based Deep Feature Extraction</t>
  </si>
  <si>
    <t xml:space="preserve">PMC12167337</t>
  </si>
  <si>
    <t xml:space="preserve">Automatic ultrasound image alignment for diagnosis of pediatric distal forearm fractures</t>
  </si>
  <si>
    <t xml:space="preserve">PMC12335458</t>
  </si>
  <si>
    <t xml:space="preserve">Exploring the feasibility of AI-based analysis of histopathological variability in salivary gland tumours</t>
  </si>
  <si>
    <t xml:space="preserve">PMC12334629</t>
  </si>
  <si>
    <t xml:space="preserve">BCDCNN: breast cancer deep convolutional neural network for breast cancer detection using MRI images</t>
  </si>
  <si>
    <t xml:space="preserve">PMC12731456</t>
  </si>
  <si>
    <t xml:space="preserve">Deep Learning Analysis of CBCT Images for Periodontal Disease: Phenotype-Level Concordance with Independent Transcriptomic and Microbiome Datasets</t>
  </si>
  <si>
    <t xml:space="preserve">Dentistry journal</t>
  </si>
  <si>
    <t xml:space="preserve">PMC12418127</t>
  </si>
  <si>
    <t xml:space="preserve">AI Model Based on Diaphragm Ultrasound to Improve the Predictive Performance of Invasive Mechanical Ventilation Weaning: Prospective Cohort Study</t>
  </si>
  <si>
    <t xml:space="preserve">JMIR formative research</t>
  </si>
  <si>
    <t xml:space="preserve">PMC12011763</t>
  </si>
  <si>
    <t xml:space="preserve">Automatic joint segmentation and classification of breast ultrasound images via multi-task learning with object contextual attention</t>
  </si>
  <si>
    <t xml:space="preserve">PMC12345923</t>
  </si>
  <si>
    <t xml:space="preserve">Enhanced HoVerNet Optimization for Precise Nuclei Segmentation in Diffuse Large B-Cell Lymphoma</t>
  </si>
  <si>
    <t xml:space="preserve">PMC12119313</t>
  </si>
  <si>
    <t xml:space="preserve">DualDistill: a dual-guided self-distillation approach for carotid plaque analysis</t>
  </si>
  <si>
    <t xml:space="preserve">PMC12607678</t>
  </si>
  <si>
    <t xml:space="preserve">Artificial Intelligence for Lymph Node Detection and Malignancy Prediction in Endoscopic Ultrasound: A Multicenter Study</t>
  </si>
  <si>
    <t xml:space="preserve">PMC12468384</t>
  </si>
  <si>
    <t xml:space="preserve">A Comparative Evaluation of Meta-Learning Models for Few-Shot Chest X-Ray Disease Classification</t>
  </si>
  <si>
    <t xml:space="preserve">PMC12558874</t>
  </si>
  <si>
    <t xml:space="preserve">YOLOv8-Seg: a deep learning approach for accurate classification of osteoporotic vertebral fractures</t>
  </si>
  <si>
    <t xml:space="preserve">PMC12192201</t>
  </si>
  <si>
    <t xml:space="preserve">Fuzzy Optimized Attention Network with Multi-Instance Deep Learning (FOAN-MIDL) for Alzheimer’s Disease Diagnosis with Structural Magnetic Resonance Imaging (sMRI)</t>
  </si>
  <si>
    <t xml:space="preserve">PMC11707918</t>
  </si>
  <si>
    <t xml:space="preserve">Effective BCDNet-based breast cancer classification model using hybrid deep learning with VGG16-based optimal feature extraction</t>
  </si>
  <si>
    <t xml:space="preserve">PMC12476382</t>
  </si>
  <si>
    <t xml:space="preserve">Analyzing pediatric forearm X-rays for fracture analysis using machine learning</t>
  </si>
  <si>
    <t xml:space="preserve">PMC12530578</t>
  </si>
  <si>
    <t xml:space="preserve">BONE-Net: A novel hybrid deep-learning model for effective osteoporosis detection</t>
  </si>
  <si>
    <t xml:space="preserve">PMC11805419</t>
  </si>
  <si>
    <t xml:space="preserve">Advanced retinal disease detection from OCT images using a hybrid squeeze and excitation enhanced model</t>
  </si>
  <si>
    <t xml:space="preserve">PMC12279466</t>
  </si>
  <si>
    <t xml:space="preserve">Deep-learning-based washout classification for decision support in contrast-enhanced ultrasound examinations of the liver</t>
  </si>
  <si>
    <t xml:space="preserve">PMC12467770</t>
  </si>
  <si>
    <t xml:space="preserve">Encoding of Demographic and Anatomical Information in Chest X-Ray-Based Severe Left Ventricular Hypertrophy Classifiers</t>
  </si>
  <si>
    <t xml:space="preserve">PMC11893424</t>
  </si>
  <si>
    <t xml:space="preserve">Deep learning model for the early prediction of pathologic response following neoadjuvant chemotherapy in breast cancer patients using dynamic contrast-enhanced MRI</t>
  </si>
  <si>
    <t xml:space="preserve">PMC11950579</t>
  </si>
  <si>
    <t xml:space="preserve">Automated Three-Dimensional Imaging and Pfirrmann Classification of Intervertebral Disc Using a Graphical Neural Network in Sagittal Magnetic Resonance Imaging of the Lumbar Spine</t>
  </si>
  <si>
    <t xml:space="preserve">PMC12734337</t>
  </si>
  <si>
    <t xml:space="preserve">AI-Driven Clinical Decision Support System for Automated Ventriculomegaly Classification from Fetal Brain MRI</t>
  </si>
  <si>
    <t xml:space="preserve">PMC11869539</t>
  </si>
  <si>
    <t xml:space="preserve">IM- LTS: An Integrated Model for Lung Tumor Segmentation using Neural Networks and IoMT</t>
  </si>
  <si>
    <t xml:space="preserve">PMC12876126</t>
  </si>
  <si>
    <t xml:space="preserve">HED-Net: a hybrid ensemble deep learning framework for breast ultrasound image classification</t>
  </si>
  <si>
    <t xml:space="preserve">PMC12236266</t>
  </si>
  <si>
    <t xml:space="preserve">Improving Tuberculosis Detection in Chest X-Ray Images Through Transfer Learning and Deep Learning: Comparative Study of Convolutional Neural Network Architectures</t>
  </si>
  <si>
    <t xml:space="preserve">PMC12974135</t>
  </si>
  <si>
    <t xml:space="preserve">Integrative multi-stage deep learning framework for ovarian tumor ultrasound classification with explainability and confidence estimation</t>
  </si>
  <si>
    <t xml:space="preserve">PMC11811346</t>
  </si>
  <si>
    <t xml:space="preserve">RadImageNet and ImageNet as Datasets for Transfer Learning in the Assessment of Dental Radiographs: A Comparative Study</t>
  </si>
  <si>
    <t xml:space="preserve">PMC11785394</t>
  </si>
  <si>
    <t xml:space="preserve">Quantifying the Characteristics of Diabetic Retinopathy in Macular Optical Coherence Tomography Angiography Images: A Few-Shot Learning and Explainable Artificial Intelligence Approach</t>
  </si>
  <si>
    <t xml:space="preserve">PMC12222963</t>
  </si>
  <si>
    <t xml:space="preserve">Deep learning-based quantitative analysis of glomerular morphology in IgA nephropathy whole slide images and its prognostic implications</t>
  </si>
  <si>
    <t xml:space="preserve">PMC12794183</t>
  </si>
  <si>
    <t xml:space="preserve">Deep Learning-assisted Diagnosis of Extrahepatic Common Bile Duct Obstruction Using MRCP Imaging and Clinical Parameters</t>
  </si>
  <si>
    <t xml:space="preserve">PMC12611148</t>
  </si>
  <si>
    <t xml:space="preserve">Evaluating the impact of sex bias on AI models in musculoskeletal ultrasound of joint recess distension</t>
  </si>
  <si>
    <t xml:space="preserve">PMC12325224</t>
  </si>
  <si>
    <t xml:space="preserve">A comparative study of bone density in elderly people measured with AI and QCT</t>
  </si>
  <si>
    <t xml:space="preserve">PMC12532985</t>
  </si>
  <si>
    <t xml:space="preserve">Ultrasound-based deep learning model as an assistant improves the diagnosis of ovarian tumors: a multicenter study</t>
  </si>
  <si>
    <t xml:space="preserve">PMC12391420</t>
  </si>
  <si>
    <t xml:space="preserve">Method for fetal ultrasound image classification using pseudo-labelling with PCA-KMeans and an attention-augmented MobileNet-LSTM model</t>
  </si>
  <si>
    <t xml:space="preserve">PMC12325482</t>
  </si>
  <si>
    <t xml:space="preserve">Sex estimation with convolutional neural networks using the patella magnetic resonance image slices</t>
  </si>
  <si>
    <t xml:space="preserve">Forensic science, medicine, and pathology</t>
  </si>
  <si>
    <t xml:space="preserve">PMC12481582</t>
  </si>
  <si>
    <t xml:space="preserve">An interpretable generative multimodal neuroimaging-genomics framework for decoding Alzheimer’s disease</t>
  </si>
  <si>
    <t xml:space="preserve">Journal of neural engineering</t>
  </si>
  <si>
    <t xml:space="preserve">Item</t>
  </si>
  <si>
    <t xml:space="preserve">Question</t>
  </si>
  <si>
    <t xml:space="preserve">Labels</t>
  </si>
  <si>
    <t xml:space="preserve">Train/test separated by patient (or other independent unit)?</t>
  </si>
  <si>
    <t xml:space="preserve">SAFE / RISK / UNCLEAR</t>
  </si>
  <si>
    <t xml:space="preserve">Data-dependent preprocessing fitted on full data before split?</t>
  </si>
  <si>
    <t xml:space="preserve">Augmentation / synthetic data applied before split?</t>
  </si>
  <si>
    <t xml:space="preserve">Reported test set also used for tuning / early stopping / checkpoint choice?</t>
  </si>
  <si>
    <t xml:space="preserve">Duplicate / near-duplicate check reported?</t>
  </si>
  <si>
    <t xml:space="preserve">YES / NO</t>
  </si>
  <si>
    <t xml:space="preserve">Tested on data from a source not used in development?</t>
  </si>
  <si>
    <t xml:space="preserve">Spread across folds/seeds or confidence interval reported?</t>
  </si>
  <si>
    <t xml:space="preserve">Superiority claim backed by a statistical test / non-overlapping CIs?</t>
  </si>
  <si>
    <t xml:space="preserve">YES / NO / N/A</t>
  </si>
  <si>
    <t xml:space="preserve">Comparators evaluated under the same data and protocol?</t>
  </si>
  <si>
    <t xml:space="preserve">Study code publicly available?</t>
  </si>
  <si>
    <t xml:space="preserve">YES / REQUEST / NO</t>
  </si>
  <si>
    <t xml:space="preserve">Data publicly available?</t>
  </si>
  <si>
    <t xml:space="preserve">PUBLIC / RESTRICTED / NO</t>
  </si>
  <si>
    <t xml:space="preserve">Full decision rules and edge cases: docs/codebook_v1.0.md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</si>
</sst>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1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i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E7E6E6"/>
      </patternFill>
    </fill>
    <fill>
      <patternFill patternType="solid">
        <fgColor rgb="FF1F3864"/>
        <bgColor rgb="FF333333"/>
      </patternFill>
    </fill>
    <fill>
      <patternFill patternType="solid">
        <fgColor rgb="FFE7E6E6"/>
        <bgColor rgb="FFD9E1F2"/>
      </patternFill>
    </fill>
    <fill>
      <patternFill patternType="solid">
        <fgColor rgb="FFFFF2CC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europepmc.org/article/PMC/PMC11975892" TargetMode="External"/><Relationship Id="rId2" Type="http://schemas.openxmlformats.org/officeDocument/2006/relationships/hyperlink" Target="https://europepmc.org/article/PMC/PMC12412478" TargetMode="External"/><Relationship Id="rId3" Type="http://schemas.openxmlformats.org/officeDocument/2006/relationships/hyperlink" Target="https://europepmc.org/article/PMC/PMC12330392" TargetMode="External"/><Relationship Id="rId4" Type="http://schemas.openxmlformats.org/officeDocument/2006/relationships/hyperlink" Target="https://europepmc.org/article/PMC/PMC12387691" TargetMode="External"/><Relationship Id="rId5" Type="http://schemas.openxmlformats.org/officeDocument/2006/relationships/hyperlink" Target="https://europepmc.org/article/PMC/PMC12034867" TargetMode="External"/><Relationship Id="rId6" Type="http://schemas.openxmlformats.org/officeDocument/2006/relationships/hyperlink" Target="https://europepmc.org/article/PMC/PMC12649958" TargetMode="External"/><Relationship Id="rId7" Type="http://schemas.openxmlformats.org/officeDocument/2006/relationships/hyperlink" Target="https://europepmc.org/article/PMC/PMC12747359" TargetMode="External"/><Relationship Id="rId8" Type="http://schemas.openxmlformats.org/officeDocument/2006/relationships/hyperlink" Target="https://europepmc.org/article/PMC/PMC11729117" TargetMode="External"/><Relationship Id="rId9" Type="http://schemas.openxmlformats.org/officeDocument/2006/relationships/hyperlink" Target="https://europepmc.org/article/PMC/PMC11873101" TargetMode="External"/><Relationship Id="rId10" Type="http://schemas.openxmlformats.org/officeDocument/2006/relationships/hyperlink" Target="https://europepmc.org/article/PMC/PMC12468973" TargetMode="External"/><Relationship Id="rId11" Type="http://schemas.openxmlformats.org/officeDocument/2006/relationships/hyperlink" Target="https://europepmc.org/article/PMC/PMC12729362" TargetMode="External"/><Relationship Id="rId12" Type="http://schemas.openxmlformats.org/officeDocument/2006/relationships/hyperlink" Target="https://europepmc.org/article/PMC/PMC12673201" TargetMode="External"/><Relationship Id="rId13" Type="http://schemas.openxmlformats.org/officeDocument/2006/relationships/hyperlink" Target="https://europepmc.org/article/PMC/PMC12022092" TargetMode="External"/><Relationship Id="rId14" Type="http://schemas.openxmlformats.org/officeDocument/2006/relationships/hyperlink" Target="https://europepmc.org/article/PMC/PMC12303355" TargetMode="External"/><Relationship Id="rId15" Type="http://schemas.openxmlformats.org/officeDocument/2006/relationships/hyperlink" Target="https://europepmc.org/article/PMC/PMC12454033" TargetMode="External"/><Relationship Id="rId16" Type="http://schemas.openxmlformats.org/officeDocument/2006/relationships/hyperlink" Target="https://europepmc.org/article/PMC/PMC12540149" TargetMode="External"/><Relationship Id="rId17" Type="http://schemas.openxmlformats.org/officeDocument/2006/relationships/hyperlink" Target="https://europepmc.org/article/PMC/PMC12418695" TargetMode="External"/><Relationship Id="rId18" Type="http://schemas.openxmlformats.org/officeDocument/2006/relationships/hyperlink" Target="https://europepmc.org/article/PMC/PMC11811177" TargetMode="External"/><Relationship Id="rId19" Type="http://schemas.openxmlformats.org/officeDocument/2006/relationships/hyperlink" Target="https://europepmc.org/article/PMC/PMC12471060" TargetMode="External"/><Relationship Id="rId20" Type="http://schemas.openxmlformats.org/officeDocument/2006/relationships/hyperlink" Target="https://europepmc.org/article/PMC/PMC12573454" TargetMode="External"/><Relationship Id="rId21" Type="http://schemas.openxmlformats.org/officeDocument/2006/relationships/hyperlink" Target="https://europepmc.org/article/PMC/PMC11634984" TargetMode="External"/><Relationship Id="rId22" Type="http://schemas.openxmlformats.org/officeDocument/2006/relationships/hyperlink" Target="https://europepmc.org/article/PMC/PMC12178899" TargetMode="External"/><Relationship Id="rId23" Type="http://schemas.openxmlformats.org/officeDocument/2006/relationships/hyperlink" Target="https://europepmc.org/article/PMC/PMC12226554" TargetMode="External"/><Relationship Id="rId24" Type="http://schemas.openxmlformats.org/officeDocument/2006/relationships/hyperlink" Target="https://europepmc.org/article/PMC/PMC12364712" TargetMode="External"/><Relationship Id="rId25" Type="http://schemas.openxmlformats.org/officeDocument/2006/relationships/hyperlink" Target="https://europepmc.org/article/PMC/PMC12364636" TargetMode="External"/><Relationship Id="rId26" Type="http://schemas.openxmlformats.org/officeDocument/2006/relationships/hyperlink" Target="https://europepmc.org/article/PMC/PMC12592200" TargetMode="External"/><Relationship Id="rId27" Type="http://schemas.openxmlformats.org/officeDocument/2006/relationships/hyperlink" Target="https://europepmc.org/article/PMC/PMC12221888" TargetMode="External"/><Relationship Id="rId28" Type="http://schemas.openxmlformats.org/officeDocument/2006/relationships/hyperlink" Target="https://europepmc.org/article/PMC/PMC12153539" TargetMode="External"/><Relationship Id="rId29" Type="http://schemas.openxmlformats.org/officeDocument/2006/relationships/hyperlink" Target="https://europepmc.org/article/PMC/PMC11994760" TargetMode="External"/><Relationship Id="rId30" Type="http://schemas.openxmlformats.org/officeDocument/2006/relationships/hyperlink" Target="https://europepmc.org/article/PMC/PMC11820013" TargetMode="External"/><Relationship Id="rId31" Type="http://schemas.openxmlformats.org/officeDocument/2006/relationships/hyperlink" Target="https://europepmc.org/article/PMC/PMC12405159" TargetMode="External"/><Relationship Id="rId32" Type="http://schemas.openxmlformats.org/officeDocument/2006/relationships/hyperlink" Target="https://europepmc.org/article/PMC/PMC11928541" TargetMode="External"/><Relationship Id="rId33" Type="http://schemas.openxmlformats.org/officeDocument/2006/relationships/hyperlink" Target="https://europepmc.org/article/PMC/PMC12654495" TargetMode="External"/><Relationship Id="rId34" Type="http://schemas.openxmlformats.org/officeDocument/2006/relationships/hyperlink" Target="https://europepmc.org/article/PMC/PMC12338767" TargetMode="External"/><Relationship Id="rId35" Type="http://schemas.openxmlformats.org/officeDocument/2006/relationships/hyperlink" Target="https://europepmc.org/article/PMC/PMC12477006" TargetMode="External"/><Relationship Id="rId36" Type="http://schemas.openxmlformats.org/officeDocument/2006/relationships/hyperlink" Target="https://europepmc.org/article/PMC/PMC12191917" TargetMode="External"/><Relationship Id="rId37" Type="http://schemas.openxmlformats.org/officeDocument/2006/relationships/hyperlink" Target="https://europepmc.org/article/PMC/PMC11742393" TargetMode="External"/><Relationship Id="rId38" Type="http://schemas.openxmlformats.org/officeDocument/2006/relationships/hyperlink" Target="https://europepmc.org/article/PMC/PMC12654790" TargetMode="External"/><Relationship Id="rId39" Type="http://schemas.openxmlformats.org/officeDocument/2006/relationships/hyperlink" Target="https://europepmc.org/article/PMC/PMC12842669" TargetMode="External"/><Relationship Id="rId40" Type="http://schemas.openxmlformats.org/officeDocument/2006/relationships/hyperlink" Target="https://europepmc.org/article/PMC/PMC12720023" TargetMode="External"/><Relationship Id="rId41" Type="http://schemas.openxmlformats.org/officeDocument/2006/relationships/hyperlink" Target="https://europepmc.org/article/PMC/PMC12753960" TargetMode="External"/><Relationship Id="rId42" Type="http://schemas.openxmlformats.org/officeDocument/2006/relationships/hyperlink" Target="https://europepmc.org/article/PMC/PMC12105205" TargetMode="External"/><Relationship Id="rId43" Type="http://schemas.openxmlformats.org/officeDocument/2006/relationships/hyperlink" Target="https://europepmc.org/article/PMC/PMC12448012" TargetMode="External"/><Relationship Id="rId44" Type="http://schemas.openxmlformats.org/officeDocument/2006/relationships/hyperlink" Target="https://europepmc.org/article/PMC/PMC12141588" TargetMode="External"/><Relationship Id="rId45" Type="http://schemas.openxmlformats.org/officeDocument/2006/relationships/hyperlink" Target="https://europepmc.org/article/PMC/PMC12212162" TargetMode="External"/><Relationship Id="rId46" Type="http://schemas.openxmlformats.org/officeDocument/2006/relationships/hyperlink" Target="https://europepmc.org/article/PMC/PMC12191009" TargetMode="External"/><Relationship Id="rId47" Type="http://schemas.openxmlformats.org/officeDocument/2006/relationships/hyperlink" Target="https://europepmc.org/article/PMC/PMC11786091" TargetMode="External"/><Relationship Id="rId48" Type="http://schemas.openxmlformats.org/officeDocument/2006/relationships/hyperlink" Target="https://europepmc.org/article/PMC/PMC12389973" TargetMode="External"/><Relationship Id="rId49" Type="http://schemas.openxmlformats.org/officeDocument/2006/relationships/hyperlink" Target="https://europepmc.org/article/PMC/PMC12838146" TargetMode="External"/><Relationship Id="rId50" Type="http://schemas.openxmlformats.org/officeDocument/2006/relationships/hyperlink" Target="https://europepmc.org/article/PMC/PMC12179520" TargetMode="External"/><Relationship Id="rId51" Type="http://schemas.openxmlformats.org/officeDocument/2006/relationships/hyperlink" Target="https://europepmc.org/article/PMC/PMC12371411" TargetMode="External"/><Relationship Id="rId52" Type="http://schemas.openxmlformats.org/officeDocument/2006/relationships/hyperlink" Target="https://europepmc.org/article/PMC/PMC12129765" TargetMode="External"/><Relationship Id="rId53" Type="http://schemas.openxmlformats.org/officeDocument/2006/relationships/hyperlink" Target="https://europepmc.org/article/PMC/PMC12191842" TargetMode="External"/><Relationship Id="rId54" Type="http://schemas.openxmlformats.org/officeDocument/2006/relationships/hyperlink" Target="https://europepmc.org/article/PMC/PMC12326743" TargetMode="External"/><Relationship Id="rId55" Type="http://schemas.openxmlformats.org/officeDocument/2006/relationships/hyperlink" Target="https://europepmc.org/article/PMC/PMC11680720" TargetMode="External"/><Relationship Id="rId56" Type="http://schemas.openxmlformats.org/officeDocument/2006/relationships/hyperlink" Target="https://europepmc.org/article/PMC/PMC12404543" TargetMode="External"/><Relationship Id="rId57" Type="http://schemas.openxmlformats.org/officeDocument/2006/relationships/hyperlink" Target="https://europepmc.org/article/PMC/PMC11781067" TargetMode="External"/><Relationship Id="rId58" Type="http://schemas.openxmlformats.org/officeDocument/2006/relationships/hyperlink" Target="https://europepmc.org/article/PMC/PMC12069281" TargetMode="External"/><Relationship Id="rId59" Type="http://schemas.openxmlformats.org/officeDocument/2006/relationships/hyperlink" Target="https://europepmc.org/article/PMC/PMC12250696" TargetMode="External"/><Relationship Id="rId60" Type="http://schemas.openxmlformats.org/officeDocument/2006/relationships/hyperlink" Target="https://europepmc.org/article/PMC/PMC12104720" TargetMode="External"/><Relationship Id="rId61" Type="http://schemas.openxmlformats.org/officeDocument/2006/relationships/hyperlink" Target="https://europepmc.org/article/PMC/PMC11836176" TargetMode="External"/><Relationship Id="rId62" Type="http://schemas.openxmlformats.org/officeDocument/2006/relationships/hyperlink" Target="https://europepmc.org/article/PMC/PMC12591463" TargetMode="External"/><Relationship Id="rId63" Type="http://schemas.openxmlformats.org/officeDocument/2006/relationships/hyperlink" Target="https://europepmc.org/article/PMC/PMC11719834" TargetMode="External"/><Relationship Id="rId64" Type="http://schemas.openxmlformats.org/officeDocument/2006/relationships/hyperlink" Target="https://europepmc.org/article/PMC/PMC11765744" TargetMode="External"/><Relationship Id="rId65" Type="http://schemas.openxmlformats.org/officeDocument/2006/relationships/hyperlink" Target="https://europepmc.org/article/PMC/PMC12269930" TargetMode="External"/><Relationship Id="rId66" Type="http://schemas.openxmlformats.org/officeDocument/2006/relationships/hyperlink" Target="https://europepmc.org/article/PMC/PMC12812902" TargetMode="External"/><Relationship Id="rId67" Type="http://schemas.openxmlformats.org/officeDocument/2006/relationships/hyperlink" Target="https://europepmc.org/article/PMC/PMC12646731" TargetMode="External"/><Relationship Id="rId68" Type="http://schemas.openxmlformats.org/officeDocument/2006/relationships/hyperlink" Target="https://europepmc.org/article/PMC/PMC12008990" TargetMode="External"/><Relationship Id="rId69" Type="http://schemas.openxmlformats.org/officeDocument/2006/relationships/hyperlink" Target="https://europepmc.org/article/PMC/PMC12370136" TargetMode="External"/><Relationship Id="rId70" Type="http://schemas.openxmlformats.org/officeDocument/2006/relationships/hyperlink" Target="https://europepmc.org/article/PMC/PMC12384400" TargetMode="External"/><Relationship Id="rId71" Type="http://schemas.openxmlformats.org/officeDocument/2006/relationships/hyperlink" Target="https://europepmc.org/article/PMC/PMC12107882" TargetMode="External"/><Relationship Id="rId72" Type="http://schemas.openxmlformats.org/officeDocument/2006/relationships/hyperlink" Target="https://europepmc.org/article/PMC/PMC12608630" TargetMode="External"/><Relationship Id="rId73" Type="http://schemas.openxmlformats.org/officeDocument/2006/relationships/hyperlink" Target="https://europepmc.org/article/PMC/PMC12318030" TargetMode="External"/><Relationship Id="rId74" Type="http://schemas.openxmlformats.org/officeDocument/2006/relationships/hyperlink" Target="https://europepmc.org/article/PMC/PMC11882137" TargetMode="External"/><Relationship Id="rId75" Type="http://schemas.openxmlformats.org/officeDocument/2006/relationships/hyperlink" Target="https://europepmc.org/article/PMC/PMC11988156" TargetMode="External"/><Relationship Id="rId76" Type="http://schemas.openxmlformats.org/officeDocument/2006/relationships/hyperlink" Target="https://europepmc.org/article/PMC/PMC12252233" TargetMode="External"/><Relationship Id="rId77" Type="http://schemas.openxmlformats.org/officeDocument/2006/relationships/hyperlink" Target="https://europepmc.org/article/PMC/PMC12295062" TargetMode="External"/><Relationship Id="rId78" Type="http://schemas.openxmlformats.org/officeDocument/2006/relationships/hyperlink" Target="https://europepmc.org/article/PMC/PMC12222053" TargetMode="External"/><Relationship Id="rId79" Type="http://schemas.openxmlformats.org/officeDocument/2006/relationships/hyperlink" Target="https://europepmc.org/article/PMC/PMC11975991" TargetMode="External"/><Relationship Id="rId80" Type="http://schemas.openxmlformats.org/officeDocument/2006/relationships/hyperlink" Target="https://europepmc.org/article/PMC/PMC11861772" TargetMode="External"/><Relationship Id="rId81" Type="http://schemas.openxmlformats.org/officeDocument/2006/relationships/hyperlink" Target="https://europepmc.org/article/PMC/PMC11937600" TargetMode="External"/><Relationship Id="rId82" Type="http://schemas.openxmlformats.org/officeDocument/2006/relationships/hyperlink" Target="https://europepmc.org/article/PMC/PMC12468869" TargetMode="External"/><Relationship Id="rId83" Type="http://schemas.openxmlformats.org/officeDocument/2006/relationships/hyperlink" Target="https://europepmc.org/article/PMC/PMC12020513" TargetMode="External"/><Relationship Id="rId84" Type="http://schemas.openxmlformats.org/officeDocument/2006/relationships/hyperlink" Target="https://europepmc.org/article/PMC/PMC12217170" TargetMode="External"/><Relationship Id="rId85" Type="http://schemas.openxmlformats.org/officeDocument/2006/relationships/hyperlink" Target="https://europepmc.org/article/PMC/PMC12862092" TargetMode="External"/><Relationship Id="rId86" Type="http://schemas.openxmlformats.org/officeDocument/2006/relationships/hyperlink" Target="https://europepmc.org/article/PMC/PMC12628488" TargetMode="External"/><Relationship Id="rId87" Type="http://schemas.openxmlformats.org/officeDocument/2006/relationships/hyperlink" Target="https://europepmc.org/article/PMC/PMC12535900" TargetMode="External"/><Relationship Id="rId88" Type="http://schemas.openxmlformats.org/officeDocument/2006/relationships/hyperlink" Target="https://europepmc.org/article/PMC/PMC11483474" TargetMode="External"/><Relationship Id="rId89" Type="http://schemas.openxmlformats.org/officeDocument/2006/relationships/hyperlink" Target="https://europepmc.org/article/PMC/PMC12380340" TargetMode="External"/><Relationship Id="rId90" Type="http://schemas.openxmlformats.org/officeDocument/2006/relationships/hyperlink" Target="https://europepmc.org/article/PMC/PMC11837479" TargetMode="External"/><Relationship Id="rId91" Type="http://schemas.openxmlformats.org/officeDocument/2006/relationships/hyperlink" Target="https://europepmc.org/article/PMC/PMC12524090" TargetMode="External"/><Relationship Id="rId92" Type="http://schemas.openxmlformats.org/officeDocument/2006/relationships/hyperlink" Target="https://europepmc.org/article/PMC/PMC11837701" TargetMode="External"/><Relationship Id="rId93" Type="http://schemas.openxmlformats.org/officeDocument/2006/relationships/hyperlink" Target="https://europepmc.org/article/PMC/PMC12701185" TargetMode="External"/><Relationship Id="rId94" Type="http://schemas.openxmlformats.org/officeDocument/2006/relationships/hyperlink" Target="https://europepmc.org/article/PMC/PMC12468862" TargetMode="External"/><Relationship Id="rId95" Type="http://schemas.openxmlformats.org/officeDocument/2006/relationships/hyperlink" Target="https://europepmc.org/article/PMC/PMC11899611" TargetMode="External"/><Relationship Id="rId96" Type="http://schemas.openxmlformats.org/officeDocument/2006/relationships/hyperlink" Target="https://europepmc.org/article/PMC/PMC12399013" TargetMode="External"/><Relationship Id="rId97" Type="http://schemas.openxmlformats.org/officeDocument/2006/relationships/hyperlink" Target="https://europepmc.org/article/PMC/PMC12387618" TargetMode="External"/><Relationship Id="rId98" Type="http://schemas.openxmlformats.org/officeDocument/2006/relationships/hyperlink" Target="https://europepmc.org/article/PMC/PMC12155400" TargetMode="External"/><Relationship Id="rId99" Type="http://schemas.openxmlformats.org/officeDocument/2006/relationships/hyperlink" Target="https://europepmc.org/article/PMC/PMC12349148" TargetMode="External"/><Relationship Id="rId100" Type="http://schemas.openxmlformats.org/officeDocument/2006/relationships/hyperlink" Target="https://europepmc.org/article/PMC/PMC11902609" TargetMode="External"/><Relationship Id="rId101" Type="http://schemas.openxmlformats.org/officeDocument/2006/relationships/hyperlink" Target="https://europepmc.org/article/PMC/PMC12070956" TargetMode="External"/><Relationship Id="rId102" Type="http://schemas.openxmlformats.org/officeDocument/2006/relationships/hyperlink" Target="https://europepmc.org/article/PMC/PMC7617223" TargetMode="External"/><Relationship Id="rId103" Type="http://schemas.openxmlformats.org/officeDocument/2006/relationships/hyperlink" Target="https://europepmc.org/article/PMC/PMC12179047" TargetMode="External"/><Relationship Id="rId104" Type="http://schemas.openxmlformats.org/officeDocument/2006/relationships/hyperlink" Target="https://europepmc.org/article/PMC/PMC12436311" TargetMode="External"/><Relationship Id="rId105" Type="http://schemas.openxmlformats.org/officeDocument/2006/relationships/hyperlink" Target="https://europepmc.org/article/PMC/PMC12350125" TargetMode="External"/><Relationship Id="rId106" Type="http://schemas.openxmlformats.org/officeDocument/2006/relationships/hyperlink" Target="https://europepmc.org/article/PMC/PMC12280904" TargetMode="External"/><Relationship Id="rId107" Type="http://schemas.openxmlformats.org/officeDocument/2006/relationships/hyperlink" Target="https://europepmc.org/article/PMC/PMC11950503" TargetMode="External"/><Relationship Id="rId108" Type="http://schemas.openxmlformats.org/officeDocument/2006/relationships/hyperlink" Target="https://europepmc.org/article/PMC/PMC11979982" TargetMode="External"/><Relationship Id="rId109" Type="http://schemas.openxmlformats.org/officeDocument/2006/relationships/hyperlink" Target="https://europepmc.org/article/PMC/PMC11981170" TargetMode="External"/><Relationship Id="rId110" Type="http://schemas.openxmlformats.org/officeDocument/2006/relationships/hyperlink" Target="https://europepmc.org/article/PMC/PMC12295850" TargetMode="External"/><Relationship Id="rId111" Type="http://schemas.openxmlformats.org/officeDocument/2006/relationships/hyperlink" Target="https://europepmc.org/article/PMC/PMC12427627" TargetMode="External"/><Relationship Id="rId112" Type="http://schemas.openxmlformats.org/officeDocument/2006/relationships/hyperlink" Target="https://europepmc.org/article/PMC/PMC12460420" TargetMode="External"/><Relationship Id="rId113" Type="http://schemas.openxmlformats.org/officeDocument/2006/relationships/hyperlink" Target="https://europepmc.org/article/PMC/PMC12142743" TargetMode="External"/><Relationship Id="rId114" Type="http://schemas.openxmlformats.org/officeDocument/2006/relationships/hyperlink" Target="https://europepmc.org/article/PMC/PMC12052716" TargetMode="External"/><Relationship Id="rId115" Type="http://schemas.openxmlformats.org/officeDocument/2006/relationships/hyperlink" Target="https://europepmc.org/article/PMC/PMC12264328" TargetMode="External"/><Relationship Id="rId116" Type="http://schemas.openxmlformats.org/officeDocument/2006/relationships/hyperlink" Target="https://europepmc.org/article/PMC/PMC12310693" TargetMode="External"/><Relationship Id="rId117" Type="http://schemas.openxmlformats.org/officeDocument/2006/relationships/hyperlink" Target="https://europepmc.org/article/PMC/PMC11817112" TargetMode="External"/><Relationship Id="rId118" Type="http://schemas.openxmlformats.org/officeDocument/2006/relationships/hyperlink" Target="https://europepmc.org/article/PMC/PMC12316994" TargetMode="External"/><Relationship Id="rId119" Type="http://schemas.openxmlformats.org/officeDocument/2006/relationships/hyperlink" Target="https://europepmc.org/article/PMC/PMC11987621" TargetMode="External"/><Relationship Id="rId120" Type="http://schemas.openxmlformats.org/officeDocument/2006/relationships/hyperlink" Target="https://europepmc.org/article/PMC/PMC12440165" TargetMode="External"/><Relationship Id="rId121" Type="http://schemas.openxmlformats.org/officeDocument/2006/relationships/hyperlink" Target="https://europepmc.org/article/PMC/PMC12733862" TargetMode="External"/><Relationship Id="rId122" Type="http://schemas.openxmlformats.org/officeDocument/2006/relationships/hyperlink" Target="https://europepmc.org/article/PMC/PMC12227691" TargetMode="External"/><Relationship Id="rId123" Type="http://schemas.openxmlformats.org/officeDocument/2006/relationships/hyperlink" Target="https://europepmc.org/article/PMC/PMC12193078" TargetMode="External"/><Relationship Id="rId124" Type="http://schemas.openxmlformats.org/officeDocument/2006/relationships/hyperlink" Target="https://europepmc.org/article/PMC/PMC12499557" TargetMode="External"/><Relationship Id="rId125" Type="http://schemas.openxmlformats.org/officeDocument/2006/relationships/hyperlink" Target="https://europepmc.org/article/PMC/PMC12332990" TargetMode="External"/><Relationship Id="rId126" Type="http://schemas.openxmlformats.org/officeDocument/2006/relationships/hyperlink" Target="https://europepmc.org/article/PMC/PMC12580201" TargetMode="External"/><Relationship Id="rId127" Type="http://schemas.openxmlformats.org/officeDocument/2006/relationships/hyperlink" Target="https://europepmc.org/article/PMC/PMC11898657" TargetMode="External"/><Relationship Id="rId128" Type="http://schemas.openxmlformats.org/officeDocument/2006/relationships/hyperlink" Target="https://europepmc.org/article/PMC/PMC11983456" TargetMode="External"/><Relationship Id="rId129" Type="http://schemas.openxmlformats.org/officeDocument/2006/relationships/hyperlink" Target="https://europepmc.org/article/PMC/PMC12467694" TargetMode="External"/><Relationship Id="rId130" Type="http://schemas.openxmlformats.org/officeDocument/2006/relationships/hyperlink" Target="https://europepmc.org/article/PMC/PMC12119131" TargetMode="External"/><Relationship Id="rId131" Type="http://schemas.openxmlformats.org/officeDocument/2006/relationships/hyperlink" Target="https://europepmc.org/article/PMC/PMC11933192" TargetMode="External"/><Relationship Id="rId132" Type="http://schemas.openxmlformats.org/officeDocument/2006/relationships/hyperlink" Target="https://europepmc.org/article/PMC/PMC12189867" TargetMode="External"/><Relationship Id="rId133" Type="http://schemas.openxmlformats.org/officeDocument/2006/relationships/hyperlink" Target="https://europepmc.org/article/PMC/PMC12404480" TargetMode="External"/><Relationship Id="rId134" Type="http://schemas.openxmlformats.org/officeDocument/2006/relationships/hyperlink" Target="https://europepmc.org/article/PMC/PMC12239351" TargetMode="External"/><Relationship Id="rId135" Type="http://schemas.openxmlformats.org/officeDocument/2006/relationships/hyperlink" Target="https://europepmc.org/article/PMC/PMC12471856" TargetMode="External"/><Relationship Id="rId136" Type="http://schemas.openxmlformats.org/officeDocument/2006/relationships/hyperlink" Target="https://europepmc.org/article/PMC/PMC12213050" TargetMode="External"/><Relationship Id="rId137" Type="http://schemas.openxmlformats.org/officeDocument/2006/relationships/hyperlink" Target="https://europepmc.org/article/PMC/PMC11999632" TargetMode="External"/><Relationship Id="rId138" Type="http://schemas.openxmlformats.org/officeDocument/2006/relationships/hyperlink" Target="https://europepmc.org/article/PMC/PMC12388561" TargetMode="External"/><Relationship Id="rId139" Type="http://schemas.openxmlformats.org/officeDocument/2006/relationships/hyperlink" Target="https://europepmc.org/article/PMC/PMC12190387" TargetMode="External"/><Relationship Id="rId140" Type="http://schemas.openxmlformats.org/officeDocument/2006/relationships/hyperlink" Target="https://europepmc.org/article/PMC/PMC12489083" TargetMode="External"/><Relationship Id="rId141" Type="http://schemas.openxmlformats.org/officeDocument/2006/relationships/hyperlink" Target="https://europepmc.org/article/PMC/PMC12620616" TargetMode="External"/><Relationship Id="rId142" Type="http://schemas.openxmlformats.org/officeDocument/2006/relationships/hyperlink" Target="https://europepmc.org/article/PMC/PMC12234637" TargetMode="External"/><Relationship Id="rId143" Type="http://schemas.openxmlformats.org/officeDocument/2006/relationships/hyperlink" Target="https://europepmc.org/article/PMC/PMC12290913" TargetMode="External"/><Relationship Id="rId144" Type="http://schemas.openxmlformats.org/officeDocument/2006/relationships/hyperlink" Target="https://europepmc.org/article/PMC/PMC11898873" TargetMode="External"/><Relationship Id="rId145" Type="http://schemas.openxmlformats.org/officeDocument/2006/relationships/hyperlink" Target="https://europepmc.org/article/PMC/PMC12564389" TargetMode="External"/><Relationship Id="rId146" Type="http://schemas.openxmlformats.org/officeDocument/2006/relationships/hyperlink" Target="https://europepmc.org/article/PMC/PMC11667687" TargetMode="External"/><Relationship Id="rId147" Type="http://schemas.openxmlformats.org/officeDocument/2006/relationships/hyperlink" Target="https://europepmc.org/article/PMC/PMC12212108" TargetMode="External"/><Relationship Id="rId148" Type="http://schemas.openxmlformats.org/officeDocument/2006/relationships/hyperlink" Target="https://europepmc.org/article/PMC/PMC12610522" TargetMode="External"/><Relationship Id="rId149" Type="http://schemas.openxmlformats.org/officeDocument/2006/relationships/hyperlink" Target="https://europepmc.org/article/PMC/PMC12563722" TargetMode="External"/><Relationship Id="rId150" Type="http://schemas.openxmlformats.org/officeDocument/2006/relationships/hyperlink" Target="https://europepmc.org/article/PMC/PMC12605480" TargetMode="External"/><Relationship Id="rId151" Type="http://schemas.openxmlformats.org/officeDocument/2006/relationships/hyperlink" Target="https://europepmc.org/article/PMC/PMC12092319" TargetMode="External"/><Relationship Id="rId152" Type="http://schemas.openxmlformats.org/officeDocument/2006/relationships/hyperlink" Target="https://europepmc.org/article/PMC/PMC11774367" TargetMode="External"/><Relationship Id="rId153" Type="http://schemas.openxmlformats.org/officeDocument/2006/relationships/hyperlink" Target="https://europepmc.org/article/PMC/PMC12027922" TargetMode="External"/><Relationship Id="rId154" Type="http://schemas.openxmlformats.org/officeDocument/2006/relationships/hyperlink" Target="https://europepmc.org/article/PMC/PMC12383659" TargetMode="External"/><Relationship Id="rId155" Type="http://schemas.openxmlformats.org/officeDocument/2006/relationships/hyperlink" Target="https://europepmc.org/article/PMC/PMC12603675" TargetMode="External"/><Relationship Id="rId156" Type="http://schemas.openxmlformats.org/officeDocument/2006/relationships/hyperlink" Target="https://europepmc.org/article/PMC/PMC12552472" TargetMode="External"/><Relationship Id="rId157" Type="http://schemas.openxmlformats.org/officeDocument/2006/relationships/hyperlink" Target="https://europepmc.org/article/PMC/PMC12148044" TargetMode="External"/><Relationship Id="rId158" Type="http://schemas.openxmlformats.org/officeDocument/2006/relationships/hyperlink" Target="https://europepmc.org/article/PMC/PMC12606778" TargetMode="External"/><Relationship Id="rId159" Type="http://schemas.openxmlformats.org/officeDocument/2006/relationships/hyperlink" Target="https://europepmc.org/article/PMC/PMC11968703" TargetMode="External"/><Relationship Id="rId160" Type="http://schemas.openxmlformats.org/officeDocument/2006/relationships/hyperlink" Target="https://europepmc.org/article/PMC/PMC12467930" TargetMode="External"/><Relationship Id="rId161" Type="http://schemas.openxmlformats.org/officeDocument/2006/relationships/hyperlink" Target="https://europepmc.org/article/PMC/PMC13223431" TargetMode="External"/><Relationship Id="rId162" Type="http://schemas.openxmlformats.org/officeDocument/2006/relationships/hyperlink" Target="https://europepmc.org/article/PMC/PMC12513637" TargetMode="External"/><Relationship Id="rId163" Type="http://schemas.openxmlformats.org/officeDocument/2006/relationships/hyperlink" Target="https://europepmc.org/article/PMC/PMC12687559" TargetMode="External"/><Relationship Id="rId164" Type="http://schemas.openxmlformats.org/officeDocument/2006/relationships/hyperlink" Target="https://europepmc.org/article/PMC/PMC12316318" TargetMode="External"/><Relationship Id="rId165" Type="http://schemas.openxmlformats.org/officeDocument/2006/relationships/hyperlink" Target="https://europepmc.org/article/PMC/PMC12353728" TargetMode="External"/><Relationship Id="rId166" Type="http://schemas.openxmlformats.org/officeDocument/2006/relationships/hyperlink" Target="https://europepmc.org/article/PMC/PMC12485631" TargetMode="External"/><Relationship Id="rId167" Type="http://schemas.openxmlformats.org/officeDocument/2006/relationships/hyperlink" Target="https://europepmc.org/article/PMC/PMC11999846" TargetMode="External"/><Relationship Id="rId168" Type="http://schemas.openxmlformats.org/officeDocument/2006/relationships/hyperlink" Target="https://europepmc.org/article/PMC/PMC12396830" TargetMode="External"/><Relationship Id="rId169" Type="http://schemas.openxmlformats.org/officeDocument/2006/relationships/hyperlink" Target="https://europepmc.org/article/PMC/PMC12689593" TargetMode="External"/><Relationship Id="rId170" Type="http://schemas.openxmlformats.org/officeDocument/2006/relationships/hyperlink" Target="https://europepmc.org/article/PMC/PMC12345889" TargetMode="External"/><Relationship Id="rId171" Type="http://schemas.openxmlformats.org/officeDocument/2006/relationships/hyperlink" Target="https://europepmc.org/article/PMC/PMC12737021" TargetMode="External"/><Relationship Id="rId172" Type="http://schemas.openxmlformats.org/officeDocument/2006/relationships/hyperlink" Target="https://europepmc.org/article/PMC/PMC12387165" TargetMode="External"/><Relationship Id="rId173" Type="http://schemas.openxmlformats.org/officeDocument/2006/relationships/hyperlink" Target="https://europepmc.org/article/PMC/PMC12143801" TargetMode="External"/><Relationship Id="rId174" Type="http://schemas.openxmlformats.org/officeDocument/2006/relationships/hyperlink" Target="https://europepmc.org/article/PMC/PMC12564920" TargetMode="External"/><Relationship Id="rId175" Type="http://schemas.openxmlformats.org/officeDocument/2006/relationships/hyperlink" Target="https://europepmc.org/article/PMC/PMC12845566" TargetMode="External"/><Relationship Id="rId176" Type="http://schemas.openxmlformats.org/officeDocument/2006/relationships/hyperlink" Target="https://europepmc.org/article/PMC/PMC11766424" TargetMode="External"/><Relationship Id="rId177" Type="http://schemas.openxmlformats.org/officeDocument/2006/relationships/hyperlink" Target="https://europepmc.org/article/PMC/PMC12143367" TargetMode="External"/><Relationship Id="rId178" Type="http://schemas.openxmlformats.org/officeDocument/2006/relationships/hyperlink" Target="https://europepmc.org/article/PMC/PMC12189467" TargetMode="External"/><Relationship Id="rId179" Type="http://schemas.openxmlformats.org/officeDocument/2006/relationships/hyperlink" Target="https://europepmc.org/article/PMC/PMC12295020" TargetMode="External"/><Relationship Id="rId180" Type="http://schemas.openxmlformats.org/officeDocument/2006/relationships/hyperlink" Target="https://europepmc.org/article/PMC/PMC12249172" TargetMode="External"/><Relationship Id="rId181" Type="http://schemas.openxmlformats.org/officeDocument/2006/relationships/hyperlink" Target="https://europepmc.org/article/PMC/PMC12572571" TargetMode="External"/><Relationship Id="rId182" Type="http://schemas.openxmlformats.org/officeDocument/2006/relationships/hyperlink" Target="https://europepmc.org/article/PMC/PMC12322712" TargetMode="External"/><Relationship Id="rId183" Type="http://schemas.openxmlformats.org/officeDocument/2006/relationships/hyperlink" Target="https://europepmc.org/article/PMC/PMC11856240" TargetMode="External"/><Relationship Id="rId184" Type="http://schemas.openxmlformats.org/officeDocument/2006/relationships/hyperlink" Target="https://europepmc.org/article/PMC/PMC12669110" TargetMode="External"/><Relationship Id="rId185" Type="http://schemas.openxmlformats.org/officeDocument/2006/relationships/hyperlink" Target="https://europepmc.org/article/PMC/PMC12152023" TargetMode="External"/><Relationship Id="rId186" Type="http://schemas.openxmlformats.org/officeDocument/2006/relationships/hyperlink" Target="https://europepmc.org/article/PMC/PMC12444220" TargetMode="External"/><Relationship Id="rId187" Type="http://schemas.openxmlformats.org/officeDocument/2006/relationships/hyperlink" Target="https://europepmc.org/article/PMC/PMC12190310" TargetMode="External"/><Relationship Id="rId188" Type="http://schemas.openxmlformats.org/officeDocument/2006/relationships/hyperlink" Target="https://europepmc.org/article/PMC/PMC12063467" TargetMode="External"/><Relationship Id="rId189" Type="http://schemas.openxmlformats.org/officeDocument/2006/relationships/hyperlink" Target="https://europepmc.org/article/PMC/PMC12346750" TargetMode="External"/><Relationship Id="rId190" Type="http://schemas.openxmlformats.org/officeDocument/2006/relationships/hyperlink" Target="https://europepmc.org/article/PMC/PMC12565449" TargetMode="External"/><Relationship Id="rId191" Type="http://schemas.openxmlformats.org/officeDocument/2006/relationships/hyperlink" Target="https://europepmc.org/article/PMC/PMC12886037" TargetMode="External"/><Relationship Id="rId192" Type="http://schemas.openxmlformats.org/officeDocument/2006/relationships/hyperlink" Target="https://europepmc.org/article/PMC/PMC12218925" TargetMode="External"/><Relationship Id="rId193" Type="http://schemas.openxmlformats.org/officeDocument/2006/relationships/hyperlink" Target="https://europepmc.org/article/PMC/PMC12454447" TargetMode="External"/><Relationship Id="rId194" Type="http://schemas.openxmlformats.org/officeDocument/2006/relationships/hyperlink" Target="https://europepmc.org/article/PMC/PMC12165889" TargetMode="External"/><Relationship Id="rId195" Type="http://schemas.openxmlformats.org/officeDocument/2006/relationships/hyperlink" Target="https://europepmc.org/article/PMC/PMC11988322" TargetMode="External"/><Relationship Id="rId196" Type="http://schemas.openxmlformats.org/officeDocument/2006/relationships/hyperlink" Target="https://europepmc.org/article/PMC/PMC12405214" TargetMode="External"/><Relationship Id="rId197" Type="http://schemas.openxmlformats.org/officeDocument/2006/relationships/hyperlink" Target="https://europepmc.org/article/PMC/PMC12157125" TargetMode="External"/><Relationship Id="rId198" Type="http://schemas.openxmlformats.org/officeDocument/2006/relationships/hyperlink" Target="https://europepmc.org/article/PMC/PMC12162252" TargetMode="External"/><Relationship Id="rId199" Type="http://schemas.openxmlformats.org/officeDocument/2006/relationships/hyperlink" Target="https://europepmc.org/article/PMC/PMC12572109" TargetMode="External"/><Relationship Id="rId200" Type="http://schemas.openxmlformats.org/officeDocument/2006/relationships/hyperlink" Target="https://europepmc.org/article/PMC/PMC11763917" TargetMode="External"/><Relationship Id="rId201" Type="http://schemas.openxmlformats.org/officeDocument/2006/relationships/hyperlink" Target="https://europepmc.org/article/PMC/PMC11695392" TargetMode="External"/><Relationship Id="rId202" Type="http://schemas.openxmlformats.org/officeDocument/2006/relationships/hyperlink" Target="https://europepmc.org/article/PMC/PMC12346189" TargetMode="External"/><Relationship Id="rId203" Type="http://schemas.openxmlformats.org/officeDocument/2006/relationships/hyperlink" Target="https://europepmc.org/article/PMC/PMC12336342" TargetMode="External"/><Relationship Id="rId204" Type="http://schemas.openxmlformats.org/officeDocument/2006/relationships/hyperlink" Target="https://europepmc.org/article/PMC/PMC11866614" TargetMode="External"/><Relationship Id="rId205" Type="http://schemas.openxmlformats.org/officeDocument/2006/relationships/hyperlink" Target="https://europepmc.org/article/PMC/PMC12066621" TargetMode="External"/><Relationship Id="rId206" Type="http://schemas.openxmlformats.org/officeDocument/2006/relationships/hyperlink" Target="https://europepmc.org/article/PMC/PMC11999292" TargetMode="External"/><Relationship Id="rId207" Type="http://schemas.openxmlformats.org/officeDocument/2006/relationships/hyperlink" Target="https://europepmc.org/article/PMC/PMC13105305" TargetMode="External"/><Relationship Id="rId208" Type="http://schemas.openxmlformats.org/officeDocument/2006/relationships/hyperlink" Target="https://europepmc.org/article/PMC/PMC11950469" TargetMode="External"/><Relationship Id="rId209" Type="http://schemas.openxmlformats.org/officeDocument/2006/relationships/hyperlink" Target="https://europepmc.org/article/PMC/PMC11835854" TargetMode="External"/><Relationship Id="rId210" Type="http://schemas.openxmlformats.org/officeDocument/2006/relationships/hyperlink" Target="https://europepmc.org/article/PMC/PMC11944010" TargetMode="External"/><Relationship Id="rId211" Type="http://schemas.openxmlformats.org/officeDocument/2006/relationships/hyperlink" Target="https://europepmc.org/article/PMC/PMC12650808" TargetMode="External"/><Relationship Id="rId212" Type="http://schemas.openxmlformats.org/officeDocument/2006/relationships/hyperlink" Target="https://europepmc.org/article/PMC/PMC12647221" TargetMode="External"/><Relationship Id="rId213" Type="http://schemas.openxmlformats.org/officeDocument/2006/relationships/hyperlink" Target="https://europepmc.org/article/PMC/PMC12283581" TargetMode="External"/><Relationship Id="rId214" Type="http://schemas.openxmlformats.org/officeDocument/2006/relationships/hyperlink" Target="https://europepmc.org/article/PMC/PMC12036548" TargetMode="External"/><Relationship Id="rId215" Type="http://schemas.openxmlformats.org/officeDocument/2006/relationships/hyperlink" Target="https://europepmc.org/article/PMC/PMC12329014" TargetMode="External"/><Relationship Id="rId216" Type="http://schemas.openxmlformats.org/officeDocument/2006/relationships/hyperlink" Target="https://europepmc.org/article/PMC/PMC12021809" TargetMode="External"/><Relationship Id="rId217" Type="http://schemas.openxmlformats.org/officeDocument/2006/relationships/hyperlink" Target="https://europepmc.org/article/PMC/PMC12685141" TargetMode="External"/><Relationship Id="rId218" Type="http://schemas.openxmlformats.org/officeDocument/2006/relationships/hyperlink" Target="https://europepmc.org/article/PMC/PMC12646915" TargetMode="External"/><Relationship Id="rId219" Type="http://schemas.openxmlformats.org/officeDocument/2006/relationships/hyperlink" Target="https://europepmc.org/article/PMC/PMC12691013" TargetMode="External"/><Relationship Id="rId220" Type="http://schemas.openxmlformats.org/officeDocument/2006/relationships/hyperlink" Target="https://europepmc.org/article/PMC/PMC11761908" TargetMode="External"/><Relationship Id="rId221" Type="http://schemas.openxmlformats.org/officeDocument/2006/relationships/hyperlink" Target="https://europepmc.org/article/PMC/PMC12405520" TargetMode="External"/><Relationship Id="rId222" Type="http://schemas.openxmlformats.org/officeDocument/2006/relationships/hyperlink" Target="https://europepmc.org/article/PMC/PMC11902864" TargetMode="External"/><Relationship Id="rId223" Type="http://schemas.openxmlformats.org/officeDocument/2006/relationships/hyperlink" Target="https://europepmc.org/article/PMC/PMC12153998" TargetMode="External"/><Relationship Id="rId224" Type="http://schemas.openxmlformats.org/officeDocument/2006/relationships/hyperlink" Target="https://europepmc.org/article/PMC/PMC12085623" TargetMode="External"/><Relationship Id="rId225" Type="http://schemas.openxmlformats.org/officeDocument/2006/relationships/hyperlink" Target="https://europepmc.org/article/PMC/PMC12861897" TargetMode="External"/><Relationship Id="rId226" Type="http://schemas.openxmlformats.org/officeDocument/2006/relationships/hyperlink" Target="https://europepmc.org/article/PMC/PMC12862074" TargetMode="External"/><Relationship Id="rId227" Type="http://schemas.openxmlformats.org/officeDocument/2006/relationships/hyperlink" Target="https://europepmc.org/article/PMC/PMC11763248" TargetMode="External"/><Relationship Id="rId228" Type="http://schemas.openxmlformats.org/officeDocument/2006/relationships/hyperlink" Target="https://europepmc.org/article/PMC/PMC12733839" TargetMode="External"/><Relationship Id="rId229" Type="http://schemas.openxmlformats.org/officeDocument/2006/relationships/hyperlink" Target="https://europepmc.org/article/PMC/PMC12686508" TargetMode="External"/><Relationship Id="rId230" Type="http://schemas.openxmlformats.org/officeDocument/2006/relationships/hyperlink" Target="https://europepmc.org/article/PMC/PMC12148559" TargetMode="External"/><Relationship Id="rId231" Type="http://schemas.openxmlformats.org/officeDocument/2006/relationships/hyperlink" Target="https://europepmc.org/article/PMC/PMC12817460" TargetMode="External"/><Relationship Id="rId232" Type="http://schemas.openxmlformats.org/officeDocument/2006/relationships/hyperlink" Target="https://europepmc.org/article/PMC/PMC12189345" TargetMode="External"/><Relationship Id="rId233" Type="http://schemas.openxmlformats.org/officeDocument/2006/relationships/hyperlink" Target="https://europepmc.org/article/PMC/PMC11974447" TargetMode="External"/><Relationship Id="rId234" Type="http://schemas.openxmlformats.org/officeDocument/2006/relationships/hyperlink" Target="https://europepmc.org/article/PMC/PMC13223442" TargetMode="External"/><Relationship Id="rId235" Type="http://schemas.openxmlformats.org/officeDocument/2006/relationships/hyperlink" Target="https://europepmc.org/article/PMC/PMC12460464" TargetMode="External"/><Relationship Id="rId236" Type="http://schemas.openxmlformats.org/officeDocument/2006/relationships/hyperlink" Target="https://europepmc.org/article/PMC/PMC12229398" TargetMode="External"/><Relationship Id="rId237" Type="http://schemas.openxmlformats.org/officeDocument/2006/relationships/hyperlink" Target="https://europepmc.org/article/PMC/PMC12249270" TargetMode="External"/><Relationship Id="rId238" Type="http://schemas.openxmlformats.org/officeDocument/2006/relationships/hyperlink" Target="https://europepmc.org/article/PMC/PMC12358265" TargetMode="External"/><Relationship Id="rId239" Type="http://schemas.openxmlformats.org/officeDocument/2006/relationships/hyperlink" Target="https://europepmc.org/article/PMC/PMC11936934" TargetMode="External"/><Relationship Id="rId240" Type="http://schemas.openxmlformats.org/officeDocument/2006/relationships/hyperlink" Target="https://europepmc.org/article/PMC/PMC11852629" TargetMode="External"/><Relationship Id="rId241" Type="http://schemas.openxmlformats.org/officeDocument/2006/relationships/hyperlink" Target="https://europepmc.org/article/PMC/PMC12812965" TargetMode="External"/><Relationship Id="rId242" Type="http://schemas.openxmlformats.org/officeDocument/2006/relationships/hyperlink" Target="https://europepmc.org/article/PMC/PMC12293373" TargetMode="External"/><Relationship Id="rId243" Type="http://schemas.openxmlformats.org/officeDocument/2006/relationships/hyperlink" Target="https://europepmc.org/article/PMC/PMC12085910" TargetMode="External"/><Relationship Id="rId244" Type="http://schemas.openxmlformats.org/officeDocument/2006/relationships/hyperlink" Target="https://europepmc.org/article/PMC/PMC12833296" TargetMode="External"/><Relationship Id="rId245" Type="http://schemas.openxmlformats.org/officeDocument/2006/relationships/hyperlink" Target="https://europepmc.org/article/PMC/PMC12286415" TargetMode="External"/><Relationship Id="rId246" Type="http://schemas.openxmlformats.org/officeDocument/2006/relationships/hyperlink" Target="https://europepmc.org/article/PMC/PMC11816878" TargetMode="External"/><Relationship Id="rId247" Type="http://schemas.openxmlformats.org/officeDocument/2006/relationships/hyperlink" Target="https://europepmc.org/article/PMC/PMC12409722" TargetMode="External"/><Relationship Id="rId248" Type="http://schemas.openxmlformats.org/officeDocument/2006/relationships/hyperlink" Target="https://europepmc.org/article/PMC/PMC11852041" TargetMode="External"/><Relationship Id="rId249" Type="http://schemas.openxmlformats.org/officeDocument/2006/relationships/hyperlink" Target="https://europepmc.org/article/PMC/PMC12797949" TargetMode="External"/><Relationship Id="rId250" Type="http://schemas.openxmlformats.org/officeDocument/2006/relationships/hyperlink" Target="https://europepmc.org/article/PMC/PMC12436478" TargetMode="External"/><Relationship Id="rId251" Type="http://schemas.openxmlformats.org/officeDocument/2006/relationships/hyperlink" Target="https://europepmc.org/article/PMC/PMC12722621" TargetMode="External"/><Relationship Id="rId252" Type="http://schemas.openxmlformats.org/officeDocument/2006/relationships/hyperlink" Target="https://europepmc.org/article/PMC/PMC11771893" TargetMode="External"/><Relationship Id="rId253" Type="http://schemas.openxmlformats.org/officeDocument/2006/relationships/hyperlink" Target="https://europepmc.org/article/PMC/PMC11729609" TargetMode="External"/><Relationship Id="rId254" Type="http://schemas.openxmlformats.org/officeDocument/2006/relationships/hyperlink" Target="https://europepmc.org/article/PMC/PMC12734304" TargetMode="External"/><Relationship Id="rId255" Type="http://schemas.openxmlformats.org/officeDocument/2006/relationships/hyperlink" Target="https://europepmc.org/article/PMC/PMC12183800" TargetMode="External"/><Relationship Id="rId256" Type="http://schemas.openxmlformats.org/officeDocument/2006/relationships/hyperlink" Target="https://europepmc.org/article/PMC/PMC12025211" TargetMode="External"/><Relationship Id="rId257" Type="http://schemas.openxmlformats.org/officeDocument/2006/relationships/hyperlink" Target="https://europepmc.org/article/PMC/PMC12534675" TargetMode="External"/><Relationship Id="rId258" Type="http://schemas.openxmlformats.org/officeDocument/2006/relationships/hyperlink" Target="https://europepmc.org/article/PMC/PMC12711134" TargetMode="External"/><Relationship Id="rId259" Type="http://schemas.openxmlformats.org/officeDocument/2006/relationships/hyperlink" Target="https://europepmc.org/article/PMC/PMC12855055" TargetMode="External"/><Relationship Id="rId260" Type="http://schemas.openxmlformats.org/officeDocument/2006/relationships/hyperlink" Target="https://europepmc.org/article/PMC/PMC12731630" TargetMode="External"/><Relationship Id="rId261" Type="http://schemas.openxmlformats.org/officeDocument/2006/relationships/hyperlink" Target="https://europepmc.org/article/PMC/PMC12491050" TargetMode="External"/><Relationship Id="rId262" Type="http://schemas.openxmlformats.org/officeDocument/2006/relationships/hyperlink" Target="https://europepmc.org/article/PMC/PMC11971367" TargetMode="External"/><Relationship Id="rId263" Type="http://schemas.openxmlformats.org/officeDocument/2006/relationships/hyperlink" Target="https://europepmc.org/article/PMC/PMC12387851" TargetMode="External"/><Relationship Id="rId264" Type="http://schemas.openxmlformats.org/officeDocument/2006/relationships/hyperlink" Target="https://europepmc.org/article/PMC/PMC12699262" TargetMode="External"/><Relationship Id="rId265" Type="http://schemas.openxmlformats.org/officeDocument/2006/relationships/hyperlink" Target="https://europepmc.org/article/PMC/PMC13223414" TargetMode="External"/><Relationship Id="rId266" Type="http://schemas.openxmlformats.org/officeDocument/2006/relationships/hyperlink" Target="https://europepmc.org/article/PMC/PMC12523697" TargetMode="External"/><Relationship Id="rId267" Type="http://schemas.openxmlformats.org/officeDocument/2006/relationships/hyperlink" Target="https://europepmc.org/article/PMC/PMC12745478" TargetMode="External"/><Relationship Id="rId268" Type="http://schemas.openxmlformats.org/officeDocument/2006/relationships/hyperlink" Target="https://europepmc.org/article/PMC/PMC11929326" TargetMode="External"/><Relationship Id="rId269" Type="http://schemas.openxmlformats.org/officeDocument/2006/relationships/hyperlink" Target="https://europepmc.org/article/PMC/PMC11953181" TargetMode="External"/><Relationship Id="rId270" Type="http://schemas.openxmlformats.org/officeDocument/2006/relationships/hyperlink" Target="https://europepmc.org/article/PMC/PMC12190484" TargetMode="External"/><Relationship Id="rId271" Type="http://schemas.openxmlformats.org/officeDocument/2006/relationships/hyperlink" Target="https://europepmc.org/article/PMC/PMC12237964" TargetMode="External"/><Relationship Id="rId272" Type="http://schemas.openxmlformats.org/officeDocument/2006/relationships/hyperlink" Target="https://europepmc.org/article/PMC/PMC12271101" TargetMode="External"/><Relationship Id="rId273" Type="http://schemas.openxmlformats.org/officeDocument/2006/relationships/hyperlink" Target="https://europepmc.org/article/PMC/PMC11970440" TargetMode="External"/><Relationship Id="rId274" Type="http://schemas.openxmlformats.org/officeDocument/2006/relationships/hyperlink" Target="https://europepmc.org/article/PMC/PMC11999707" TargetMode="External"/><Relationship Id="rId275" Type="http://schemas.openxmlformats.org/officeDocument/2006/relationships/hyperlink" Target="https://europepmc.org/article/PMC/PMC12074408" TargetMode="External"/><Relationship Id="rId276" Type="http://schemas.openxmlformats.org/officeDocument/2006/relationships/hyperlink" Target="https://europepmc.org/article/PMC/PMC12154171" TargetMode="External"/><Relationship Id="rId277" Type="http://schemas.openxmlformats.org/officeDocument/2006/relationships/hyperlink" Target="https://europepmc.org/article/PMC/PMC12204963" TargetMode="External"/><Relationship Id="rId278" Type="http://schemas.openxmlformats.org/officeDocument/2006/relationships/hyperlink" Target="https://europepmc.org/article/PMC/PMC12088959" TargetMode="External"/><Relationship Id="rId279" Type="http://schemas.openxmlformats.org/officeDocument/2006/relationships/hyperlink" Target="https://europepmc.org/article/PMC/PMC11719945" TargetMode="External"/><Relationship Id="rId280" Type="http://schemas.openxmlformats.org/officeDocument/2006/relationships/hyperlink" Target="https://europepmc.org/article/PMC/PMC12280878" TargetMode="External"/><Relationship Id="rId281" Type="http://schemas.openxmlformats.org/officeDocument/2006/relationships/hyperlink" Target="https://europepmc.org/article/PMC/PMC12074947" TargetMode="External"/><Relationship Id="rId282" Type="http://schemas.openxmlformats.org/officeDocument/2006/relationships/hyperlink" Target="https://europepmc.org/article/PMC/PMC12516162" TargetMode="External"/><Relationship Id="rId283" Type="http://schemas.openxmlformats.org/officeDocument/2006/relationships/hyperlink" Target="https://europepmc.org/article/PMC/PMC12833394" TargetMode="External"/><Relationship Id="rId284" Type="http://schemas.openxmlformats.org/officeDocument/2006/relationships/hyperlink" Target="https://europepmc.org/article/PMC/PMC12245699" TargetMode="External"/><Relationship Id="rId285" Type="http://schemas.openxmlformats.org/officeDocument/2006/relationships/hyperlink" Target="https://europepmc.org/article/PMC/PMC12610351" TargetMode="External"/><Relationship Id="rId286" Type="http://schemas.openxmlformats.org/officeDocument/2006/relationships/hyperlink" Target="https://europepmc.org/article/PMC/PMC12691452" TargetMode="External"/><Relationship Id="rId287" Type="http://schemas.openxmlformats.org/officeDocument/2006/relationships/hyperlink" Target="https://europepmc.org/article/PMC/PMC12594325" TargetMode="External"/><Relationship Id="rId288" Type="http://schemas.openxmlformats.org/officeDocument/2006/relationships/hyperlink" Target="https://europepmc.org/article/PMC/PMC12565600" TargetMode="External"/><Relationship Id="rId289" Type="http://schemas.openxmlformats.org/officeDocument/2006/relationships/hyperlink" Target="https://europepmc.org/article/PMC/PMC12658776" TargetMode="External"/><Relationship Id="rId290" Type="http://schemas.openxmlformats.org/officeDocument/2006/relationships/hyperlink" Target="https://europepmc.org/article/PMC/PMC12141237" TargetMode="External"/><Relationship Id="rId291" Type="http://schemas.openxmlformats.org/officeDocument/2006/relationships/hyperlink" Target="https://europepmc.org/article/PMC/PMC12457126" TargetMode="External"/><Relationship Id="rId292" Type="http://schemas.openxmlformats.org/officeDocument/2006/relationships/hyperlink" Target="https://europepmc.org/article/PMC/PMC12222156" TargetMode="External"/><Relationship Id="rId293" Type="http://schemas.openxmlformats.org/officeDocument/2006/relationships/hyperlink" Target="https://europepmc.org/article/PMC/PMC12141739" TargetMode="External"/><Relationship Id="rId294" Type="http://schemas.openxmlformats.org/officeDocument/2006/relationships/hyperlink" Target="https://europepmc.org/article/PMC/PMC11941083" TargetMode="External"/><Relationship Id="rId295" Type="http://schemas.openxmlformats.org/officeDocument/2006/relationships/hyperlink" Target="https://europepmc.org/article/PMC/PMC11922808" TargetMode="External"/><Relationship Id="rId296" Type="http://schemas.openxmlformats.org/officeDocument/2006/relationships/hyperlink" Target="https://europepmc.org/article/PMC/PMC12209302" TargetMode="External"/><Relationship Id="rId297" Type="http://schemas.openxmlformats.org/officeDocument/2006/relationships/hyperlink" Target="https://europepmc.org/article/PMC/PMC12391760" TargetMode="External"/><Relationship Id="rId298" Type="http://schemas.openxmlformats.org/officeDocument/2006/relationships/hyperlink" Target="https://europepmc.org/article/PMC/PMC12511338" TargetMode="External"/><Relationship Id="rId299" Type="http://schemas.openxmlformats.org/officeDocument/2006/relationships/hyperlink" Target="https://europepmc.org/article/PMC/PMC11825062" TargetMode="External"/><Relationship Id="rId300" Type="http://schemas.openxmlformats.org/officeDocument/2006/relationships/hyperlink" Target="https://europepmc.org/article/PMC/PMC12310404" TargetMode="External"/><Relationship Id="rId301" Type="http://schemas.openxmlformats.org/officeDocument/2006/relationships/hyperlink" Target="https://europepmc.org/article/PMC/PMC12499545" TargetMode="External"/><Relationship Id="rId302" Type="http://schemas.openxmlformats.org/officeDocument/2006/relationships/hyperlink" Target="https://europepmc.org/article/PMC/PMC12434915" TargetMode="External"/><Relationship Id="rId303" Type="http://schemas.openxmlformats.org/officeDocument/2006/relationships/hyperlink" Target="https://europepmc.org/article/PMC/PMC12565728" TargetMode="External"/><Relationship Id="rId304" Type="http://schemas.openxmlformats.org/officeDocument/2006/relationships/hyperlink" Target="https://europepmc.org/article/PMC/PMC12024523" TargetMode="External"/><Relationship Id="rId305" Type="http://schemas.openxmlformats.org/officeDocument/2006/relationships/hyperlink" Target="https://europepmc.org/article/PMC/PMC12531632" TargetMode="External"/><Relationship Id="rId306" Type="http://schemas.openxmlformats.org/officeDocument/2006/relationships/hyperlink" Target="https://europepmc.org/article/PMC/PMC12524272" TargetMode="External"/><Relationship Id="rId307" Type="http://schemas.openxmlformats.org/officeDocument/2006/relationships/hyperlink" Target="https://europepmc.org/article/PMC/PMC12521981" TargetMode="External"/><Relationship Id="rId308" Type="http://schemas.openxmlformats.org/officeDocument/2006/relationships/hyperlink" Target="https://europepmc.org/article/PMC/PMC12385503" TargetMode="External"/><Relationship Id="rId309" Type="http://schemas.openxmlformats.org/officeDocument/2006/relationships/hyperlink" Target="https://europepmc.org/article/PMC/PMC12559157" TargetMode="External"/><Relationship Id="rId310" Type="http://schemas.openxmlformats.org/officeDocument/2006/relationships/hyperlink" Target="https://europepmc.org/article/PMC/PMC12832843" TargetMode="External"/><Relationship Id="rId311" Type="http://schemas.openxmlformats.org/officeDocument/2006/relationships/hyperlink" Target="https://europepmc.org/article/PMC/PMC12468348" TargetMode="External"/><Relationship Id="rId312" Type="http://schemas.openxmlformats.org/officeDocument/2006/relationships/hyperlink" Target="https://europepmc.org/article/PMC/PMC12071678" TargetMode="External"/><Relationship Id="rId313" Type="http://schemas.openxmlformats.org/officeDocument/2006/relationships/hyperlink" Target="https://europepmc.org/article/PMC/PMC11912691" TargetMode="External"/><Relationship Id="rId314" Type="http://schemas.openxmlformats.org/officeDocument/2006/relationships/hyperlink" Target="https://europepmc.org/article/PMC/PMC12109275" TargetMode="External"/><Relationship Id="rId315" Type="http://schemas.openxmlformats.org/officeDocument/2006/relationships/hyperlink" Target="https://europepmc.org/article/PMC/PMC11724494" TargetMode="External"/><Relationship Id="rId316" Type="http://schemas.openxmlformats.org/officeDocument/2006/relationships/hyperlink" Target="https://europepmc.org/article/PMC/PMC13266693" TargetMode="External"/><Relationship Id="rId317" Type="http://schemas.openxmlformats.org/officeDocument/2006/relationships/hyperlink" Target="https://europepmc.org/article/PMC/PMC12708528" TargetMode="External"/><Relationship Id="rId318" Type="http://schemas.openxmlformats.org/officeDocument/2006/relationships/hyperlink" Target="https://europepmc.org/article/PMC/PMC12307509" TargetMode="External"/><Relationship Id="rId319" Type="http://schemas.openxmlformats.org/officeDocument/2006/relationships/hyperlink" Target="https://europepmc.org/article/PMC/PMC11857081" TargetMode="External"/><Relationship Id="rId320" Type="http://schemas.openxmlformats.org/officeDocument/2006/relationships/hyperlink" Target="https://europepmc.org/article/PMC/PMC12365901" TargetMode="External"/><Relationship Id="rId321" Type="http://schemas.openxmlformats.org/officeDocument/2006/relationships/hyperlink" Target="https://europepmc.org/article/PMC/PMC12072425" TargetMode="External"/><Relationship Id="rId322" Type="http://schemas.openxmlformats.org/officeDocument/2006/relationships/hyperlink" Target="https://europepmc.org/article/PMC/PMC13060574" TargetMode="External"/><Relationship Id="rId323" Type="http://schemas.openxmlformats.org/officeDocument/2006/relationships/hyperlink" Target="https://europepmc.org/article/PMC/PMC12135985" TargetMode="External"/><Relationship Id="rId324" Type="http://schemas.openxmlformats.org/officeDocument/2006/relationships/hyperlink" Target="https://europepmc.org/article/PMC/PMC12694168" TargetMode="External"/><Relationship Id="rId325" Type="http://schemas.openxmlformats.org/officeDocument/2006/relationships/hyperlink" Target="https://europepmc.org/article/PMC/PMC11841465" TargetMode="External"/><Relationship Id="rId326" Type="http://schemas.openxmlformats.org/officeDocument/2006/relationships/hyperlink" Target="https://europepmc.org/article/PMC/PMC11903279" TargetMode="External"/><Relationship Id="rId327" Type="http://schemas.openxmlformats.org/officeDocument/2006/relationships/hyperlink" Target="https://europepmc.org/article/PMC/PMC12025728" TargetMode="External"/><Relationship Id="rId328" Type="http://schemas.openxmlformats.org/officeDocument/2006/relationships/hyperlink" Target="https://europepmc.org/article/PMC/PMC12453851" TargetMode="External"/><Relationship Id="rId329" Type="http://schemas.openxmlformats.org/officeDocument/2006/relationships/hyperlink" Target="https://europepmc.org/article/PMC/PMC11706309" TargetMode="External"/><Relationship Id="rId330" Type="http://schemas.openxmlformats.org/officeDocument/2006/relationships/hyperlink" Target="https://europepmc.org/article/PMC/PMC12798188" TargetMode="External"/><Relationship Id="rId331" Type="http://schemas.openxmlformats.org/officeDocument/2006/relationships/hyperlink" Target="https://europepmc.org/article/PMC/PMC12155752" TargetMode="External"/><Relationship Id="rId332" Type="http://schemas.openxmlformats.org/officeDocument/2006/relationships/hyperlink" Target="https://europepmc.org/article/PMC/PMC12364678" TargetMode="External"/><Relationship Id="rId333" Type="http://schemas.openxmlformats.org/officeDocument/2006/relationships/hyperlink" Target="https://europepmc.org/article/PMC/PMC12647217" TargetMode="External"/><Relationship Id="rId334" Type="http://schemas.openxmlformats.org/officeDocument/2006/relationships/hyperlink" Target="https://europepmc.org/article/PMC/PMC12588513" TargetMode="External"/><Relationship Id="rId335" Type="http://schemas.openxmlformats.org/officeDocument/2006/relationships/hyperlink" Target="https://europepmc.org/article/PMC/PMC12680758" TargetMode="External"/><Relationship Id="rId336" Type="http://schemas.openxmlformats.org/officeDocument/2006/relationships/hyperlink" Target="https://europepmc.org/article/PMC/PMC12691229" TargetMode="External"/><Relationship Id="rId337" Type="http://schemas.openxmlformats.org/officeDocument/2006/relationships/hyperlink" Target="https://europepmc.org/article/PMC/PMC12560293" TargetMode="External"/><Relationship Id="rId338" Type="http://schemas.openxmlformats.org/officeDocument/2006/relationships/hyperlink" Target="https://europepmc.org/article/PMC/PMC12545830" TargetMode="External"/><Relationship Id="rId339" Type="http://schemas.openxmlformats.org/officeDocument/2006/relationships/hyperlink" Target="https://europepmc.org/article/PMC/PMC11898425" TargetMode="External"/><Relationship Id="rId340" Type="http://schemas.openxmlformats.org/officeDocument/2006/relationships/hyperlink" Target="https://europepmc.org/article/PMC/PMC12686268" TargetMode="External"/><Relationship Id="rId341" Type="http://schemas.openxmlformats.org/officeDocument/2006/relationships/hyperlink" Target="https://europepmc.org/article/PMC/PMC12192951" TargetMode="External"/><Relationship Id="rId342" Type="http://schemas.openxmlformats.org/officeDocument/2006/relationships/hyperlink" Target="https://europepmc.org/article/PMC/PMC12651976" TargetMode="External"/><Relationship Id="rId343" Type="http://schemas.openxmlformats.org/officeDocument/2006/relationships/hyperlink" Target="https://europepmc.org/article/PMC/PMC12729749" TargetMode="External"/><Relationship Id="rId344" Type="http://schemas.openxmlformats.org/officeDocument/2006/relationships/hyperlink" Target="https://europepmc.org/article/PMC/PMC12907448" TargetMode="External"/><Relationship Id="rId345" Type="http://schemas.openxmlformats.org/officeDocument/2006/relationships/hyperlink" Target="https://europepmc.org/article/PMC/PMC12823827" TargetMode="External"/><Relationship Id="rId346" Type="http://schemas.openxmlformats.org/officeDocument/2006/relationships/hyperlink" Target="https://europepmc.org/article/PMC/PMC12133262" TargetMode="External"/><Relationship Id="rId347" Type="http://schemas.openxmlformats.org/officeDocument/2006/relationships/hyperlink" Target="https://europepmc.org/article/PMC/PMC12691961" TargetMode="External"/><Relationship Id="rId348" Type="http://schemas.openxmlformats.org/officeDocument/2006/relationships/hyperlink" Target="https://europepmc.org/article/PMC/PMC12454378" TargetMode="External"/><Relationship Id="rId349" Type="http://schemas.openxmlformats.org/officeDocument/2006/relationships/hyperlink" Target="https://europepmc.org/article/PMC/PMC12733990" TargetMode="External"/><Relationship Id="rId350" Type="http://schemas.openxmlformats.org/officeDocument/2006/relationships/hyperlink" Target="https://europepmc.org/article/PMC/PMC12518381" TargetMode="External"/><Relationship Id="rId351" Type="http://schemas.openxmlformats.org/officeDocument/2006/relationships/hyperlink" Target="https://europepmc.org/article/PMC/PMC12516016" TargetMode="External"/><Relationship Id="rId352" Type="http://schemas.openxmlformats.org/officeDocument/2006/relationships/hyperlink" Target="https://europepmc.org/article/PMC/PMC12808379" TargetMode="External"/><Relationship Id="rId353" Type="http://schemas.openxmlformats.org/officeDocument/2006/relationships/hyperlink" Target="https://europepmc.org/article/PMC/PMC12660356" TargetMode="External"/><Relationship Id="rId354" Type="http://schemas.openxmlformats.org/officeDocument/2006/relationships/hyperlink" Target="https://europepmc.org/article/PMC/PMC12564139" TargetMode="External"/><Relationship Id="rId355" Type="http://schemas.openxmlformats.org/officeDocument/2006/relationships/hyperlink" Target="https://europepmc.org/article/PMC/PMC12565242" TargetMode="External"/><Relationship Id="rId356" Type="http://schemas.openxmlformats.org/officeDocument/2006/relationships/hyperlink" Target="https://europepmc.org/article/PMC/PMC12629890" TargetMode="External"/><Relationship Id="rId357" Type="http://schemas.openxmlformats.org/officeDocument/2006/relationships/hyperlink" Target="https://europepmc.org/article/PMC/PMC12847453" TargetMode="External"/><Relationship Id="rId358" Type="http://schemas.openxmlformats.org/officeDocument/2006/relationships/hyperlink" Target="https://europepmc.org/article/PMC/PMC12664667" TargetMode="External"/><Relationship Id="rId359" Type="http://schemas.openxmlformats.org/officeDocument/2006/relationships/hyperlink" Target="https://europepmc.org/article/PMC/PMC11954740" TargetMode="External"/><Relationship Id="rId360" Type="http://schemas.openxmlformats.org/officeDocument/2006/relationships/hyperlink" Target="https://europepmc.org/article/PMC/PMC12052540" TargetMode="External"/><Relationship Id="rId361" Type="http://schemas.openxmlformats.org/officeDocument/2006/relationships/hyperlink" Target="https://europepmc.org/article/PMC/PMC13223436" TargetMode="External"/><Relationship Id="rId362" Type="http://schemas.openxmlformats.org/officeDocument/2006/relationships/hyperlink" Target="https://europepmc.org/article/PMC/PMC12028011" TargetMode="External"/><Relationship Id="rId363" Type="http://schemas.openxmlformats.org/officeDocument/2006/relationships/hyperlink" Target="https://europepmc.org/article/PMC/PMC12383388" TargetMode="External"/><Relationship Id="rId364" Type="http://schemas.openxmlformats.org/officeDocument/2006/relationships/hyperlink" Target="https://europepmc.org/article/PMC/PMC12546431" TargetMode="External"/><Relationship Id="rId365" Type="http://schemas.openxmlformats.org/officeDocument/2006/relationships/hyperlink" Target="https://europepmc.org/article/PMC/PMC12565056" TargetMode="External"/><Relationship Id="rId366" Type="http://schemas.openxmlformats.org/officeDocument/2006/relationships/hyperlink" Target="https://europepmc.org/article/PMC/PMC12171332" TargetMode="External"/><Relationship Id="rId367" Type="http://schemas.openxmlformats.org/officeDocument/2006/relationships/hyperlink" Target="https://europepmc.org/article/PMC/PMC12776568" TargetMode="External"/><Relationship Id="rId368" Type="http://schemas.openxmlformats.org/officeDocument/2006/relationships/hyperlink" Target="https://europepmc.org/article/PMC/PMC12024531" TargetMode="External"/><Relationship Id="rId369" Type="http://schemas.openxmlformats.org/officeDocument/2006/relationships/hyperlink" Target="https://europepmc.org/article/PMC/PMC12675461" TargetMode="External"/><Relationship Id="rId370" Type="http://schemas.openxmlformats.org/officeDocument/2006/relationships/hyperlink" Target="https://europepmc.org/article/PMC/PMC12731716" TargetMode="External"/><Relationship Id="rId371" Type="http://schemas.openxmlformats.org/officeDocument/2006/relationships/hyperlink" Target="https://europepmc.org/article/PMC/PMC12528745" TargetMode="External"/><Relationship Id="rId372" Type="http://schemas.openxmlformats.org/officeDocument/2006/relationships/hyperlink" Target="https://europepmc.org/article/PMC/PMC12651589" TargetMode="External"/><Relationship Id="rId373" Type="http://schemas.openxmlformats.org/officeDocument/2006/relationships/hyperlink" Target="https://europepmc.org/article/PMC/PMC12177086" TargetMode="External"/><Relationship Id="rId374" Type="http://schemas.openxmlformats.org/officeDocument/2006/relationships/hyperlink" Target="https://europepmc.org/article/PMC/PMC12642030" TargetMode="External"/><Relationship Id="rId375" Type="http://schemas.openxmlformats.org/officeDocument/2006/relationships/hyperlink" Target="https://europepmc.org/article/PMC/PMC11836373" TargetMode="External"/><Relationship Id="rId376" Type="http://schemas.openxmlformats.org/officeDocument/2006/relationships/hyperlink" Target="https://europepmc.org/article/PMC/PMC12428199" TargetMode="External"/><Relationship Id="rId377" Type="http://schemas.openxmlformats.org/officeDocument/2006/relationships/hyperlink" Target="https://europepmc.org/article/PMC/PMC12333992" TargetMode="External"/><Relationship Id="rId378" Type="http://schemas.openxmlformats.org/officeDocument/2006/relationships/hyperlink" Target="https://europepmc.org/article/PMC/PMC12835897" TargetMode="External"/><Relationship Id="rId379" Type="http://schemas.openxmlformats.org/officeDocument/2006/relationships/hyperlink" Target="https://europepmc.org/article/PMC/PMC12708817" TargetMode="External"/><Relationship Id="rId380" Type="http://schemas.openxmlformats.org/officeDocument/2006/relationships/hyperlink" Target="https://europepmc.org/article/PMC/PMC11868628" TargetMode="External"/><Relationship Id="rId381" Type="http://schemas.openxmlformats.org/officeDocument/2006/relationships/hyperlink" Target="https://europepmc.org/article/PMC/PMC12527036" TargetMode="External"/><Relationship Id="rId382" Type="http://schemas.openxmlformats.org/officeDocument/2006/relationships/hyperlink" Target="https://europepmc.org/article/PMC/PMC12373713" TargetMode="External"/><Relationship Id="rId383" Type="http://schemas.openxmlformats.org/officeDocument/2006/relationships/hyperlink" Target="https://europepmc.org/article/PMC/PMC12092909" TargetMode="External"/><Relationship Id="rId384" Type="http://schemas.openxmlformats.org/officeDocument/2006/relationships/hyperlink" Target="https://europepmc.org/article/PMC/PMC12555394" TargetMode="External"/><Relationship Id="rId385" Type="http://schemas.openxmlformats.org/officeDocument/2006/relationships/hyperlink" Target="https://europepmc.org/article/PMC/PMC12597869" TargetMode="External"/><Relationship Id="rId386" Type="http://schemas.openxmlformats.org/officeDocument/2006/relationships/hyperlink" Target="https://europepmc.org/article/PMC/PMC11732976" TargetMode="External"/><Relationship Id="rId387" Type="http://schemas.openxmlformats.org/officeDocument/2006/relationships/hyperlink" Target="https://europepmc.org/article/PMC/PMC12509238" TargetMode="External"/><Relationship Id="rId388" Type="http://schemas.openxmlformats.org/officeDocument/2006/relationships/hyperlink" Target="https://europepmc.org/article/PMC/PMC12390166" TargetMode="External"/><Relationship Id="rId389" Type="http://schemas.openxmlformats.org/officeDocument/2006/relationships/hyperlink" Target="https://europepmc.org/article/PMC/PMC12680636" TargetMode="External"/><Relationship Id="rId390" Type="http://schemas.openxmlformats.org/officeDocument/2006/relationships/hyperlink" Target="https://europepmc.org/article/PMC/PMC11759462" TargetMode="External"/><Relationship Id="rId391" Type="http://schemas.openxmlformats.org/officeDocument/2006/relationships/hyperlink" Target="https://europepmc.org/article/PMC/PMC12453788" TargetMode="External"/><Relationship Id="rId392" Type="http://schemas.openxmlformats.org/officeDocument/2006/relationships/hyperlink" Target="https://europepmc.org/article/PMC/PMC12476419" TargetMode="External"/><Relationship Id="rId393" Type="http://schemas.openxmlformats.org/officeDocument/2006/relationships/hyperlink" Target="https://europepmc.org/article/PMC/PMC12247529" TargetMode="External"/><Relationship Id="rId394" Type="http://schemas.openxmlformats.org/officeDocument/2006/relationships/hyperlink" Target="https://europepmc.org/article/PMC/PMC11927916" TargetMode="External"/><Relationship Id="rId395" Type="http://schemas.openxmlformats.org/officeDocument/2006/relationships/hyperlink" Target="https://europepmc.org/article/PMC/PMC12526791" TargetMode="External"/><Relationship Id="rId396" Type="http://schemas.openxmlformats.org/officeDocument/2006/relationships/hyperlink" Target="https://europepmc.org/article/PMC/PMC11936986" TargetMode="External"/><Relationship Id="rId397" Type="http://schemas.openxmlformats.org/officeDocument/2006/relationships/hyperlink" Target="https://europepmc.org/article/PMC/PMC11856859" TargetMode="External"/><Relationship Id="rId398" Type="http://schemas.openxmlformats.org/officeDocument/2006/relationships/hyperlink" Target="https://europepmc.org/article/PMC/PMC12570530" TargetMode="External"/><Relationship Id="rId399" Type="http://schemas.openxmlformats.org/officeDocument/2006/relationships/hyperlink" Target="https://europepmc.org/article/PMC/PMC12691345" TargetMode="External"/><Relationship Id="rId400" Type="http://schemas.openxmlformats.org/officeDocument/2006/relationships/hyperlink" Target="https://europepmc.org/article/PMC/PMC12481068" TargetMode="External"/><Relationship Id="rId401" Type="http://schemas.openxmlformats.org/officeDocument/2006/relationships/hyperlink" Target="https://europepmc.org/article/PMC/PMC12504877" TargetMode="External"/><Relationship Id="rId402" Type="http://schemas.openxmlformats.org/officeDocument/2006/relationships/hyperlink" Target="https://europepmc.org/article/PMC/PMC12456844" TargetMode="External"/><Relationship Id="rId403" Type="http://schemas.openxmlformats.org/officeDocument/2006/relationships/hyperlink" Target="https://europepmc.org/article/PMC/PMC11815955" TargetMode="External"/><Relationship Id="rId404" Type="http://schemas.openxmlformats.org/officeDocument/2006/relationships/hyperlink" Target="https://europepmc.org/article/PMC/PMC11876936" TargetMode="External"/><Relationship Id="rId405" Type="http://schemas.openxmlformats.org/officeDocument/2006/relationships/hyperlink" Target="https://europepmc.org/article/PMC/PMC12561617" TargetMode="External"/><Relationship Id="rId406" Type="http://schemas.openxmlformats.org/officeDocument/2006/relationships/hyperlink" Target="https://europepmc.org/article/PMC/PMC12177113" TargetMode="External"/><Relationship Id="rId407" Type="http://schemas.openxmlformats.org/officeDocument/2006/relationships/hyperlink" Target="https://europepmc.org/article/PMC/PMC12622268" TargetMode="External"/><Relationship Id="rId408" Type="http://schemas.openxmlformats.org/officeDocument/2006/relationships/hyperlink" Target="https://europepmc.org/article/PMC/PMC12331667" TargetMode="External"/><Relationship Id="rId409" Type="http://schemas.openxmlformats.org/officeDocument/2006/relationships/hyperlink" Target="https://europepmc.org/article/PMC/PMC12169524" TargetMode="External"/><Relationship Id="rId410" Type="http://schemas.openxmlformats.org/officeDocument/2006/relationships/hyperlink" Target="https://europepmc.org/article/PMC/PMC12732170" TargetMode="External"/><Relationship Id="rId411" Type="http://schemas.openxmlformats.org/officeDocument/2006/relationships/hyperlink" Target="https://europepmc.org/article/PMC/PMC12650834" TargetMode="External"/><Relationship Id="rId412" Type="http://schemas.openxmlformats.org/officeDocument/2006/relationships/hyperlink" Target="https://europepmc.org/article/PMC/PMC12000039" TargetMode="External"/><Relationship Id="rId413" Type="http://schemas.openxmlformats.org/officeDocument/2006/relationships/hyperlink" Target="https://europepmc.org/article/PMC/PMC12593452" TargetMode="External"/><Relationship Id="rId414" Type="http://schemas.openxmlformats.org/officeDocument/2006/relationships/hyperlink" Target="https://europepmc.org/article/PMC/PMC12546231" TargetMode="External"/><Relationship Id="rId415" Type="http://schemas.openxmlformats.org/officeDocument/2006/relationships/hyperlink" Target="https://europepmc.org/article/PMC/PMC12385457" TargetMode="External"/><Relationship Id="rId416" Type="http://schemas.openxmlformats.org/officeDocument/2006/relationships/hyperlink" Target="https://europepmc.org/article/PMC/PMC12287020" TargetMode="External"/><Relationship Id="rId417" Type="http://schemas.openxmlformats.org/officeDocument/2006/relationships/hyperlink" Target="https://europepmc.org/article/PMC/PMC11971837" TargetMode="External"/><Relationship Id="rId418" Type="http://schemas.openxmlformats.org/officeDocument/2006/relationships/hyperlink" Target="https://europepmc.org/article/PMC/PMC12063847" TargetMode="External"/><Relationship Id="rId419" Type="http://schemas.openxmlformats.org/officeDocument/2006/relationships/hyperlink" Target="https://europepmc.org/article/PMC/PMC12851946" TargetMode="External"/><Relationship Id="rId420" Type="http://schemas.openxmlformats.org/officeDocument/2006/relationships/hyperlink" Target="https://europepmc.org/article/PMC/PMC12705568" TargetMode="External"/><Relationship Id="rId421" Type="http://schemas.openxmlformats.org/officeDocument/2006/relationships/hyperlink" Target="https://europepmc.org/article/PMC/PMC12188138" TargetMode="External"/><Relationship Id="rId422" Type="http://schemas.openxmlformats.org/officeDocument/2006/relationships/hyperlink" Target="https://europepmc.org/article/PMC/PMC12603148" TargetMode="External"/><Relationship Id="rId423" Type="http://schemas.openxmlformats.org/officeDocument/2006/relationships/hyperlink" Target="https://europepmc.org/article/PMC/PMC12293116" TargetMode="External"/><Relationship Id="rId424" Type="http://schemas.openxmlformats.org/officeDocument/2006/relationships/hyperlink" Target="https://europepmc.org/article/PMC/PMC11762182" TargetMode="External"/><Relationship Id="rId425" Type="http://schemas.openxmlformats.org/officeDocument/2006/relationships/hyperlink" Target="https://europepmc.org/article/PMC/PMC12098364" TargetMode="External"/><Relationship Id="rId426" Type="http://schemas.openxmlformats.org/officeDocument/2006/relationships/hyperlink" Target="https://europepmc.org/article/PMC/PMC12738869" TargetMode="External"/><Relationship Id="rId427" Type="http://schemas.openxmlformats.org/officeDocument/2006/relationships/hyperlink" Target="https://europepmc.org/article/PMC/PMC11887235" TargetMode="External"/><Relationship Id="rId428" Type="http://schemas.openxmlformats.org/officeDocument/2006/relationships/hyperlink" Target="https://europepmc.org/article/PMC/PMC12658185" TargetMode="External"/><Relationship Id="rId429" Type="http://schemas.openxmlformats.org/officeDocument/2006/relationships/hyperlink" Target="https://europepmc.org/article/PMC/PMC12354714" TargetMode="External"/><Relationship Id="rId430" Type="http://schemas.openxmlformats.org/officeDocument/2006/relationships/hyperlink" Target="https://europepmc.org/article/PMC/PMC12729827" TargetMode="External"/><Relationship Id="rId431" Type="http://schemas.openxmlformats.org/officeDocument/2006/relationships/hyperlink" Target="https://europepmc.org/article/PMC/PMC12500497" TargetMode="External"/><Relationship Id="rId432" Type="http://schemas.openxmlformats.org/officeDocument/2006/relationships/hyperlink" Target="https://europepmc.org/article/PMC/PMC12516837" TargetMode="External"/><Relationship Id="rId433" Type="http://schemas.openxmlformats.org/officeDocument/2006/relationships/hyperlink" Target="https://europepmc.org/article/PMC/PMC12675158" TargetMode="External"/><Relationship Id="rId434" Type="http://schemas.openxmlformats.org/officeDocument/2006/relationships/hyperlink" Target="https://europepmc.org/article/PMC/PMC11763925" TargetMode="External"/><Relationship Id="rId435" Type="http://schemas.openxmlformats.org/officeDocument/2006/relationships/hyperlink" Target="https://europepmc.org/article/PMC/PMC12565618" TargetMode="External"/><Relationship Id="rId436" Type="http://schemas.openxmlformats.org/officeDocument/2006/relationships/hyperlink" Target="https://europepmc.org/article/PMC/PMC12367112" TargetMode="External"/><Relationship Id="rId437" Type="http://schemas.openxmlformats.org/officeDocument/2006/relationships/hyperlink" Target="https://europepmc.org/article/PMC/PMC12758015" TargetMode="External"/><Relationship Id="rId438" Type="http://schemas.openxmlformats.org/officeDocument/2006/relationships/hyperlink" Target="https://europepmc.org/article/PMC/PMC11851456" TargetMode="External"/><Relationship Id="rId439" Type="http://schemas.openxmlformats.org/officeDocument/2006/relationships/hyperlink" Target="https://europepmc.org/article/PMC/PMC12248572" TargetMode="External"/><Relationship Id="rId440" Type="http://schemas.openxmlformats.org/officeDocument/2006/relationships/hyperlink" Target="https://europepmc.org/article/PMC/PMC13223492" TargetMode="External"/><Relationship Id="rId441" Type="http://schemas.openxmlformats.org/officeDocument/2006/relationships/hyperlink" Target="https://europepmc.org/article/PMC/PMC12241142" TargetMode="External"/><Relationship Id="rId442" Type="http://schemas.openxmlformats.org/officeDocument/2006/relationships/hyperlink" Target="https://europepmc.org/article/PMC/PMC12574434" TargetMode="External"/><Relationship Id="rId443" Type="http://schemas.openxmlformats.org/officeDocument/2006/relationships/hyperlink" Target="https://europepmc.org/article/PMC/PMC12637164" TargetMode="External"/><Relationship Id="rId444" Type="http://schemas.openxmlformats.org/officeDocument/2006/relationships/hyperlink" Target="https://europepmc.org/article/PMC/PMC12069047" TargetMode="External"/><Relationship Id="rId445" Type="http://schemas.openxmlformats.org/officeDocument/2006/relationships/hyperlink" Target="https://europepmc.org/article/PMC/PMC12469220" TargetMode="External"/><Relationship Id="rId446" Type="http://schemas.openxmlformats.org/officeDocument/2006/relationships/hyperlink" Target="https://europepmc.org/article/PMC/PMC12523546" TargetMode="External"/><Relationship Id="rId447" Type="http://schemas.openxmlformats.org/officeDocument/2006/relationships/hyperlink" Target="https://europepmc.org/article/PMC/PMC11799055" TargetMode="External"/><Relationship Id="rId448" Type="http://schemas.openxmlformats.org/officeDocument/2006/relationships/hyperlink" Target="https://europepmc.org/article/PMC/PMC12301082" TargetMode="External"/><Relationship Id="rId449" Type="http://schemas.openxmlformats.org/officeDocument/2006/relationships/hyperlink" Target="https://europepmc.org/article/PMC/PMC12602640" TargetMode="External"/><Relationship Id="rId450" Type="http://schemas.openxmlformats.org/officeDocument/2006/relationships/hyperlink" Target="https://europepmc.org/article/PMC/PMC13223426" TargetMode="External"/><Relationship Id="rId451" Type="http://schemas.openxmlformats.org/officeDocument/2006/relationships/hyperlink" Target="https://europepmc.org/article/PMC/PMC12459604" TargetMode="External"/><Relationship Id="rId452" Type="http://schemas.openxmlformats.org/officeDocument/2006/relationships/hyperlink" Target="https://europepmc.org/article/PMC/PMC12628415" TargetMode="External"/><Relationship Id="rId453" Type="http://schemas.openxmlformats.org/officeDocument/2006/relationships/hyperlink" Target="https://europepmc.org/article/PMC/PMC11717794" TargetMode="External"/><Relationship Id="rId454" Type="http://schemas.openxmlformats.org/officeDocument/2006/relationships/hyperlink" Target="https://europepmc.org/article/PMC/PMC12551925" TargetMode="External"/><Relationship Id="rId455" Type="http://schemas.openxmlformats.org/officeDocument/2006/relationships/hyperlink" Target="https://europepmc.org/article/PMC/PMC12006410" TargetMode="External"/><Relationship Id="rId456" Type="http://schemas.openxmlformats.org/officeDocument/2006/relationships/hyperlink" Target="https://europepmc.org/article/PMC/PMC12521361" TargetMode="External"/><Relationship Id="rId457" Type="http://schemas.openxmlformats.org/officeDocument/2006/relationships/hyperlink" Target="https://europepmc.org/article/PMC/PMC12387119" TargetMode="External"/><Relationship Id="rId458" Type="http://schemas.openxmlformats.org/officeDocument/2006/relationships/hyperlink" Target="https://europepmc.org/article/PMC/PMC12094958" TargetMode="External"/><Relationship Id="rId459" Type="http://schemas.openxmlformats.org/officeDocument/2006/relationships/hyperlink" Target="https://europepmc.org/article/PMC/PMC12823918" TargetMode="External"/><Relationship Id="rId460" Type="http://schemas.openxmlformats.org/officeDocument/2006/relationships/hyperlink" Target="https://europepmc.org/article/PMC/PMC12109281" TargetMode="External"/><Relationship Id="rId461" Type="http://schemas.openxmlformats.org/officeDocument/2006/relationships/hyperlink" Target="https://europepmc.org/article/PMC/PMC12385022" TargetMode="External"/><Relationship Id="rId462" Type="http://schemas.openxmlformats.org/officeDocument/2006/relationships/hyperlink" Target="https://europepmc.org/article/PMC/PMC11740782" TargetMode="External"/><Relationship Id="rId463" Type="http://schemas.openxmlformats.org/officeDocument/2006/relationships/hyperlink" Target="https://europepmc.org/article/PMC/PMC12607841" TargetMode="External"/><Relationship Id="rId464" Type="http://schemas.openxmlformats.org/officeDocument/2006/relationships/hyperlink" Target="https://europepmc.org/article/PMC/PMC12151474" TargetMode="External"/><Relationship Id="rId465" Type="http://schemas.openxmlformats.org/officeDocument/2006/relationships/hyperlink" Target="https://europepmc.org/article/PMC/PMC12715249" TargetMode="External"/><Relationship Id="rId466" Type="http://schemas.openxmlformats.org/officeDocument/2006/relationships/hyperlink" Target="https://europepmc.org/article/PMC/PMC12256241" TargetMode="External"/><Relationship Id="rId467" Type="http://schemas.openxmlformats.org/officeDocument/2006/relationships/hyperlink" Target="https://europepmc.org/article/PMC/PMC12361585" TargetMode="External"/><Relationship Id="rId468" Type="http://schemas.openxmlformats.org/officeDocument/2006/relationships/hyperlink" Target="https://europepmc.org/article/PMC/PMC12753390" TargetMode="External"/><Relationship Id="rId469" Type="http://schemas.openxmlformats.org/officeDocument/2006/relationships/hyperlink" Target="https://europepmc.org/article/PMC/PMC12365151" TargetMode="External"/><Relationship Id="rId470" Type="http://schemas.openxmlformats.org/officeDocument/2006/relationships/hyperlink" Target="https://europepmc.org/article/PMC/PMC12597856" TargetMode="External"/><Relationship Id="rId471" Type="http://schemas.openxmlformats.org/officeDocument/2006/relationships/hyperlink" Target="https://europepmc.org/article/PMC/PMC11813795" TargetMode="External"/><Relationship Id="rId472" Type="http://schemas.openxmlformats.org/officeDocument/2006/relationships/hyperlink" Target="https://europepmc.org/article/PMC/PMC12543161" TargetMode="External"/><Relationship Id="rId473" Type="http://schemas.openxmlformats.org/officeDocument/2006/relationships/hyperlink" Target="https://europepmc.org/article/PMC/PMC12058334" TargetMode="External"/><Relationship Id="rId474" Type="http://schemas.openxmlformats.org/officeDocument/2006/relationships/hyperlink" Target="https://europepmc.org/article/PMC/PMC11828341" TargetMode="External"/><Relationship Id="rId475" Type="http://schemas.openxmlformats.org/officeDocument/2006/relationships/hyperlink" Target="https://europepmc.org/article/PMC/PMC11937601" TargetMode="External"/><Relationship Id="rId476" Type="http://schemas.openxmlformats.org/officeDocument/2006/relationships/hyperlink" Target="https://europepmc.org/article/PMC/PMC12222329" TargetMode="External"/><Relationship Id="rId477" Type="http://schemas.openxmlformats.org/officeDocument/2006/relationships/hyperlink" Target="https://europepmc.org/article/PMC/PMC12454901" TargetMode="External"/><Relationship Id="rId478" Type="http://schemas.openxmlformats.org/officeDocument/2006/relationships/hyperlink" Target="https://europepmc.org/article/PMC/PMC12429428" TargetMode="External"/><Relationship Id="rId479" Type="http://schemas.openxmlformats.org/officeDocument/2006/relationships/hyperlink" Target="https://europepmc.org/article/PMC/PMC12043696" TargetMode="External"/><Relationship Id="rId480" Type="http://schemas.openxmlformats.org/officeDocument/2006/relationships/hyperlink" Target="https://europepmc.org/article/PMC/PMC12478919" TargetMode="External"/><Relationship Id="rId481" Type="http://schemas.openxmlformats.org/officeDocument/2006/relationships/hyperlink" Target="https://europepmc.org/article/PMC/PMC12062765" TargetMode="External"/><Relationship Id="rId482" Type="http://schemas.openxmlformats.org/officeDocument/2006/relationships/hyperlink" Target="https://europepmc.org/article/PMC/PMC12402046" TargetMode="External"/><Relationship Id="rId483" Type="http://schemas.openxmlformats.org/officeDocument/2006/relationships/hyperlink" Target="https://europepmc.org/article/PMC/PMC12418648" TargetMode="External"/><Relationship Id="rId484" Type="http://schemas.openxmlformats.org/officeDocument/2006/relationships/hyperlink" Target="https://europepmc.org/article/PMC/PMC12052117" TargetMode="External"/><Relationship Id="rId485" Type="http://schemas.openxmlformats.org/officeDocument/2006/relationships/hyperlink" Target="https://europepmc.org/article/PMC/PMC11979263" TargetMode="External"/><Relationship Id="rId486" Type="http://schemas.openxmlformats.org/officeDocument/2006/relationships/hyperlink" Target="https://europepmc.org/article/PMC/PMC12226657" TargetMode="External"/><Relationship Id="rId487" Type="http://schemas.openxmlformats.org/officeDocument/2006/relationships/hyperlink" Target="https://europepmc.org/article/PMC/PMC11818623" TargetMode="External"/><Relationship Id="rId488" Type="http://schemas.openxmlformats.org/officeDocument/2006/relationships/hyperlink" Target="https://europepmc.org/article/PMC/PMC12383681" TargetMode="External"/><Relationship Id="rId489" Type="http://schemas.openxmlformats.org/officeDocument/2006/relationships/hyperlink" Target="https://europepmc.org/article/PMC/PMC12275356" TargetMode="External"/><Relationship Id="rId490" Type="http://schemas.openxmlformats.org/officeDocument/2006/relationships/hyperlink" Target="https://europepmc.org/article/PMC/PMC12627679" TargetMode="External"/><Relationship Id="rId491" Type="http://schemas.openxmlformats.org/officeDocument/2006/relationships/hyperlink" Target="https://europepmc.org/article/PMC/PMC12335580" TargetMode="External"/><Relationship Id="rId492" Type="http://schemas.openxmlformats.org/officeDocument/2006/relationships/hyperlink" Target="https://europepmc.org/article/PMC/PMC12462649" TargetMode="External"/><Relationship Id="rId493" Type="http://schemas.openxmlformats.org/officeDocument/2006/relationships/hyperlink" Target="https://europepmc.org/article/PMC/PMC12852129" TargetMode="External"/><Relationship Id="rId494" Type="http://schemas.openxmlformats.org/officeDocument/2006/relationships/hyperlink" Target="https://europepmc.org/article/PMC/PMC12445147" TargetMode="External"/><Relationship Id="rId495" Type="http://schemas.openxmlformats.org/officeDocument/2006/relationships/hyperlink" Target="https://europepmc.org/article/PMC/PMC11960629" TargetMode="External"/><Relationship Id="rId496" Type="http://schemas.openxmlformats.org/officeDocument/2006/relationships/hyperlink" Target="https://europepmc.org/article/PMC/PMC12473302" TargetMode="External"/><Relationship Id="rId497" Type="http://schemas.openxmlformats.org/officeDocument/2006/relationships/hyperlink" Target="https://europepmc.org/article/PMC/PMC12540183" TargetMode="External"/><Relationship Id="rId498" Type="http://schemas.openxmlformats.org/officeDocument/2006/relationships/hyperlink" Target="https://europepmc.org/article/PMC/PMC11929658" TargetMode="External"/><Relationship Id="rId499" Type="http://schemas.openxmlformats.org/officeDocument/2006/relationships/hyperlink" Target="https://europepmc.org/article/PMC/PMC12084453" TargetMode="External"/><Relationship Id="rId500" Type="http://schemas.openxmlformats.org/officeDocument/2006/relationships/hyperlink" Target="https://europepmc.org/article/PMC/PMC12648177" TargetMode="External"/><Relationship Id="rId501" Type="http://schemas.openxmlformats.org/officeDocument/2006/relationships/hyperlink" Target="https://europepmc.org/article/PMC/PMC11794261" TargetMode="External"/><Relationship Id="rId502" Type="http://schemas.openxmlformats.org/officeDocument/2006/relationships/hyperlink" Target="https://europepmc.org/article/PMC/PMC12534769" TargetMode="External"/><Relationship Id="rId503" Type="http://schemas.openxmlformats.org/officeDocument/2006/relationships/hyperlink" Target="https://europepmc.org/article/PMC/PMC12714595" TargetMode="External"/><Relationship Id="rId504" Type="http://schemas.openxmlformats.org/officeDocument/2006/relationships/hyperlink" Target="https://europepmc.org/article/PMC/PMC12730384" TargetMode="External"/><Relationship Id="rId505" Type="http://schemas.openxmlformats.org/officeDocument/2006/relationships/hyperlink" Target="https://europepmc.org/article/PMC/PMC12561078" TargetMode="External"/><Relationship Id="rId506" Type="http://schemas.openxmlformats.org/officeDocument/2006/relationships/hyperlink" Target="https://europepmc.org/article/PMC/PMC12719480" TargetMode="External"/><Relationship Id="rId507" Type="http://schemas.openxmlformats.org/officeDocument/2006/relationships/hyperlink" Target="https://europepmc.org/article/PMC/PMC12564970" TargetMode="External"/><Relationship Id="rId508" Type="http://schemas.openxmlformats.org/officeDocument/2006/relationships/hyperlink" Target="https://europepmc.org/article/PMC/PMC12167337" TargetMode="External"/><Relationship Id="rId509" Type="http://schemas.openxmlformats.org/officeDocument/2006/relationships/hyperlink" Target="https://europepmc.org/article/PMC/PMC12335458" TargetMode="External"/><Relationship Id="rId510" Type="http://schemas.openxmlformats.org/officeDocument/2006/relationships/hyperlink" Target="https://europepmc.org/article/PMC/PMC12334629" TargetMode="External"/><Relationship Id="rId511" Type="http://schemas.openxmlformats.org/officeDocument/2006/relationships/hyperlink" Target="https://europepmc.org/article/PMC/PMC12731456" TargetMode="External"/><Relationship Id="rId512" Type="http://schemas.openxmlformats.org/officeDocument/2006/relationships/hyperlink" Target="https://europepmc.org/article/PMC/PMC12418127" TargetMode="External"/><Relationship Id="rId513" Type="http://schemas.openxmlformats.org/officeDocument/2006/relationships/hyperlink" Target="https://europepmc.org/article/PMC/PMC12011763" TargetMode="External"/><Relationship Id="rId514" Type="http://schemas.openxmlformats.org/officeDocument/2006/relationships/hyperlink" Target="https://europepmc.org/article/PMC/PMC12345923" TargetMode="External"/><Relationship Id="rId515" Type="http://schemas.openxmlformats.org/officeDocument/2006/relationships/hyperlink" Target="https://europepmc.org/article/PMC/PMC12119313" TargetMode="External"/><Relationship Id="rId516" Type="http://schemas.openxmlformats.org/officeDocument/2006/relationships/hyperlink" Target="https://europepmc.org/article/PMC/PMC12607678" TargetMode="External"/><Relationship Id="rId517" Type="http://schemas.openxmlformats.org/officeDocument/2006/relationships/hyperlink" Target="https://europepmc.org/article/PMC/PMC12468384" TargetMode="External"/><Relationship Id="rId518" Type="http://schemas.openxmlformats.org/officeDocument/2006/relationships/hyperlink" Target="https://europepmc.org/article/PMC/PMC12558874" TargetMode="External"/><Relationship Id="rId519" Type="http://schemas.openxmlformats.org/officeDocument/2006/relationships/hyperlink" Target="https://europepmc.org/article/PMC/PMC12192201" TargetMode="External"/><Relationship Id="rId520" Type="http://schemas.openxmlformats.org/officeDocument/2006/relationships/hyperlink" Target="https://europepmc.org/article/PMC/PMC11707918" TargetMode="External"/><Relationship Id="rId521" Type="http://schemas.openxmlformats.org/officeDocument/2006/relationships/hyperlink" Target="https://europepmc.org/article/PMC/PMC12476382" TargetMode="External"/><Relationship Id="rId522" Type="http://schemas.openxmlformats.org/officeDocument/2006/relationships/hyperlink" Target="https://europepmc.org/article/PMC/PMC12530578" TargetMode="External"/><Relationship Id="rId523" Type="http://schemas.openxmlformats.org/officeDocument/2006/relationships/hyperlink" Target="https://europepmc.org/article/PMC/PMC11805419" TargetMode="External"/><Relationship Id="rId524" Type="http://schemas.openxmlformats.org/officeDocument/2006/relationships/hyperlink" Target="https://europepmc.org/article/PMC/PMC12279466" TargetMode="External"/><Relationship Id="rId525" Type="http://schemas.openxmlformats.org/officeDocument/2006/relationships/hyperlink" Target="https://europepmc.org/article/PMC/PMC12467770" TargetMode="External"/><Relationship Id="rId526" Type="http://schemas.openxmlformats.org/officeDocument/2006/relationships/hyperlink" Target="https://europepmc.org/article/PMC/PMC11893424" TargetMode="External"/><Relationship Id="rId527" Type="http://schemas.openxmlformats.org/officeDocument/2006/relationships/hyperlink" Target="https://europepmc.org/article/PMC/PMC11950579" TargetMode="External"/><Relationship Id="rId528" Type="http://schemas.openxmlformats.org/officeDocument/2006/relationships/hyperlink" Target="https://europepmc.org/article/PMC/PMC12734337" TargetMode="External"/><Relationship Id="rId529" Type="http://schemas.openxmlformats.org/officeDocument/2006/relationships/hyperlink" Target="https://europepmc.org/article/PMC/PMC11869539" TargetMode="External"/><Relationship Id="rId530" Type="http://schemas.openxmlformats.org/officeDocument/2006/relationships/hyperlink" Target="https://europepmc.org/article/PMC/PMC12876126" TargetMode="External"/><Relationship Id="rId531" Type="http://schemas.openxmlformats.org/officeDocument/2006/relationships/hyperlink" Target="https://europepmc.org/article/PMC/PMC12236266" TargetMode="External"/><Relationship Id="rId532" Type="http://schemas.openxmlformats.org/officeDocument/2006/relationships/hyperlink" Target="https://europepmc.org/article/PMC/PMC12974135" TargetMode="External"/><Relationship Id="rId533" Type="http://schemas.openxmlformats.org/officeDocument/2006/relationships/hyperlink" Target="https://europepmc.org/article/PMC/PMC11811346" TargetMode="External"/><Relationship Id="rId534" Type="http://schemas.openxmlformats.org/officeDocument/2006/relationships/hyperlink" Target="https://europepmc.org/article/PMC/PMC11785394" TargetMode="External"/><Relationship Id="rId535" Type="http://schemas.openxmlformats.org/officeDocument/2006/relationships/hyperlink" Target="https://europepmc.org/article/PMC/PMC12222963" TargetMode="External"/><Relationship Id="rId536" Type="http://schemas.openxmlformats.org/officeDocument/2006/relationships/hyperlink" Target="https://europepmc.org/article/PMC/PMC12794183" TargetMode="External"/><Relationship Id="rId537" Type="http://schemas.openxmlformats.org/officeDocument/2006/relationships/hyperlink" Target="https://europepmc.org/article/PMC/PMC12611148" TargetMode="External"/><Relationship Id="rId538" Type="http://schemas.openxmlformats.org/officeDocument/2006/relationships/hyperlink" Target="https://europepmc.org/article/PMC/PMC12325224" TargetMode="External"/><Relationship Id="rId539" Type="http://schemas.openxmlformats.org/officeDocument/2006/relationships/hyperlink" Target="https://europepmc.org/article/PMC/PMC12532985" TargetMode="External"/><Relationship Id="rId540" Type="http://schemas.openxmlformats.org/officeDocument/2006/relationships/hyperlink" Target="https://europepmc.org/article/PMC/PMC12391420" TargetMode="External"/><Relationship Id="rId541" Type="http://schemas.openxmlformats.org/officeDocument/2006/relationships/hyperlink" Target="https://europepmc.org/article/PMC/PMC12325482" TargetMode="External"/><Relationship Id="rId542" Type="http://schemas.openxmlformats.org/officeDocument/2006/relationships/hyperlink" Target="https://europepmc.org/article/PMC/PMC12481582" TargetMode="External"/><Relationship Id="rId54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0"/>
  </cols>
  <sheetData>
    <row r="1" customFormat="false" ht="44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 t="s">
        <v>2</v>
      </c>
    </row>
    <row r="4" customFormat="false" ht="15" hidden="false" customHeight="false" outlineLevel="0" collapsed="false">
      <c r="A4" s="3" t="s">
        <v>3</v>
      </c>
      <c r="B4" s="3"/>
    </row>
    <row r="5" customFormat="false" ht="23.85" hidden="false" customHeight="false" outlineLevel="0" collapsed="false">
      <c r="A5" s="2" t="s">
        <v>4</v>
      </c>
      <c r="B5" s="2" t="s">
        <v>5</v>
      </c>
    </row>
    <row r="6" customFormat="false" ht="23.85" hidden="false" customHeight="false" outlineLevel="0" collapsed="false">
      <c r="A6" s="2" t="s">
        <v>6</v>
      </c>
      <c r="B6" s="2" t="s">
        <v>7</v>
      </c>
    </row>
    <row r="8" customFormat="false" ht="15" hidden="false" customHeight="false" outlineLevel="0" collapsed="false">
      <c r="A8" s="3" t="s">
        <v>8</v>
      </c>
      <c r="B8" s="3"/>
    </row>
    <row r="9" customFormat="false" ht="15" hidden="false" customHeight="false" outlineLevel="0" collapsed="false">
      <c r="A9" s="2" t="s">
        <v>9</v>
      </c>
      <c r="B9" s="2" t="s">
        <v>10</v>
      </c>
    </row>
    <row r="10" customFormat="false" ht="23.85" hidden="false" customHeight="false" outlineLevel="0" collapsed="false">
      <c r="A10" s="2" t="s">
        <v>11</v>
      </c>
      <c r="B10" s="2" t="s">
        <v>12</v>
      </c>
    </row>
    <row r="11" customFormat="false" ht="15" hidden="false" customHeight="false" outlineLevel="0" collapsed="false">
      <c r="A11" s="2" t="s">
        <v>13</v>
      </c>
      <c r="B11" s="2" t="s">
        <v>14</v>
      </c>
    </row>
    <row r="12" customFormat="false" ht="15" hidden="false" customHeight="false" outlineLevel="0" collapsed="false">
      <c r="A12" s="2" t="s">
        <v>15</v>
      </c>
      <c r="B12" s="2" t="s">
        <v>16</v>
      </c>
    </row>
    <row r="13" customFormat="false" ht="15" hidden="false" customHeight="false" outlineLevel="0" collapsed="false">
      <c r="A13" s="2" t="s">
        <v>17</v>
      </c>
      <c r="B13" s="2" t="s">
        <v>18</v>
      </c>
    </row>
    <row r="14" customFormat="false" ht="15" hidden="false" customHeight="false" outlineLevel="0" collapsed="false">
      <c r="A14" s="2" t="s">
        <v>19</v>
      </c>
      <c r="B14" s="2" t="s">
        <v>20</v>
      </c>
    </row>
    <row r="16" customFormat="false" ht="15" hidden="false" customHeight="false" outlineLevel="0" collapsed="false">
      <c r="A16" s="3" t="s">
        <v>21</v>
      </c>
      <c r="B16" s="3"/>
    </row>
    <row r="17" customFormat="false" ht="23.85" hidden="false" customHeight="false" outlineLevel="0" collapsed="false">
      <c r="A17" s="2" t="s">
        <v>22</v>
      </c>
      <c r="B17" s="2" t="s">
        <v>23</v>
      </c>
    </row>
    <row r="18" customFormat="false" ht="15" hidden="false" customHeight="false" outlineLevel="0" collapsed="false">
      <c r="A18" s="2" t="s">
        <v>24</v>
      </c>
      <c r="B18" s="2" t="s">
        <v>25</v>
      </c>
    </row>
    <row r="20" customFormat="false" ht="15" hidden="false" customHeight="false" outlineLevel="0" collapsed="false">
      <c r="A20" s="3" t="s">
        <v>26</v>
      </c>
      <c r="B20" s="3"/>
    </row>
    <row r="21" customFormat="false" ht="15" hidden="false" customHeight="false" outlineLevel="0" collapsed="false">
      <c r="A21" s="2" t="s">
        <v>27</v>
      </c>
      <c r="B21" s="4" t="n">
        <f aca="false">COUNTIF(Annotation!I3:I544,"Y")+COUNTIF(Annotation!I3:I544,"N")</f>
        <v>0</v>
      </c>
    </row>
    <row r="22" customFormat="false" ht="15" hidden="false" customHeight="false" outlineLevel="0" collapsed="false">
      <c r="A22" s="2" t="s">
        <v>28</v>
      </c>
      <c r="B22" s="4" t="n">
        <f aca="false">COUNTIF(Annotation!I3:I544,"Y")</f>
        <v>0</v>
      </c>
    </row>
    <row r="23" customFormat="false" ht="15" hidden="false" customHeight="false" outlineLevel="0" collapsed="false">
      <c r="A23" s="2" t="s">
        <v>29</v>
      </c>
      <c r="B23" s="4" t="n">
        <f aca="false">COUNTIF(Annotation!I3:I544,"N")</f>
        <v>0</v>
      </c>
    </row>
    <row r="24" customFormat="false" ht="15" hidden="false" customHeight="false" outlineLevel="0" collapsed="false">
      <c r="A24" s="2" t="s">
        <v>30</v>
      </c>
      <c r="B24" s="4" t="n">
        <f aca="false">COUNTIFS(Annotation!B3:B544,"pilot",Annotation!C3:C544,"done")</f>
        <v>0</v>
      </c>
    </row>
    <row r="25" customFormat="false" ht="15" hidden="false" customHeight="false" outlineLevel="0" collapsed="false">
      <c r="A25" s="2" t="s">
        <v>31</v>
      </c>
      <c r="B25" s="4" t="n">
        <f aca="false">COUNTIFS(Annotation!B3:B544,"dev",Annotation!C3:C544,"done")</f>
        <v>0</v>
      </c>
    </row>
    <row r="26" customFormat="false" ht="15" hidden="false" customHeight="false" outlineLevel="0" collapsed="false">
      <c r="A26" s="2" t="s">
        <v>32</v>
      </c>
      <c r="B26" s="4" t="n">
        <f aca="false">COUNTIFS(Annotation!B3:B544,"test",Annotation!C3:C544,"done")</f>
        <v>0</v>
      </c>
    </row>
    <row r="27" customFormat="false" ht="15" hidden="false" customHeight="false" outlineLevel="0" collapsed="false">
      <c r="A27" s="2" t="s">
        <v>33</v>
      </c>
      <c r="B27" s="4" t="str">
        <f aca="false">IFERROR(AVERAGEIF(Annotation!C3:C544,"done",Annotation!AI3:AI544),"-")</f>
        <v>-</v>
      </c>
    </row>
    <row r="29" customFormat="false" ht="23.85" hidden="false" customHeight="false" outlineLevel="0" collapsed="false">
      <c r="A29" s="2" t="s">
        <v>34</v>
      </c>
      <c r="B29" s="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5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8" ySplit="2" topLeftCell="I3" activePane="bottomRight" state="frozen"/>
      <selection pane="topLeft" activeCell="A1" activeCellId="0" sqref="A1"/>
      <selection pane="topRight" activeCell="I1" activeCellId="0" sqref="I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48"/>
    <col collapsed="false" customWidth="true" hidden="false" outlineLevel="0" max="8" min="7" style="0" width="22"/>
    <col collapsed="false" customWidth="true" hidden="false" outlineLevel="0" max="9" min="9" style="0" width="8"/>
    <col collapsed="false" customWidth="true" hidden="false" outlineLevel="0" max="10" min="10" style="0" width="18"/>
    <col collapsed="false" customWidth="true" hidden="false" outlineLevel="0" max="11" min="11" style="0" width="15"/>
    <col collapsed="false" customWidth="true" hidden="false" outlineLevel="0" max="12" min="12" style="0" width="30"/>
    <col collapsed="false" customWidth="true" hidden="false" outlineLevel="0" max="13" min="13" style="0" width="15"/>
    <col collapsed="false" customWidth="true" hidden="false" outlineLevel="0" max="14" min="14" style="0" width="30"/>
    <col collapsed="false" customWidth="true" hidden="false" outlineLevel="0" max="15" min="15" style="0" width="15"/>
    <col collapsed="false" customWidth="true" hidden="false" outlineLevel="0" max="16" min="16" style="0" width="30"/>
    <col collapsed="false" customWidth="true" hidden="false" outlineLevel="0" max="17" min="17" style="0" width="15"/>
    <col collapsed="false" customWidth="true" hidden="false" outlineLevel="0" max="18" min="18" style="0" width="30"/>
    <col collapsed="false" customWidth="true" hidden="false" outlineLevel="0" max="19" min="19" style="0" width="15"/>
    <col collapsed="false" customWidth="true" hidden="false" outlineLevel="0" max="20" min="20" style="0" width="30"/>
    <col collapsed="false" customWidth="true" hidden="false" outlineLevel="0" max="21" min="21" style="0" width="15"/>
    <col collapsed="false" customWidth="true" hidden="false" outlineLevel="0" max="22" min="22" style="0" width="30"/>
    <col collapsed="false" customWidth="true" hidden="false" outlineLevel="0" max="23" min="23" style="0" width="15"/>
    <col collapsed="false" customWidth="true" hidden="false" outlineLevel="0" max="24" min="24" style="0" width="30"/>
    <col collapsed="false" customWidth="true" hidden="false" outlineLevel="0" max="25" min="25" style="0" width="15"/>
    <col collapsed="false" customWidth="true" hidden="false" outlineLevel="0" max="26" min="26" style="0" width="30"/>
    <col collapsed="false" customWidth="true" hidden="false" outlineLevel="0" max="27" min="27" style="0" width="15"/>
    <col collapsed="false" customWidth="true" hidden="false" outlineLevel="0" max="28" min="28" style="0" width="30"/>
    <col collapsed="false" customWidth="true" hidden="false" outlineLevel="0" max="29" min="29" style="0" width="15"/>
    <col collapsed="false" customWidth="true" hidden="false" outlineLevel="0" max="30" min="30" style="0" width="30"/>
    <col collapsed="false" customWidth="true" hidden="false" outlineLevel="0" max="31" min="31" style="0" width="15"/>
    <col collapsed="false" customWidth="true" hidden="false" outlineLevel="0" max="33" min="32" style="0" width="30"/>
    <col collapsed="false" customWidth="true" hidden="false" outlineLevel="0" max="34" min="34" style="0" width="24"/>
    <col collapsed="false" customWidth="true" hidden="false" outlineLevel="0" max="35" min="35" style="0" width="8"/>
    <col collapsed="false" customWidth="true" hidden="false" outlineLevel="0" max="36" min="36" style="0" width="12"/>
  </cols>
  <sheetData>
    <row r="1" customFormat="false" ht="31.5" hidden="false" customHeight="true" outlineLevel="0" collapsed="false">
      <c r="A1" s="5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O1" s="5" t="s">
        <v>50</v>
      </c>
      <c r="P1" s="5" t="s">
        <v>51</v>
      </c>
      <c r="Q1" s="5" t="s">
        <v>52</v>
      </c>
      <c r="R1" s="5" t="s">
        <v>53</v>
      </c>
      <c r="S1" s="5" t="s">
        <v>54</v>
      </c>
      <c r="T1" s="5" t="s">
        <v>55</v>
      </c>
      <c r="U1" s="5" t="s">
        <v>56</v>
      </c>
      <c r="V1" s="5" t="s">
        <v>57</v>
      </c>
      <c r="W1" s="5" t="s">
        <v>58</v>
      </c>
      <c r="X1" s="5" t="s">
        <v>59</v>
      </c>
      <c r="Y1" s="5" t="s">
        <v>60</v>
      </c>
      <c r="Z1" s="5" t="s">
        <v>61</v>
      </c>
      <c r="AA1" s="5" t="s">
        <v>62</v>
      </c>
      <c r="AB1" s="5" t="s">
        <v>63</v>
      </c>
      <c r="AC1" s="5" t="s">
        <v>64</v>
      </c>
      <c r="AD1" s="5" t="s">
        <v>65</v>
      </c>
      <c r="AE1" s="5" t="s">
        <v>66</v>
      </c>
      <c r="AF1" s="5" t="s">
        <v>67</v>
      </c>
      <c r="AG1" s="5" t="s">
        <v>68</v>
      </c>
      <c r="AH1" s="5" t="s">
        <v>69</v>
      </c>
      <c r="AI1" s="5" t="s">
        <v>70</v>
      </c>
      <c r="AJ1" s="5" t="s">
        <v>71</v>
      </c>
    </row>
    <row r="2" customFormat="false" ht="15" hidden="false" customHeight="false" outlineLevel="0" collapsed="false">
      <c r="A2" s="6" t="s">
        <v>72</v>
      </c>
      <c r="B2" s="6" t="s">
        <v>73</v>
      </c>
      <c r="C2" s="6" t="s">
        <v>74</v>
      </c>
      <c r="D2" s="6" t="s">
        <v>75</v>
      </c>
      <c r="E2" s="6" t="s">
        <v>76</v>
      </c>
      <c r="F2" s="6" t="s">
        <v>77</v>
      </c>
      <c r="G2" s="6" t="s">
        <v>76</v>
      </c>
      <c r="H2" s="6"/>
      <c r="I2" s="6" t="s">
        <v>78</v>
      </c>
      <c r="J2" s="6"/>
      <c r="K2" s="6" t="s">
        <v>79</v>
      </c>
      <c r="L2" s="6" t="s">
        <v>80</v>
      </c>
      <c r="M2" s="6" t="s">
        <v>81</v>
      </c>
      <c r="N2" s="6" t="s">
        <v>82</v>
      </c>
      <c r="O2" s="6" t="s">
        <v>79</v>
      </c>
      <c r="P2" s="6" t="s">
        <v>83</v>
      </c>
      <c r="Q2" s="6" t="s">
        <v>84</v>
      </c>
      <c r="R2" s="6" t="s">
        <v>85</v>
      </c>
      <c r="S2" s="6" t="s">
        <v>86</v>
      </c>
      <c r="T2" s="6" t="s">
        <v>85</v>
      </c>
      <c r="U2" s="6" t="s">
        <v>86</v>
      </c>
      <c r="V2" s="6" t="s">
        <v>85</v>
      </c>
      <c r="W2" s="6" t="s">
        <v>86</v>
      </c>
      <c r="X2" s="6" t="s">
        <v>85</v>
      </c>
      <c r="Y2" s="6" t="s">
        <v>86</v>
      </c>
      <c r="Z2" s="6" t="s">
        <v>87</v>
      </c>
      <c r="AA2" s="6" t="s">
        <v>79</v>
      </c>
      <c r="AB2" s="6" t="s">
        <v>88</v>
      </c>
      <c r="AC2" s="6" t="s">
        <v>89</v>
      </c>
      <c r="AD2" s="6" t="s">
        <v>90</v>
      </c>
      <c r="AE2" s="6" t="s">
        <v>91</v>
      </c>
      <c r="AF2" s="6" t="s">
        <v>92</v>
      </c>
      <c r="AG2" s="6" t="s">
        <v>93</v>
      </c>
      <c r="AH2" s="6"/>
      <c r="AI2" s="6" t="n">
        <v>9</v>
      </c>
      <c r="AJ2" s="6" t="s">
        <v>94</v>
      </c>
    </row>
    <row r="3" customFormat="false" ht="39.55" hidden="false" customHeight="false" outlineLevel="0" collapsed="false">
      <c r="A3" s="7" t="n">
        <v>1</v>
      </c>
      <c r="B3" s="7" t="str">
        <f aca="false">IF(I3="Y",IF(COUNTIF(I$3:I3,"Y")&lt;=20,"pilot",IF(COUNTIF(I$3:I3,"Y")&lt;=40,"dev",IF(COUNTIF(I$3:I3,"Y")&lt;=200,"test","extra"))),"")</f>
        <v/>
      </c>
      <c r="C3" s="7" t="str">
        <f aca="false">IF(I3="Y",IF(COUNTA(K3,M3,O3,Q3,S3,U3,W3,Y3,AA3,AC3,AE3)=11,"done","in progress"),IF(I3="N","excluded",""))</f>
        <v/>
      </c>
      <c r="D3" s="7" t="s">
        <v>95</v>
      </c>
      <c r="E3" s="8" t="s">
        <v>96</v>
      </c>
      <c r="F3" s="9" t="s">
        <v>97</v>
      </c>
      <c r="G3" s="7" t="s">
        <v>98</v>
      </c>
      <c r="H3" s="7"/>
      <c r="I3" s="10"/>
      <c r="J3" s="10"/>
      <c r="K3" s="10"/>
      <c r="L3" s="11"/>
      <c r="M3" s="10"/>
      <c r="N3" s="11"/>
      <c r="O3" s="10"/>
      <c r="P3" s="11"/>
      <c r="Q3" s="10"/>
      <c r="R3" s="11"/>
      <c r="S3" s="10"/>
      <c r="T3" s="11"/>
      <c r="U3" s="10"/>
      <c r="V3" s="11"/>
      <c r="W3" s="10"/>
      <c r="X3" s="11"/>
      <c r="Y3" s="10"/>
      <c r="Z3" s="11"/>
      <c r="AA3" s="10"/>
      <c r="AB3" s="11"/>
      <c r="AC3" s="10"/>
      <c r="AD3" s="11"/>
      <c r="AE3" s="10"/>
      <c r="AF3" s="11"/>
      <c r="AG3" s="11"/>
      <c r="AH3" s="11"/>
      <c r="AI3" s="10"/>
      <c r="AJ3" s="10"/>
    </row>
    <row r="4" customFormat="false" ht="52.2" hidden="false" customHeight="false" outlineLevel="0" collapsed="false">
      <c r="A4" s="7" t="n">
        <v>2</v>
      </c>
      <c r="B4" s="7" t="str">
        <f aca="false">IF(I4="Y",IF(COUNTIF(I$3:I4,"Y")&lt;=20,"pilot",IF(COUNTIF(I$3:I4,"Y")&lt;=40,"dev",IF(COUNTIF(I$3:I4,"Y")&lt;=200,"test","extra"))),"")</f>
        <v/>
      </c>
      <c r="C4" s="7" t="str">
        <f aca="false">IF(I4="Y",IF(COUNTA(K4,M4,O4,Q4,S4,U4,W4,Y4,AA4,AC4,AE4)=11,"done","in progress"),IF(I4="N","excluded",""))</f>
        <v/>
      </c>
      <c r="D4" s="7" t="s">
        <v>99</v>
      </c>
      <c r="E4" s="8" t="s">
        <v>96</v>
      </c>
      <c r="F4" s="9" t="s">
        <v>100</v>
      </c>
      <c r="G4" s="7" t="s">
        <v>101</v>
      </c>
      <c r="H4" s="7"/>
      <c r="I4" s="10"/>
      <c r="J4" s="10"/>
      <c r="K4" s="10"/>
      <c r="L4" s="11"/>
      <c r="M4" s="10"/>
      <c r="N4" s="11"/>
      <c r="O4" s="10"/>
      <c r="P4" s="11"/>
      <c r="Q4" s="10"/>
      <c r="R4" s="11"/>
      <c r="S4" s="10"/>
      <c r="T4" s="11"/>
      <c r="U4" s="10"/>
      <c r="V4" s="11"/>
      <c r="W4" s="10"/>
      <c r="X4" s="11"/>
      <c r="Y4" s="10"/>
      <c r="Z4" s="11"/>
      <c r="AA4" s="10"/>
      <c r="AB4" s="11"/>
      <c r="AC4" s="10"/>
      <c r="AD4" s="11"/>
      <c r="AE4" s="10"/>
      <c r="AF4" s="11"/>
      <c r="AG4" s="11"/>
      <c r="AH4" s="11"/>
      <c r="AI4" s="10"/>
      <c r="AJ4" s="10"/>
    </row>
    <row r="5" customFormat="false" ht="26.85" hidden="false" customHeight="false" outlineLevel="0" collapsed="false">
      <c r="A5" s="7" t="n">
        <v>3</v>
      </c>
      <c r="B5" s="7" t="str">
        <f aca="false">IF(I5="Y",IF(COUNTIF(I$3:I5,"Y")&lt;=20,"pilot",IF(COUNTIF(I$3:I5,"Y")&lt;=40,"dev",IF(COUNTIF(I$3:I5,"Y")&lt;=200,"test","extra"))),"")</f>
        <v/>
      </c>
      <c r="C5" s="7" t="str">
        <f aca="false">IF(I5="Y",IF(COUNTA(K5,M5,O5,Q5,S5,U5,W5,Y5,AA5,AC5,AE5)=11,"done","in progress"),IF(I5="N","excluded",""))</f>
        <v/>
      </c>
      <c r="D5" s="7" t="s">
        <v>102</v>
      </c>
      <c r="E5" s="8" t="s">
        <v>96</v>
      </c>
      <c r="F5" s="9" t="s">
        <v>103</v>
      </c>
      <c r="G5" s="7" t="s">
        <v>104</v>
      </c>
      <c r="H5" s="7"/>
      <c r="I5" s="10"/>
      <c r="J5" s="10"/>
      <c r="K5" s="10"/>
      <c r="L5" s="11"/>
      <c r="M5" s="10"/>
      <c r="N5" s="11"/>
      <c r="O5" s="10"/>
      <c r="P5" s="11"/>
      <c r="Q5" s="10"/>
      <c r="R5" s="11"/>
      <c r="S5" s="10"/>
      <c r="T5" s="11"/>
      <c r="U5" s="10"/>
      <c r="V5" s="11"/>
      <c r="W5" s="10"/>
      <c r="X5" s="11"/>
      <c r="Y5" s="10"/>
      <c r="Z5" s="11"/>
      <c r="AA5" s="10"/>
      <c r="AB5" s="11"/>
      <c r="AC5" s="10"/>
      <c r="AD5" s="11"/>
      <c r="AE5" s="10"/>
      <c r="AF5" s="11"/>
      <c r="AG5" s="11"/>
      <c r="AH5" s="11"/>
      <c r="AI5" s="10"/>
      <c r="AJ5" s="10"/>
    </row>
    <row r="6" customFormat="false" ht="39.55" hidden="false" customHeight="false" outlineLevel="0" collapsed="false">
      <c r="A6" s="7" t="n">
        <v>4</v>
      </c>
      <c r="B6" s="7" t="str">
        <f aca="false">IF(I6="Y",IF(COUNTIF(I$3:I6,"Y")&lt;=20,"pilot",IF(COUNTIF(I$3:I6,"Y")&lt;=40,"dev",IF(COUNTIF(I$3:I6,"Y")&lt;=200,"test","extra"))),"")</f>
        <v/>
      </c>
      <c r="C6" s="7" t="str">
        <f aca="false">IF(I6="Y",IF(COUNTA(K6,M6,O6,Q6,S6,U6,W6,Y6,AA6,AC6,AE6)=11,"done","in progress"),IF(I6="N","excluded",""))</f>
        <v/>
      </c>
      <c r="D6" s="7" t="s">
        <v>105</v>
      </c>
      <c r="E6" s="8" t="s">
        <v>96</v>
      </c>
      <c r="F6" s="9" t="s">
        <v>106</v>
      </c>
      <c r="G6" s="7" t="s">
        <v>107</v>
      </c>
      <c r="H6" s="7"/>
      <c r="I6" s="10"/>
      <c r="J6" s="10"/>
      <c r="K6" s="10"/>
      <c r="L6" s="11"/>
      <c r="M6" s="10"/>
      <c r="N6" s="11"/>
      <c r="O6" s="10"/>
      <c r="P6" s="11"/>
      <c r="Q6" s="10"/>
      <c r="R6" s="11"/>
      <c r="S6" s="10"/>
      <c r="T6" s="11"/>
      <c r="U6" s="10"/>
      <c r="V6" s="11"/>
      <c r="W6" s="10"/>
      <c r="X6" s="11"/>
      <c r="Y6" s="10"/>
      <c r="Z6" s="11"/>
      <c r="AA6" s="10"/>
      <c r="AB6" s="11"/>
      <c r="AC6" s="10"/>
      <c r="AD6" s="11"/>
      <c r="AE6" s="10"/>
      <c r="AF6" s="11"/>
      <c r="AG6" s="11"/>
      <c r="AH6" s="11"/>
      <c r="AI6" s="10"/>
      <c r="AJ6" s="10"/>
    </row>
    <row r="7" customFormat="false" ht="39.55" hidden="false" customHeight="false" outlineLevel="0" collapsed="false">
      <c r="A7" s="7" t="n">
        <v>5</v>
      </c>
      <c r="B7" s="7" t="str">
        <f aca="false">IF(I7="Y",IF(COUNTIF(I$3:I7,"Y")&lt;=20,"pilot",IF(COUNTIF(I$3:I7,"Y")&lt;=40,"dev",IF(COUNTIF(I$3:I7,"Y")&lt;=200,"test","extra"))),"")</f>
        <v/>
      </c>
      <c r="C7" s="7" t="str">
        <f aca="false">IF(I7="Y",IF(COUNTA(K7,M7,O7,Q7,S7,U7,W7,Y7,AA7,AC7,AE7)=11,"done","in progress"),IF(I7="N","excluded",""))</f>
        <v/>
      </c>
      <c r="D7" s="7" t="s">
        <v>108</v>
      </c>
      <c r="E7" s="8" t="s">
        <v>96</v>
      </c>
      <c r="F7" s="9" t="s">
        <v>109</v>
      </c>
      <c r="G7" s="7" t="s">
        <v>110</v>
      </c>
      <c r="H7" s="7"/>
      <c r="I7" s="10"/>
      <c r="J7" s="10"/>
      <c r="K7" s="10"/>
      <c r="L7" s="11"/>
      <c r="M7" s="10"/>
      <c r="N7" s="11"/>
      <c r="O7" s="10"/>
      <c r="P7" s="11"/>
      <c r="Q7" s="10"/>
      <c r="R7" s="11"/>
      <c r="S7" s="10"/>
      <c r="T7" s="11"/>
      <c r="U7" s="10"/>
      <c r="V7" s="11"/>
      <c r="W7" s="10"/>
      <c r="X7" s="11"/>
      <c r="Y7" s="10"/>
      <c r="Z7" s="11"/>
      <c r="AA7" s="10"/>
      <c r="AB7" s="11"/>
      <c r="AC7" s="10"/>
      <c r="AD7" s="11"/>
      <c r="AE7" s="10"/>
      <c r="AF7" s="11"/>
      <c r="AG7" s="11"/>
      <c r="AH7" s="11"/>
      <c r="AI7" s="10"/>
      <c r="AJ7" s="10"/>
    </row>
    <row r="8" customFormat="false" ht="26.85" hidden="false" customHeight="false" outlineLevel="0" collapsed="false">
      <c r="A8" s="7" t="n">
        <v>6</v>
      </c>
      <c r="B8" s="7" t="str">
        <f aca="false">IF(I8="Y",IF(COUNTIF(I$3:I8,"Y")&lt;=20,"pilot",IF(COUNTIF(I$3:I8,"Y")&lt;=40,"dev",IF(COUNTIF(I$3:I8,"Y")&lt;=200,"test","extra"))),"")</f>
        <v/>
      </c>
      <c r="C8" s="7" t="str">
        <f aca="false">IF(I8="Y",IF(COUNTA(K8,M8,O8,Q8,S8,U8,W8,Y8,AA8,AC8,AE8)=11,"done","in progress"),IF(I8="N","excluded",""))</f>
        <v/>
      </c>
      <c r="D8" s="7" t="s">
        <v>111</v>
      </c>
      <c r="E8" s="8" t="s">
        <v>96</v>
      </c>
      <c r="F8" s="9" t="s">
        <v>112</v>
      </c>
      <c r="G8" s="7" t="s">
        <v>113</v>
      </c>
      <c r="H8" s="7"/>
      <c r="I8" s="10"/>
      <c r="J8" s="10"/>
      <c r="K8" s="10"/>
      <c r="L8" s="11"/>
      <c r="M8" s="10"/>
      <c r="N8" s="11"/>
      <c r="O8" s="10"/>
      <c r="P8" s="11"/>
      <c r="Q8" s="10"/>
      <c r="R8" s="11"/>
      <c r="S8" s="10"/>
      <c r="T8" s="11"/>
      <c r="U8" s="10"/>
      <c r="V8" s="11"/>
      <c r="W8" s="10"/>
      <c r="X8" s="11"/>
      <c r="Y8" s="10"/>
      <c r="Z8" s="11"/>
      <c r="AA8" s="10"/>
      <c r="AB8" s="11"/>
      <c r="AC8" s="10"/>
      <c r="AD8" s="11"/>
      <c r="AE8" s="10"/>
      <c r="AF8" s="11"/>
      <c r="AG8" s="11"/>
      <c r="AH8" s="11"/>
      <c r="AI8" s="10"/>
      <c r="AJ8" s="10"/>
    </row>
    <row r="9" customFormat="false" ht="39.55" hidden="false" customHeight="false" outlineLevel="0" collapsed="false">
      <c r="A9" s="7" t="n">
        <v>7</v>
      </c>
      <c r="B9" s="7" t="str">
        <f aca="false">IF(I9="Y",IF(COUNTIF(I$3:I9,"Y")&lt;=20,"pilot",IF(COUNTIF(I$3:I9,"Y")&lt;=40,"dev",IF(COUNTIF(I$3:I9,"Y")&lt;=200,"test","extra"))),"")</f>
        <v/>
      </c>
      <c r="C9" s="7" t="str">
        <f aca="false">IF(I9="Y",IF(COUNTA(K9,M9,O9,Q9,S9,U9,W9,Y9,AA9,AC9,AE9)=11,"done","in progress"),IF(I9="N","excluded",""))</f>
        <v/>
      </c>
      <c r="D9" s="7" t="s">
        <v>114</v>
      </c>
      <c r="E9" s="8" t="s">
        <v>96</v>
      </c>
      <c r="F9" s="9" t="s">
        <v>115</v>
      </c>
      <c r="G9" s="7" t="s">
        <v>116</v>
      </c>
      <c r="H9" s="7"/>
      <c r="I9" s="10"/>
      <c r="J9" s="10"/>
      <c r="K9" s="10"/>
      <c r="L9" s="11"/>
      <c r="M9" s="10"/>
      <c r="N9" s="11"/>
      <c r="O9" s="10"/>
      <c r="P9" s="11"/>
      <c r="Q9" s="10"/>
      <c r="R9" s="11"/>
      <c r="S9" s="10"/>
      <c r="T9" s="11"/>
      <c r="U9" s="10"/>
      <c r="V9" s="11"/>
      <c r="W9" s="10"/>
      <c r="X9" s="11"/>
      <c r="Y9" s="10"/>
      <c r="Z9" s="11"/>
      <c r="AA9" s="10"/>
      <c r="AB9" s="11"/>
      <c r="AC9" s="10"/>
      <c r="AD9" s="11"/>
      <c r="AE9" s="10"/>
      <c r="AF9" s="11"/>
      <c r="AG9" s="11"/>
      <c r="AH9" s="11"/>
      <c r="AI9" s="10"/>
      <c r="AJ9" s="10"/>
    </row>
    <row r="10" customFormat="false" ht="39.55" hidden="false" customHeight="false" outlineLevel="0" collapsed="false">
      <c r="A10" s="7" t="n">
        <v>8</v>
      </c>
      <c r="B10" s="7" t="str">
        <f aca="false">IF(I10="Y",IF(COUNTIF(I$3:I10,"Y")&lt;=20,"pilot",IF(COUNTIF(I$3:I10,"Y")&lt;=40,"dev",IF(COUNTIF(I$3:I10,"Y")&lt;=200,"test","extra"))),"")</f>
        <v/>
      </c>
      <c r="C10" s="7" t="str">
        <f aca="false">IF(I10="Y",IF(COUNTA(K10,M10,O10,Q10,S10,U10,W10,Y10,AA10,AC10,AE10)=11,"done","in progress"),IF(I10="N","excluded",""))</f>
        <v/>
      </c>
      <c r="D10" s="7" t="s">
        <v>117</v>
      </c>
      <c r="E10" s="8" t="s">
        <v>96</v>
      </c>
      <c r="F10" s="9" t="s">
        <v>118</v>
      </c>
      <c r="G10" s="7" t="s">
        <v>119</v>
      </c>
      <c r="H10" s="7"/>
      <c r="I10" s="10"/>
      <c r="J10" s="10"/>
      <c r="K10" s="10"/>
      <c r="L10" s="11"/>
      <c r="M10" s="10"/>
      <c r="N10" s="11"/>
      <c r="O10" s="10"/>
      <c r="P10" s="11"/>
      <c r="Q10" s="10"/>
      <c r="R10" s="11"/>
      <c r="S10" s="10"/>
      <c r="T10" s="11"/>
      <c r="U10" s="10"/>
      <c r="V10" s="11"/>
      <c r="W10" s="10"/>
      <c r="X10" s="11"/>
      <c r="Y10" s="10"/>
      <c r="Z10" s="11"/>
      <c r="AA10" s="10"/>
      <c r="AB10" s="11"/>
      <c r="AC10" s="10"/>
      <c r="AD10" s="11"/>
      <c r="AE10" s="10"/>
      <c r="AF10" s="11"/>
      <c r="AG10" s="11"/>
      <c r="AH10" s="11"/>
      <c r="AI10" s="10"/>
      <c r="AJ10" s="10"/>
    </row>
    <row r="11" customFormat="false" ht="26.85" hidden="false" customHeight="false" outlineLevel="0" collapsed="false">
      <c r="A11" s="7" t="n">
        <v>9</v>
      </c>
      <c r="B11" s="7" t="str">
        <f aca="false">IF(I11="Y",IF(COUNTIF(I$3:I11,"Y")&lt;=20,"pilot",IF(COUNTIF(I$3:I11,"Y")&lt;=40,"dev",IF(COUNTIF(I$3:I11,"Y")&lt;=200,"test","extra"))),"")</f>
        <v/>
      </c>
      <c r="C11" s="7" t="str">
        <f aca="false">IF(I11="Y",IF(COUNTA(K11,M11,O11,Q11,S11,U11,W11,Y11,AA11,AC11,AE11)=11,"done","in progress"),IF(I11="N","excluded",""))</f>
        <v/>
      </c>
      <c r="D11" s="7" t="s">
        <v>120</v>
      </c>
      <c r="E11" s="8" t="s">
        <v>96</v>
      </c>
      <c r="F11" s="9" t="s">
        <v>121</v>
      </c>
      <c r="G11" s="7" t="s">
        <v>122</v>
      </c>
      <c r="H11" s="7"/>
      <c r="I11" s="10"/>
      <c r="J11" s="10"/>
      <c r="K11" s="10"/>
      <c r="L11" s="11"/>
      <c r="M11" s="10"/>
      <c r="N11" s="11"/>
      <c r="O11" s="10"/>
      <c r="P11" s="11"/>
      <c r="Q11" s="10"/>
      <c r="R11" s="11"/>
      <c r="S11" s="10"/>
      <c r="T11" s="11"/>
      <c r="U11" s="10"/>
      <c r="V11" s="11"/>
      <c r="W11" s="10"/>
      <c r="X11" s="11"/>
      <c r="Y11" s="10"/>
      <c r="Z11" s="11"/>
      <c r="AA11" s="10"/>
      <c r="AB11" s="11"/>
      <c r="AC11" s="10"/>
      <c r="AD11" s="11"/>
      <c r="AE11" s="10"/>
      <c r="AF11" s="11"/>
      <c r="AG11" s="11"/>
      <c r="AH11" s="11"/>
      <c r="AI11" s="10"/>
      <c r="AJ11" s="10"/>
    </row>
    <row r="12" customFormat="false" ht="39.55" hidden="false" customHeight="false" outlineLevel="0" collapsed="false">
      <c r="A12" s="7" t="n">
        <v>10</v>
      </c>
      <c r="B12" s="7" t="str">
        <f aca="false">IF(I12="Y",IF(COUNTIF(I$3:I12,"Y")&lt;=20,"pilot",IF(COUNTIF(I$3:I12,"Y")&lt;=40,"dev",IF(COUNTIF(I$3:I12,"Y")&lt;=200,"test","extra"))),"")</f>
        <v/>
      </c>
      <c r="C12" s="7" t="str">
        <f aca="false">IF(I12="Y",IF(COUNTA(K12,M12,O12,Q12,S12,U12,W12,Y12,AA12,AC12,AE12)=11,"done","in progress"),IF(I12="N","excluded",""))</f>
        <v/>
      </c>
      <c r="D12" s="7" t="s">
        <v>123</v>
      </c>
      <c r="E12" s="8" t="s">
        <v>96</v>
      </c>
      <c r="F12" s="9" t="s">
        <v>124</v>
      </c>
      <c r="G12" s="7" t="s">
        <v>125</v>
      </c>
      <c r="H12" s="7"/>
      <c r="I12" s="10"/>
      <c r="J12" s="10"/>
      <c r="K12" s="10"/>
      <c r="L12" s="11"/>
      <c r="M12" s="10"/>
      <c r="N12" s="11"/>
      <c r="O12" s="10"/>
      <c r="P12" s="11"/>
      <c r="Q12" s="10"/>
      <c r="R12" s="11"/>
      <c r="S12" s="10"/>
      <c r="T12" s="11"/>
      <c r="U12" s="10"/>
      <c r="V12" s="11"/>
      <c r="W12" s="10"/>
      <c r="X12" s="11"/>
      <c r="Y12" s="10"/>
      <c r="Z12" s="11"/>
      <c r="AA12" s="10"/>
      <c r="AB12" s="11"/>
      <c r="AC12" s="10"/>
      <c r="AD12" s="11"/>
      <c r="AE12" s="10"/>
      <c r="AF12" s="11"/>
      <c r="AG12" s="11"/>
      <c r="AH12" s="11"/>
      <c r="AI12" s="10"/>
      <c r="AJ12" s="10"/>
    </row>
    <row r="13" customFormat="false" ht="39.55" hidden="false" customHeight="false" outlineLevel="0" collapsed="false">
      <c r="A13" s="7" t="n">
        <v>11</v>
      </c>
      <c r="B13" s="7" t="str">
        <f aca="false">IF(I13="Y",IF(COUNTIF(I$3:I13,"Y")&lt;=20,"pilot",IF(COUNTIF(I$3:I13,"Y")&lt;=40,"dev",IF(COUNTIF(I$3:I13,"Y")&lt;=200,"test","extra"))),"")</f>
        <v/>
      </c>
      <c r="C13" s="7" t="str">
        <f aca="false">IF(I13="Y",IF(COUNTA(K13,M13,O13,Q13,S13,U13,W13,Y13,AA13,AC13,AE13)=11,"done","in progress"),IF(I13="N","excluded",""))</f>
        <v/>
      </c>
      <c r="D13" s="7" t="s">
        <v>126</v>
      </c>
      <c r="E13" s="8" t="s">
        <v>96</v>
      </c>
      <c r="F13" s="9" t="s">
        <v>127</v>
      </c>
      <c r="G13" s="7" t="s">
        <v>113</v>
      </c>
      <c r="H13" s="7"/>
      <c r="I13" s="10"/>
      <c r="J13" s="10"/>
      <c r="K13" s="10"/>
      <c r="L13" s="11"/>
      <c r="M13" s="10"/>
      <c r="N13" s="11"/>
      <c r="O13" s="10"/>
      <c r="P13" s="11"/>
      <c r="Q13" s="10"/>
      <c r="R13" s="11"/>
      <c r="S13" s="10"/>
      <c r="T13" s="11"/>
      <c r="U13" s="10"/>
      <c r="V13" s="11"/>
      <c r="W13" s="10"/>
      <c r="X13" s="11"/>
      <c r="Y13" s="10"/>
      <c r="Z13" s="11"/>
      <c r="AA13" s="10"/>
      <c r="AB13" s="11"/>
      <c r="AC13" s="10"/>
      <c r="AD13" s="11"/>
      <c r="AE13" s="10"/>
      <c r="AF13" s="11"/>
      <c r="AG13" s="11"/>
      <c r="AH13" s="11"/>
      <c r="AI13" s="10"/>
      <c r="AJ13" s="10"/>
    </row>
    <row r="14" customFormat="false" ht="52.2" hidden="false" customHeight="false" outlineLevel="0" collapsed="false">
      <c r="A14" s="7" t="n">
        <v>12</v>
      </c>
      <c r="B14" s="7" t="str">
        <f aca="false">IF(I14="Y",IF(COUNTIF(I$3:I14,"Y")&lt;=20,"pilot",IF(COUNTIF(I$3:I14,"Y")&lt;=40,"dev",IF(COUNTIF(I$3:I14,"Y")&lt;=200,"test","extra"))),"")</f>
        <v/>
      </c>
      <c r="C14" s="7" t="str">
        <f aca="false">IF(I14="Y",IF(COUNTA(K14,M14,O14,Q14,S14,U14,W14,Y14,AA14,AC14,AE14)=11,"done","in progress"),IF(I14="N","excluded",""))</f>
        <v/>
      </c>
      <c r="D14" s="7" t="s">
        <v>128</v>
      </c>
      <c r="E14" s="8" t="s">
        <v>96</v>
      </c>
      <c r="F14" s="9" t="s">
        <v>129</v>
      </c>
      <c r="G14" s="7" t="s">
        <v>130</v>
      </c>
      <c r="H14" s="7"/>
      <c r="I14" s="10"/>
      <c r="J14" s="10"/>
      <c r="K14" s="10"/>
      <c r="L14" s="11"/>
      <c r="M14" s="10"/>
      <c r="N14" s="11"/>
      <c r="O14" s="10"/>
      <c r="P14" s="11"/>
      <c r="Q14" s="10"/>
      <c r="R14" s="11"/>
      <c r="S14" s="10"/>
      <c r="T14" s="11"/>
      <c r="U14" s="10"/>
      <c r="V14" s="11"/>
      <c r="W14" s="10"/>
      <c r="X14" s="11"/>
      <c r="Y14" s="10"/>
      <c r="Z14" s="11"/>
      <c r="AA14" s="10"/>
      <c r="AB14" s="11"/>
      <c r="AC14" s="10"/>
      <c r="AD14" s="11"/>
      <c r="AE14" s="10"/>
      <c r="AF14" s="11"/>
      <c r="AG14" s="11"/>
      <c r="AH14" s="11"/>
      <c r="AI14" s="10"/>
      <c r="AJ14" s="10"/>
    </row>
    <row r="15" customFormat="false" ht="52.2" hidden="false" customHeight="false" outlineLevel="0" collapsed="false">
      <c r="A15" s="7" t="n">
        <v>13</v>
      </c>
      <c r="B15" s="7" t="str">
        <f aca="false">IF(I15="Y",IF(COUNTIF(I$3:I15,"Y")&lt;=20,"pilot",IF(COUNTIF(I$3:I15,"Y")&lt;=40,"dev",IF(COUNTIF(I$3:I15,"Y")&lt;=200,"test","extra"))),"")</f>
        <v/>
      </c>
      <c r="C15" s="7" t="str">
        <f aca="false">IF(I15="Y",IF(COUNTA(K15,M15,O15,Q15,S15,U15,W15,Y15,AA15,AC15,AE15)=11,"done","in progress"),IF(I15="N","excluded",""))</f>
        <v/>
      </c>
      <c r="D15" s="7" t="s">
        <v>131</v>
      </c>
      <c r="E15" s="8" t="s">
        <v>96</v>
      </c>
      <c r="F15" s="9" t="s">
        <v>132</v>
      </c>
      <c r="G15" s="7" t="s">
        <v>133</v>
      </c>
      <c r="H15" s="7"/>
      <c r="I15" s="10"/>
      <c r="J15" s="10"/>
      <c r="K15" s="10"/>
      <c r="L15" s="11"/>
      <c r="M15" s="10"/>
      <c r="N15" s="11"/>
      <c r="O15" s="10"/>
      <c r="P15" s="11"/>
      <c r="Q15" s="10"/>
      <c r="R15" s="11"/>
      <c r="S15" s="10"/>
      <c r="T15" s="11"/>
      <c r="U15" s="10"/>
      <c r="V15" s="11"/>
      <c r="W15" s="10"/>
      <c r="X15" s="11"/>
      <c r="Y15" s="10"/>
      <c r="Z15" s="11"/>
      <c r="AA15" s="10"/>
      <c r="AB15" s="11"/>
      <c r="AC15" s="10"/>
      <c r="AD15" s="11"/>
      <c r="AE15" s="10"/>
      <c r="AF15" s="11"/>
      <c r="AG15" s="11"/>
      <c r="AH15" s="11"/>
      <c r="AI15" s="10"/>
      <c r="AJ15" s="10"/>
    </row>
    <row r="16" customFormat="false" ht="39.55" hidden="false" customHeight="false" outlineLevel="0" collapsed="false">
      <c r="A16" s="7" t="n">
        <v>14</v>
      </c>
      <c r="B16" s="7" t="str">
        <f aca="false">IF(I16="Y",IF(COUNTIF(I$3:I16,"Y")&lt;=20,"pilot",IF(COUNTIF(I$3:I16,"Y")&lt;=40,"dev",IF(COUNTIF(I$3:I16,"Y")&lt;=200,"test","extra"))),"")</f>
        <v/>
      </c>
      <c r="C16" s="7" t="str">
        <f aca="false">IF(I16="Y",IF(COUNTA(K16,M16,O16,Q16,S16,U16,W16,Y16,AA16,AC16,AE16)=11,"done","in progress"),IF(I16="N","excluded",""))</f>
        <v/>
      </c>
      <c r="D16" s="7" t="s">
        <v>134</v>
      </c>
      <c r="E16" s="8" t="s">
        <v>96</v>
      </c>
      <c r="F16" s="9" t="s">
        <v>135</v>
      </c>
      <c r="G16" s="7" t="s">
        <v>116</v>
      </c>
      <c r="H16" s="7"/>
      <c r="I16" s="10"/>
      <c r="J16" s="10"/>
      <c r="K16" s="10"/>
      <c r="L16" s="11"/>
      <c r="M16" s="10"/>
      <c r="N16" s="11"/>
      <c r="O16" s="10"/>
      <c r="P16" s="11"/>
      <c r="Q16" s="10"/>
      <c r="R16" s="11"/>
      <c r="S16" s="10"/>
      <c r="T16" s="11"/>
      <c r="U16" s="10"/>
      <c r="V16" s="11"/>
      <c r="W16" s="10"/>
      <c r="X16" s="11"/>
      <c r="Y16" s="10"/>
      <c r="Z16" s="11"/>
      <c r="AA16" s="10"/>
      <c r="AB16" s="11"/>
      <c r="AC16" s="10"/>
      <c r="AD16" s="11"/>
      <c r="AE16" s="10"/>
      <c r="AF16" s="11"/>
      <c r="AG16" s="11"/>
      <c r="AH16" s="11"/>
      <c r="AI16" s="10"/>
      <c r="AJ16" s="10"/>
    </row>
    <row r="17" customFormat="false" ht="39.55" hidden="false" customHeight="false" outlineLevel="0" collapsed="false">
      <c r="A17" s="7" t="n">
        <v>15</v>
      </c>
      <c r="B17" s="7" t="str">
        <f aca="false">IF(I17="Y",IF(COUNTIF(I$3:I17,"Y")&lt;=20,"pilot",IF(COUNTIF(I$3:I17,"Y")&lt;=40,"dev",IF(COUNTIF(I$3:I17,"Y")&lt;=200,"test","extra"))),"")</f>
        <v/>
      </c>
      <c r="C17" s="7" t="str">
        <f aca="false">IF(I17="Y",IF(COUNTA(K17,M17,O17,Q17,S17,U17,W17,Y17,AA17,AC17,AE17)=11,"done","in progress"),IF(I17="N","excluded",""))</f>
        <v/>
      </c>
      <c r="D17" s="7" t="s">
        <v>136</v>
      </c>
      <c r="E17" s="8" t="s">
        <v>96</v>
      </c>
      <c r="F17" s="9" t="s">
        <v>137</v>
      </c>
      <c r="G17" s="7" t="s">
        <v>138</v>
      </c>
      <c r="H17" s="7"/>
      <c r="I17" s="10"/>
      <c r="J17" s="10"/>
      <c r="K17" s="10"/>
      <c r="L17" s="11"/>
      <c r="M17" s="10"/>
      <c r="N17" s="11"/>
      <c r="O17" s="10"/>
      <c r="P17" s="11"/>
      <c r="Q17" s="10"/>
      <c r="R17" s="11"/>
      <c r="S17" s="10"/>
      <c r="T17" s="11"/>
      <c r="U17" s="10"/>
      <c r="V17" s="11"/>
      <c r="W17" s="10"/>
      <c r="X17" s="11"/>
      <c r="Y17" s="10"/>
      <c r="Z17" s="11"/>
      <c r="AA17" s="10"/>
      <c r="AB17" s="11"/>
      <c r="AC17" s="10"/>
      <c r="AD17" s="11"/>
      <c r="AE17" s="10"/>
      <c r="AF17" s="11"/>
      <c r="AG17" s="11"/>
      <c r="AH17" s="11"/>
      <c r="AI17" s="10"/>
      <c r="AJ17" s="10"/>
    </row>
    <row r="18" customFormat="false" ht="39.55" hidden="false" customHeight="false" outlineLevel="0" collapsed="false">
      <c r="A18" s="7" t="n">
        <v>16</v>
      </c>
      <c r="B18" s="7" t="str">
        <f aca="false">IF(I18="Y",IF(COUNTIF(I$3:I18,"Y")&lt;=20,"pilot",IF(COUNTIF(I$3:I18,"Y")&lt;=40,"dev",IF(COUNTIF(I$3:I18,"Y")&lt;=200,"test","extra"))),"")</f>
        <v/>
      </c>
      <c r="C18" s="7" t="str">
        <f aca="false">IF(I18="Y",IF(COUNTA(K18,M18,O18,Q18,S18,U18,W18,Y18,AA18,AC18,AE18)=11,"done","in progress"),IF(I18="N","excluded",""))</f>
        <v/>
      </c>
      <c r="D18" s="7" t="s">
        <v>139</v>
      </c>
      <c r="E18" s="8" t="s">
        <v>96</v>
      </c>
      <c r="F18" s="9" t="s">
        <v>140</v>
      </c>
      <c r="G18" s="7" t="s">
        <v>104</v>
      </c>
      <c r="H18" s="7"/>
      <c r="I18" s="10"/>
      <c r="J18" s="10"/>
      <c r="K18" s="10"/>
      <c r="L18" s="11"/>
      <c r="M18" s="10"/>
      <c r="N18" s="11"/>
      <c r="O18" s="10"/>
      <c r="P18" s="11"/>
      <c r="Q18" s="10"/>
      <c r="R18" s="11"/>
      <c r="S18" s="10"/>
      <c r="T18" s="11"/>
      <c r="U18" s="10"/>
      <c r="V18" s="11"/>
      <c r="W18" s="10"/>
      <c r="X18" s="11"/>
      <c r="Y18" s="10"/>
      <c r="Z18" s="11"/>
      <c r="AA18" s="10"/>
      <c r="AB18" s="11"/>
      <c r="AC18" s="10"/>
      <c r="AD18" s="11"/>
      <c r="AE18" s="10"/>
      <c r="AF18" s="11"/>
      <c r="AG18" s="11"/>
      <c r="AH18" s="11"/>
      <c r="AI18" s="10"/>
      <c r="AJ18" s="10"/>
    </row>
    <row r="19" customFormat="false" ht="39.55" hidden="false" customHeight="false" outlineLevel="0" collapsed="false">
      <c r="A19" s="7" t="n">
        <v>17</v>
      </c>
      <c r="B19" s="7" t="str">
        <f aca="false">IF(I19="Y",IF(COUNTIF(I$3:I19,"Y")&lt;=20,"pilot",IF(COUNTIF(I$3:I19,"Y")&lt;=40,"dev",IF(COUNTIF(I$3:I19,"Y")&lt;=200,"test","extra"))),"")</f>
        <v/>
      </c>
      <c r="C19" s="7" t="str">
        <f aca="false">IF(I19="Y",IF(COUNTA(K19,M19,O19,Q19,S19,U19,W19,Y19,AA19,AC19,AE19)=11,"done","in progress"),IF(I19="N","excluded",""))</f>
        <v/>
      </c>
      <c r="D19" s="7" t="s">
        <v>141</v>
      </c>
      <c r="E19" s="8" t="s">
        <v>96</v>
      </c>
      <c r="F19" s="9" t="s">
        <v>142</v>
      </c>
      <c r="G19" s="7" t="s">
        <v>143</v>
      </c>
      <c r="H19" s="7"/>
      <c r="I19" s="10"/>
      <c r="J19" s="10"/>
      <c r="K19" s="10"/>
      <c r="L19" s="11"/>
      <c r="M19" s="10"/>
      <c r="N19" s="11"/>
      <c r="O19" s="10"/>
      <c r="P19" s="11"/>
      <c r="Q19" s="10"/>
      <c r="R19" s="11"/>
      <c r="S19" s="10"/>
      <c r="T19" s="11"/>
      <c r="U19" s="10"/>
      <c r="V19" s="11"/>
      <c r="W19" s="10"/>
      <c r="X19" s="11"/>
      <c r="Y19" s="10"/>
      <c r="Z19" s="11"/>
      <c r="AA19" s="10"/>
      <c r="AB19" s="11"/>
      <c r="AC19" s="10"/>
      <c r="AD19" s="11"/>
      <c r="AE19" s="10"/>
      <c r="AF19" s="11"/>
      <c r="AG19" s="11"/>
      <c r="AH19" s="11"/>
      <c r="AI19" s="10"/>
      <c r="AJ19" s="10"/>
    </row>
    <row r="20" customFormat="false" ht="26.85" hidden="false" customHeight="false" outlineLevel="0" collapsed="false">
      <c r="A20" s="7" t="n">
        <v>18</v>
      </c>
      <c r="B20" s="7" t="str">
        <f aca="false">IF(I20="Y",IF(COUNTIF(I$3:I20,"Y")&lt;=20,"pilot",IF(COUNTIF(I$3:I20,"Y")&lt;=40,"dev",IF(COUNTIF(I$3:I20,"Y")&lt;=200,"test","extra"))),"")</f>
        <v/>
      </c>
      <c r="C20" s="7" t="str">
        <f aca="false">IF(I20="Y",IF(COUNTA(K20,M20,O20,Q20,S20,U20,W20,Y20,AA20,AC20,AE20)=11,"done","in progress"),IF(I20="N","excluded",""))</f>
        <v/>
      </c>
      <c r="D20" s="7" t="s">
        <v>144</v>
      </c>
      <c r="E20" s="8" t="s">
        <v>96</v>
      </c>
      <c r="F20" s="9" t="s">
        <v>145</v>
      </c>
      <c r="G20" s="7" t="s">
        <v>133</v>
      </c>
      <c r="H20" s="7"/>
      <c r="I20" s="10"/>
      <c r="J20" s="10"/>
      <c r="K20" s="10"/>
      <c r="L20" s="11"/>
      <c r="M20" s="10"/>
      <c r="N20" s="11"/>
      <c r="O20" s="10"/>
      <c r="P20" s="11"/>
      <c r="Q20" s="10"/>
      <c r="R20" s="11"/>
      <c r="S20" s="10"/>
      <c r="T20" s="11"/>
      <c r="U20" s="10"/>
      <c r="V20" s="11"/>
      <c r="W20" s="10"/>
      <c r="X20" s="11"/>
      <c r="Y20" s="10"/>
      <c r="Z20" s="11"/>
      <c r="AA20" s="10"/>
      <c r="AB20" s="11"/>
      <c r="AC20" s="10"/>
      <c r="AD20" s="11"/>
      <c r="AE20" s="10"/>
      <c r="AF20" s="11"/>
      <c r="AG20" s="11"/>
      <c r="AH20" s="11"/>
      <c r="AI20" s="10"/>
      <c r="AJ20" s="10"/>
    </row>
    <row r="21" customFormat="false" ht="39.55" hidden="false" customHeight="false" outlineLevel="0" collapsed="false">
      <c r="A21" s="7" t="n">
        <v>19</v>
      </c>
      <c r="B21" s="7" t="str">
        <f aca="false">IF(I21="Y",IF(COUNTIF(I$3:I21,"Y")&lt;=20,"pilot",IF(COUNTIF(I$3:I21,"Y")&lt;=40,"dev",IF(COUNTIF(I$3:I21,"Y")&lt;=200,"test","extra"))),"")</f>
        <v/>
      </c>
      <c r="C21" s="7" t="str">
        <f aca="false">IF(I21="Y",IF(COUNTA(K21,M21,O21,Q21,S21,U21,W21,Y21,AA21,AC21,AE21)=11,"done","in progress"),IF(I21="N","excluded",""))</f>
        <v/>
      </c>
      <c r="D21" s="7" t="s">
        <v>146</v>
      </c>
      <c r="E21" s="8" t="s">
        <v>96</v>
      </c>
      <c r="F21" s="9" t="s">
        <v>147</v>
      </c>
      <c r="G21" s="7" t="s">
        <v>148</v>
      </c>
      <c r="H21" s="7"/>
      <c r="I21" s="10"/>
      <c r="J21" s="10"/>
      <c r="K21" s="10"/>
      <c r="L21" s="11"/>
      <c r="M21" s="10"/>
      <c r="N21" s="11"/>
      <c r="O21" s="10"/>
      <c r="P21" s="11"/>
      <c r="Q21" s="10"/>
      <c r="R21" s="11"/>
      <c r="S21" s="10"/>
      <c r="T21" s="11"/>
      <c r="U21" s="10"/>
      <c r="V21" s="11"/>
      <c r="W21" s="10"/>
      <c r="X21" s="11"/>
      <c r="Y21" s="10"/>
      <c r="Z21" s="11"/>
      <c r="AA21" s="10"/>
      <c r="AB21" s="11"/>
      <c r="AC21" s="10"/>
      <c r="AD21" s="11"/>
      <c r="AE21" s="10"/>
      <c r="AF21" s="11"/>
      <c r="AG21" s="11"/>
      <c r="AH21" s="11"/>
      <c r="AI21" s="10"/>
      <c r="AJ21" s="10"/>
    </row>
    <row r="22" customFormat="false" ht="39.55" hidden="false" customHeight="false" outlineLevel="0" collapsed="false">
      <c r="A22" s="7" t="n">
        <v>20</v>
      </c>
      <c r="B22" s="7" t="str">
        <f aca="false">IF(I22="Y",IF(COUNTIF(I$3:I22,"Y")&lt;=20,"pilot",IF(COUNTIF(I$3:I22,"Y")&lt;=40,"dev",IF(COUNTIF(I$3:I22,"Y")&lt;=200,"test","extra"))),"")</f>
        <v/>
      </c>
      <c r="C22" s="7" t="str">
        <f aca="false">IF(I22="Y",IF(COUNTA(K22,M22,O22,Q22,S22,U22,W22,Y22,AA22,AC22,AE22)=11,"done","in progress"),IF(I22="N","excluded",""))</f>
        <v/>
      </c>
      <c r="D22" s="7" t="s">
        <v>149</v>
      </c>
      <c r="E22" s="8" t="s">
        <v>96</v>
      </c>
      <c r="F22" s="9" t="s">
        <v>150</v>
      </c>
      <c r="G22" s="7" t="s">
        <v>151</v>
      </c>
      <c r="H22" s="7"/>
      <c r="I22" s="10"/>
      <c r="J22" s="10"/>
      <c r="K22" s="10"/>
      <c r="L22" s="11"/>
      <c r="M22" s="10"/>
      <c r="N22" s="11"/>
      <c r="O22" s="10"/>
      <c r="P22" s="11"/>
      <c r="Q22" s="10"/>
      <c r="R22" s="11"/>
      <c r="S22" s="10"/>
      <c r="T22" s="11"/>
      <c r="U22" s="10"/>
      <c r="V22" s="11"/>
      <c r="W22" s="10"/>
      <c r="X22" s="11"/>
      <c r="Y22" s="10"/>
      <c r="Z22" s="11"/>
      <c r="AA22" s="10"/>
      <c r="AB22" s="11"/>
      <c r="AC22" s="10"/>
      <c r="AD22" s="11"/>
      <c r="AE22" s="10"/>
      <c r="AF22" s="11"/>
      <c r="AG22" s="11"/>
      <c r="AH22" s="11"/>
      <c r="AI22" s="10"/>
      <c r="AJ22" s="10"/>
    </row>
    <row r="23" customFormat="false" ht="39.55" hidden="false" customHeight="false" outlineLevel="0" collapsed="false">
      <c r="A23" s="7" t="n">
        <v>21</v>
      </c>
      <c r="B23" s="7" t="str">
        <f aca="false">IF(I23="Y",IF(COUNTIF(I$3:I23,"Y")&lt;=20,"pilot",IF(COUNTIF(I$3:I23,"Y")&lt;=40,"dev",IF(COUNTIF(I$3:I23,"Y")&lt;=200,"test","extra"))),"")</f>
        <v/>
      </c>
      <c r="C23" s="7" t="str">
        <f aca="false">IF(I23="Y",IF(COUNTA(K23,M23,O23,Q23,S23,U23,W23,Y23,AA23,AC23,AE23)=11,"done","in progress"),IF(I23="N","excluded",""))</f>
        <v/>
      </c>
      <c r="D23" s="7" t="s">
        <v>152</v>
      </c>
      <c r="E23" s="8" t="s">
        <v>96</v>
      </c>
      <c r="F23" s="9" t="s">
        <v>153</v>
      </c>
      <c r="G23" s="7" t="s">
        <v>154</v>
      </c>
      <c r="H23" s="7"/>
      <c r="I23" s="10"/>
      <c r="J23" s="10"/>
      <c r="K23" s="10"/>
      <c r="L23" s="11"/>
      <c r="M23" s="10"/>
      <c r="N23" s="11"/>
      <c r="O23" s="10"/>
      <c r="P23" s="11"/>
      <c r="Q23" s="10"/>
      <c r="R23" s="11"/>
      <c r="S23" s="10"/>
      <c r="T23" s="11"/>
      <c r="U23" s="10"/>
      <c r="V23" s="11"/>
      <c r="W23" s="10"/>
      <c r="X23" s="11"/>
      <c r="Y23" s="10"/>
      <c r="Z23" s="11"/>
      <c r="AA23" s="10"/>
      <c r="AB23" s="11"/>
      <c r="AC23" s="10"/>
      <c r="AD23" s="11"/>
      <c r="AE23" s="10"/>
      <c r="AF23" s="11"/>
      <c r="AG23" s="11"/>
      <c r="AH23" s="11"/>
      <c r="AI23" s="10"/>
      <c r="AJ23" s="10"/>
    </row>
    <row r="24" customFormat="false" ht="52.2" hidden="false" customHeight="false" outlineLevel="0" collapsed="false">
      <c r="A24" s="7" t="n">
        <v>22</v>
      </c>
      <c r="B24" s="7" t="str">
        <f aca="false">IF(I24="Y",IF(COUNTIF(I$3:I24,"Y")&lt;=20,"pilot",IF(COUNTIF(I$3:I24,"Y")&lt;=40,"dev",IF(COUNTIF(I$3:I24,"Y")&lt;=200,"test","extra"))),"")</f>
        <v/>
      </c>
      <c r="C24" s="7" t="str">
        <f aca="false">IF(I24="Y",IF(COUNTA(K24,M24,O24,Q24,S24,U24,W24,Y24,AA24,AC24,AE24)=11,"done","in progress"),IF(I24="N","excluded",""))</f>
        <v/>
      </c>
      <c r="D24" s="7" t="s">
        <v>155</v>
      </c>
      <c r="E24" s="8" t="s">
        <v>96</v>
      </c>
      <c r="F24" s="9" t="s">
        <v>156</v>
      </c>
      <c r="G24" s="7" t="s">
        <v>104</v>
      </c>
      <c r="H24" s="7"/>
      <c r="I24" s="10"/>
      <c r="J24" s="10"/>
      <c r="K24" s="10"/>
      <c r="L24" s="11"/>
      <c r="M24" s="10"/>
      <c r="N24" s="11"/>
      <c r="O24" s="10"/>
      <c r="P24" s="11"/>
      <c r="Q24" s="10"/>
      <c r="R24" s="11"/>
      <c r="S24" s="10"/>
      <c r="T24" s="11"/>
      <c r="U24" s="10"/>
      <c r="V24" s="11"/>
      <c r="W24" s="10"/>
      <c r="X24" s="11"/>
      <c r="Y24" s="10"/>
      <c r="Z24" s="11"/>
      <c r="AA24" s="10"/>
      <c r="AB24" s="11"/>
      <c r="AC24" s="10"/>
      <c r="AD24" s="11"/>
      <c r="AE24" s="10"/>
      <c r="AF24" s="11"/>
      <c r="AG24" s="11"/>
      <c r="AH24" s="11"/>
      <c r="AI24" s="10"/>
      <c r="AJ24" s="10"/>
    </row>
    <row r="25" customFormat="false" ht="39.55" hidden="false" customHeight="false" outlineLevel="0" collapsed="false">
      <c r="A25" s="7" t="n">
        <v>23</v>
      </c>
      <c r="B25" s="7" t="str">
        <f aca="false">IF(I25="Y",IF(COUNTIF(I$3:I25,"Y")&lt;=20,"pilot",IF(COUNTIF(I$3:I25,"Y")&lt;=40,"dev",IF(COUNTIF(I$3:I25,"Y")&lt;=200,"test","extra"))),"")</f>
        <v/>
      </c>
      <c r="C25" s="7" t="str">
        <f aca="false">IF(I25="Y",IF(COUNTA(K25,M25,O25,Q25,S25,U25,W25,Y25,AA25,AC25,AE25)=11,"done","in progress"),IF(I25="N","excluded",""))</f>
        <v/>
      </c>
      <c r="D25" s="7" t="s">
        <v>157</v>
      </c>
      <c r="E25" s="8" t="s">
        <v>96</v>
      </c>
      <c r="F25" s="9" t="s">
        <v>158</v>
      </c>
      <c r="G25" s="7" t="s">
        <v>98</v>
      </c>
      <c r="H25" s="7"/>
      <c r="I25" s="10"/>
      <c r="J25" s="10"/>
      <c r="K25" s="10"/>
      <c r="L25" s="11"/>
      <c r="M25" s="10"/>
      <c r="N25" s="11"/>
      <c r="O25" s="10"/>
      <c r="P25" s="11"/>
      <c r="Q25" s="10"/>
      <c r="R25" s="11"/>
      <c r="S25" s="10"/>
      <c r="T25" s="11"/>
      <c r="U25" s="10"/>
      <c r="V25" s="11"/>
      <c r="W25" s="10"/>
      <c r="X25" s="11"/>
      <c r="Y25" s="10"/>
      <c r="Z25" s="11"/>
      <c r="AA25" s="10"/>
      <c r="AB25" s="11"/>
      <c r="AC25" s="10"/>
      <c r="AD25" s="11"/>
      <c r="AE25" s="10"/>
      <c r="AF25" s="11"/>
      <c r="AG25" s="11"/>
      <c r="AH25" s="11"/>
      <c r="AI25" s="10"/>
      <c r="AJ25" s="10"/>
    </row>
    <row r="26" customFormat="false" ht="26.85" hidden="false" customHeight="false" outlineLevel="0" collapsed="false">
      <c r="A26" s="7" t="n">
        <v>24</v>
      </c>
      <c r="B26" s="7" t="str">
        <f aca="false">IF(I26="Y",IF(COUNTIF(I$3:I26,"Y")&lt;=20,"pilot",IF(COUNTIF(I$3:I26,"Y")&lt;=40,"dev",IF(COUNTIF(I$3:I26,"Y")&lt;=200,"test","extra"))),"")</f>
        <v/>
      </c>
      <c r="C26" s="7" t="str">
        <f aca="false">IF(I26="Y",IF(COUNTA(K26,M26,O26,Q26,S26,U26,W26,Y26,AA26,AC26,AE26)=11,"done","in progress"),IF(I26="N","excluded",""))</f>
        <v/>
      </c>
      <c r="D26" s="7" t="s">
        <v>159</v>
      </c>
      <c r="E26" s="8" t="s">
        <v>96</v>
      </c>
      <c r="F26" s="9" t="s">
        <v>160</v>
      </c>
      <c r="G26" s="7" t="s">
        <v>161</v>
      </c>
      <c r="H26" s="7"/>
      <c r="I26" s="10"/>
      <c r="J26" s="10"/>
      <c r="K26" s="10"/>
      <c r="L26" s="11"/>
      <c r="M26" s="10"/>
      <c r="N26" s="11"/>
      <c r="O26" s="10"/>
      <c r="P26" s="11"/>
      <c r="Q26" s="10"/>
      <c r="R26" s="11"/>
      <c r="S26" s="10"/>
      <c r="T26" s="11"/>
      <c r="U26" s="10"/>
      <c r="V26" s="11"/>
      <c r="W26" s="10"/>
      <c r="X26" s="11"/>
      <c r="Y26" s="10"/>
      <c r="Z26" s="11"/>
      <c r="AA26" s="10"/>
      <c r="AB26" s="11"/>
      <c r="AC26" s="10"/>
      <c r="AD26" s="11"/>
      <c r="AE26" s="10"/>
      <c r="AF26" s="11"/>
      <c r="AG26" s="11"/>
      <c r="AH26" s="11"/>
      <c r="AI26" s="10"/>
      <c r="AJ26" s="10"/>
    </row>
    <row r="27" customFormat="false" ht="39.55" hidden="false" customHeight="false" outlineLevel="0" collapsed="false">
      <c r="A27" s="7" t="n">
        <v>25</v>
      </c>
      <c r="B27" s="7" t="str">
        <f aca="false">IF(I27="Y",IF(COUNTIF(I$3:I27,"Y")&lt;=20,"pilot",IF(COUNTIF(I$3:I27,"Y")&lt;=40,"dev",IF(COUNTIF(I$3:I27,"Y")&lt;=200,"test","extra"))),"")</f>
        <v/>
      </c>
      <c r="C27" s="7" t="str">
        <f aca="false">IF(I27="Y",IF(COUNTA(K27,M27,O27,Q27,S27,U27,W27,Y27,AA27,AC27,AE27)=11,"done","in progress"),IF(I27="N","excluded",""))</f>
        <v/>
      </c>
      <c r="D27" s="7" t="s">
        <v>162</v>
      </c>
      <c r="E27" s="8" t="s">
        <v>96</v>
      </c>
      <c r="F27" s="9" t="s">
        <v>163</v>
      </c>
      <c r="G27" s="7" t="s">
        <v>104</v>
      </c>
      <c r="H27" s="7"/>
      <c r="I27" s="10"/>
      <c r="J27" s="10"/>
      <c r="K27" s="10"/>
      <c r="L27" s="11"/>
      <c r="M27" s="10"/>
      <c r="N27" s="11"/>
      <c r="O27" s="10"/>
      <c r="P27" s="11"/>
      <c r="Q27" s="10"/>
      <c r="R27" s="11"/>
      <c r="S27" s="10"/>
      <c r="T27" s="11"/>
      <c r="U27" s="10"/>
      <c r="V27" s="11"/>
      <c r="W27" s="10"/>
      <c r="X27" s="11"/>
      <c r="Y27" s="10"/>
      <c r="Z27" s="11"/>
      <c r="AA27" s="10"/>
      <c r="AB27" s="11"/>
      <c r="AC27" s="10"/>
      <c r="AD27" s="11"/>
      <c r="AE27" s="10"/>
      <c r="AF27" s="11"/>
      <c r="AG27" s="11"/>
      <c r="AH27" s="11"/>
      <c r="AI27" s="10"/>
      <c r="AJ27" s="10"/>
    </row>
    <row r="28" customFormat="false" ht="52.2" hidden="false" customHeight="false" outlineLevel="0" collapsed="false">
      <c r="A28" s="7" t="n">
        <v>26</v>
      </c>
      <c r="B28" s="7" t="str">
        <f aca="false">IF(I28="Y",IF(COUNTIF(I$3:I28,"Y")&lt;=20,"pilot",IF(COUNTIF(I$3:I28,"Y")&lt;=40,"dev",IF(COUNTIF(I$3:I28,"Y")&lt;=200,"test","extra"))),"")</f>
        <v/>
      </c>
      <c r="C28" s="7" t="str">
        <f aca="false">IF(I28="Y",IF(COUNTA(K28,M28,O28,Q28,S28,U28,W28,Y28,AA28,AC28,AE28)=11,"done","in progress"),IF(I28="N","excluded",""))</f>
        <v/>
      </c>
      <c r="D28" s="7" t="s">
        <v>164</v>
      </c>
      <c r="E28" s="8" t="s">
        <v>96</v>
      </c>
      <c r="F28" s="9" t="s">
        <v>165</v>
      </c>
      <c r="G28" s="7" t="s">
        <v>166</v>
      </c>
      <c r="H28" s="7"/>
      <c r="I28" s="10"/>
      <c r="J28" s="10"/>
      <c r="K28" s="10"/>
      <c r="L28" s="11"/>
      <c r="M28" s="10"/>
      <c r="N28" s="11"/>
      <c r="O28" s="10"/>
      <c r="P28" s="11"/>
      <c r="Q28" s="10"/>
      <c r="R28" s="11"/>
      <c r="S28" s="10"/>
      <c r="T28" s="11"/>
      <c r="U28" s="10"/>
      <c r="V28" s="11"/>
      <c r="W28" s="10"/>
      <c r="X28" s="11"/>
      <c r="Y28" s="10"/>
      <c r="Z28" s="11"/>
      <c r="AA28" s="10"/>
      <c r="AB28" s="11"/>
      <c r="AC28" s="10"/>
      <c r="AD28" s="11"/>
      <c r="AE28" s="10"/>
      <c r="AF28" s="11"/>
      <c r="AG28" s="11"/>
      <c r="AH28" s="11"/>
      <c r="AI28" s="10"/>
      <c r="AJ28" s="10"/>
    </row>
    <row r="29" customFormat="false" ht="52.2" hidden="false" customHeight="false" outlineLevel="0" collapsed="false">
      <c r="A29" s="7" t="n">
        <v>27</v>
      </c>
      <c r="B29" s="7" t="str">
        <f aca="false">IF(I29="Y",IF(COUNTIF(I$3:I29,"Y")&lt;=20,"pilot",IF(COUNTIF(I$3:I29,"Y")&lt;=40,"dev",IF(COUNTIF(I$3:I29,"Y")&lt;=200,"test","extra"))),"")</f>
        <v/>
      </c>
      <c r="C29" s="7" t="str">
        <f aca="false">IF(I29="Y",IF(COUNTA(K29,M29,O29,Q29,S29,U29,W29,Y29,AA29,AC29,AE29)=11,"done","in progress"),IF(I29="N","excluded",""))</f>
        <v/>
      </c>
      <c r="D29" s="7" t="s">
        <v>167</v>
      </c>
      <c r="E29" s="8" t="s">
        <v>96</v>
      </c>
      <c r="F29" s="9" t="s">
        <v>168</v>
      </c>
      <c r="G29" s="7" t="s">
        <v>138</v>
      </c>
      <c r="H29" s="7"/>
      <c r="I29" s="10"/>
      <c r="J29" s="10"/>
      <c r="K29" s="10"/>
      <c r="L29" s="11"/>
      <c r="M29" s="10"/>
      <c r="N29" s="11"/>
      <c r="O29" s="10"/>
      <c r="P29" s="11"/>
      <c r="Q29" s="10"/>
      <c r="R29" s="11"/>
      <c r="S29" s="10"/>
      <c r="T29" s="11"/>
      <c r="U29" s="10"/>
      <c r="V29" s="11"/>
      <c r="W29" s="10"/>
      <c r="X29" s="11"/>
      <c r="Y29" s="10"/>
      <c r="Z29" s="11"/>
      <c r="AA29" s="10"/>
      <c r="AB29" s="11"/>
      <c r="AC29" s="10"/>
      <c r="AD29" s="11"/>
      <c r="AE29" s="10"/>
      <c r="AF29" s="11"/>
      <c r="AG29" s="11"/>
      <c r="AH29" s="11"/>
      <c r="AI29" s="10"/>
      <c r="AJ29" s="10"/>
    </row>
    <row r="30" customFormat="false" ht="52.2" hidden="false" customHeight="false" outlineLevel="0" collapsed="false">
      <c r="A30" s="7" t="n">
        <v>28</v>
      </c>
      <c r="B30" s="7" t="str">
        <f aca="false">IF(I30="Y",IF(COUNTIF(I$3:I30,"Y")&lt;=20,"pilot",IF(COUNTIF(I$3:I30,"Y")&lt;=40,"dev",IF(COUNTIF(I$3:I30,"Y")&lt;=200,"test","extra"))),"")</f>
        <v/>
      </c>
      <c r="C30" s="7" t="str">
        <f aca="false">IF(I30="Y",IF(COUNTA(K30,M30,O30,Q30,S30,U30,W30,Y30,AA30,AC30,AE30)=11,"done","in progress"),IF(I30="N","excluded",""))</f>
        <v/>
      </c>
      <c r="D30" s="7" t="s">
        <v>169</v>
      </c>
      <c r="E30" s="8" t="s">
        <v>96</v>
      </c>
      <c r="F30" s="9" t="s">
        <v>170</v>
      </c>
      <c r="G30" s="7" t="s">
        <v>171</v>
      </c>
      <c r="H30" s="7"/>
      <c r="I30" s="10"/>
      <c r="J30" s="10"/>
      <c r="K30" s="10"/>
      <c r="L30" s="11"/>
      <c r="M30" s="10"/>
      <c r="N30" s="11"/>
      <c r="O30" s="10"/>
      <c r="P30" s="11"/>
      <c r="Q30" s="10"/>
      <c r="R30" s="11"/>
      <c r="S30" s="10"/>
      <c r="T30" s="11"/>
      <c r="U30" s="10"/>
      <c r="V30" s="11"/>
      <c r="W30" s="10"/>
      <c r="X30" s="11"/>
      <c r="Y30" s="10"/>
      <c r="Z30" s="11"/>
      <c r="AA30" s="10"/>
      <c r="AB30" s="11"/>
      <c r="AC30" s="10"/>
      <c r="AD30" s="11"/>
      <c r="AE30" s="10"/>
      <c r="AF30" s="11"/>
      <c r="AG30" s="11"/>
      <c r="AH30" s="11"/>
      <c r="AI30" s="10"/>
      <c r="AJ30" s="10"/>
    </row>
    <row r="31" customFormat="false" ht="26.85" hidden="false" customHeight="false" outlineLevel="0" collapsed="false">
      <c r="A31" s="7" t="n">
        <v>29</v>
      </c>
      <c r="B31" s="7" t="str">
        <f aca="false">IF(I31="Y",IF(COUNTIF(I$3:I31,"Y")&lt;=20,"pilot",IF(COUNTIF(I$3:I31,"Y")&lt;=40,"dev",IF(COUNTIF(I$3:I31,"Y")&lt;=200,"test","extra"))),"")</f>
        <v/>
      </c>
      <c r="C31" s="7" t="str">
        <f aca="false">IF(I31="Y",IF(COUNTA(K31,M31,O31,Q31,S31,U31,W31,Y31,AA31,AC31,AE31)=11,"done","in progress"),IF(I31="N","excluded",""))</f>
        <v/>
      </c>
      <c r="D31" s="7" t="s">
        <v>172</v>
      </c>
      <c r="E31" s="8" t="s">
        <v>96</v>
      </c>
      <c r="F31" s="9" t="s">
        <v>173</v>
      </c>
      <c r="G31" s="7" t="s">
        <v>133</v>
      </c>
      <c r="H31" s="7"/>
      <c r="I31" s="10"/>
      <c r="J31" s="10"/>
      <c r="K31" s="10"/>
      <c r="L31" s="11"/>
      <c r="M31" s="10"/>
      <c r="N31" s="11"/>
      <c r="O31" s="10"/>
      <c r="P31" s="11"/>
      <c r="Q31" s="10"/>
      <c r="R31" s="11"/>
      <c r="S31" s="10"/>
      <c r="T31" s="11"/>
      <c r="U31" s="10"/>
      <c r="V31" s="11"/>
      <c r="W31" s="10"/>
      <c r="X31" s="11"/>
      <c r="Y31" s="10"/>
      <c r="Z31" s="11"/>
      <c r="AA31" s="10"/>
      <c r="AB31" s="11"/>
      <c r="AC31" s="10"/>
      <c r="AD31" s="11"/>
      <c r="AE31" s="10"/>
      <c r="AF31" s="11"/>
      <c r="AG31" s="11"/>
      <c r="AH31" s="11"/>
      <c r="AI31" s="10"/>
      <c r="AJ31" s="10"/>
    </row>
    <row r="32" customFormat="false" ht="39.55" hidden="false" customHeight="false" outlineLevel="0" collapsed="false">
      <c r="A32" s="7" t="n">
        <v>30</v>
      </c>
      <c r="B32" s="7" t="str">
        <f aca="false">IF(I32="Y",IF(COUNTIF(I$3:I32,"Y")&lt;=20,"pilot",IF(COUNTIF(I$3:I32,"Y")&lt;=40,"dev",IF(COUNTIF(I$3:I32,"Y")&lt;=200,"test","extra"))),"")</f>
        <v/>
      </c>
      <c r="C32" s="7" t="str">
        <f aca="false">IF(I32="Y",IF(COUNTA(K32,M32,O32,Q32,S32,U32,W32,Y32,AA32,AC32,AE32)=11,"done","in progress"),IF(I32="N","excluded",""))</f>
        <v/>
      </c>
      <c r="D32" s="7" t="s">
        <v>174</v>
      </c>
      <c r="E32" s="8" t="s">
        <v>96</v>
      </c>
      <c r="F32" s="9" t="s">
        <v>175</v>
      </c>
      <c r="G32" s="7" t="s">
        <v>176</v>
      </c>
      <c r="H32" s="7"/>
      <c r="I32" s="10"/>
      <c r="J32" s="10"/>
      <c r="K32" s="10"/>
      <c r="L32" s="11"/>
      <c r="M32" s="10"/>
      <c r="N32" s="11"/>
      <c r="O32" s="10"/>
      <c r="P32" s="11"/>
      <c r="Q32" s="10"/>
      <c r="R32" s="11"/>
      <c r="S32" s="10"/>
      <c r="T32" s="11"/>
      <c r="U32" s="10"/>
      <c r="V32" s="11"/>
      <c r="W32" s="10"/>
      <c r="X32" s="11"/>
      <c r="Y32" s="10"/>
      <c r="Z32" s="11"/>
      <c r="AA32" s="10"/>
      <c r="AB32" s="11"/>
      <c r="AC32" s="10"/>
      <c r="AD32" s="11"/>
      <c r="AE32" s="10"/>
      <c r="AF32" s="11"/>
      <c r="AG32" s="11"/>
      <c r="AH32" s="11"/>
      <c r="AI32" s="10"/>
      <c r="AJ32" s="10"/>
    </row>
    <row r="33" customFormat="false" ht="26.85" hidden="false" customHeight="false" outlineLevel="0" collapsed="false">
      <c r="A33" s="7" t="n">
        <v>31</v>
      </c>
      <c r="B33" s="7" t="str">
        <f aca="false">IF(I33="Y",IF(COUNTIF(I$3:I33,"Y")&lt;=20,"pilot",IF(COUNTIF(I$3:I33,"Y")&lt;=40,"dev",IF(COUNTIF(I$3:I33,"Y")&lt;=200,"test","extra"))),"")</f>
        <v/>
      </c>
      <c r="C33" s="7" t="str">
        <f aca="false">IF(I33="Y",IF(COUNTA(K33,M33,O33,Q33,S33,U33,W33,Y33,AA33,AC33,AE33)=11,"done","in progress"),IF(I33="N","excluded",""))</f>
        <v/>
      </c>
      <c r="D33" s="7" t="s">
        <v>177</v>
      </c>
      <c r="E33" s="8" t="s">
        <v>96</v>
      </c>
      <c r="F33" s="9" t="s">
        <v>178</v>
      </c>
      <c r="G33" s="7" t="s">
        <v>179</v>
      </c>
      <c r="H33" s="7"/>
      <c r="I33" s="10"/>
      <c r="J33" s="10"/>
      <c r="K33" s="10"/>
      <c r="L33" s="11"/>
      <c r="M33" s="10"/>
      <c r="N33" s="11"/>
      <c r="O33" s="10"/>
      <c r="P33" s="11"/>
      <c r="Q33" s="10"/>
      <c r="R33" s="11"/>
      <c r="S33" s="10"/>
      <c r="T33" s="11"/>
      <c r="U33" s="10"/>
      <c r="V33" s="11"/>
      <c r="W33" s="10"/>
      <c r="X33" s="11"/>
      <c r="Y33" s="10"/>
      <c r="Z33" s="11"/>
      <c r="AA33" s="10"/>
      <c r="AB33" s="11"/>
      <c r="AC33" s="10"/>
      <c r="AD33" s="11"/>
      <c r="AE33" s="10"/>
      <c r="AF33" s="11"/>
      <c r="AG33" s="11"/>
      <c r="AH33" s="11"/>
      <c r="AI33" s="10"/>
      <c r="AJ33" s="10"/>
    </row>
    <row r="34" customFormat="false" ht="39.55" hidden="false" customHeight="false" outlineLevel="0" collapsed="false">
      <c r="A34" s="7" t="n">
        <v>32</v>
      </c>
      <c r="B34" s="7" t="str">
        <f aca="false">IF(I34="Y",IF(COUNTIF(I$3:I34,"Y")&lt;=20,"pilot",IF(COUNTIF(I$3:I34,"Y")&lt;=40,"dev",IF(COUNTIF(I$3:I34,"Y")&lt;=200,"test","extra"))),"")</f>
        <v/>
      </c>
      <c r="C34" s="7" t="str">
        <f aca="false">IF(I34="Y",IF(COUNTA(K34,M34,O34,Q34,S34,U34,W34,Y34,AA34,AC34,AE34)=11,"done","in progress"),IF(I34="N","excluded",""))</f>
        <v/>
      </c>
      <c r="D34" s="7" t="s">
        <v>180</v>
      </c>
      <c r="E34" s="8" t="s">
        <v>96</v>
      </c>
      <c r="F34" s="9" t="s">
        <v>181</v>
      </c>
      <c r="G34" s="7" t="s">
        <v>133</v>
      </c>
      <c r="H34" s="7"/>
      <c r="I34" s="10"/>
      <c r="J34" s="10"/>
      <c r="K34" s="10"/>
      <c r="L34" s="11"/>
      <c r="M34" s="10"/>
      <c r="N34" s="11"/>
      <c r="O34" s="10"/>
      <c r="P34" s="11"/>
      <c r="Q34" s="10"/>
      <c r="R34" s="11"/>
      <c r="S34" s="10"/>
      <c r="T34" s="11"/>
      <c r="U34" s="10"/>
      <c r="V34" s="11"/>
      <c r="W34" s="10"/>
      <c r="X34" s="11"/>
      <c r="Y34" s="10"/>
      <c r="Z34" s="11"/>
      <c r="AA34" s="10"/>
      <c r="AB34" s="11"/>
      <c r="AC34" s="10"/>
      <c r="AD34" s="11"/>
      <c r="AE34" s="10"/>
      <c r="AF34" s="11"/>
      <c r="AG34" s="11"/>
      <c r="AH34" s="11"/>
      <c r="AI34" s="10"/>
      <c r="AJ34" s="10"/>
    </row>
    <row r="35" customFormat="false" ht="26.85" hidden="false" customHeight="false" outlineLevel="0" collapsed="false">
      <c r="A35" s="7" t="n">
        <v>33</v>
      </c>
      <c r="B35" s="7" t="str">
        <f aca="false">IF(I35="Y",IF(COUNTIF(I$3:I35,"Y")&lt;=20,"pilot",IF(COUNTIF(I$3:I35,"Y")&lt;=40,"dev",IF(COUNTIF(I$3:I35,"Y")&lt;=200,"test","extra"))),"")</f>
        <v/>
      </c>
      <c r="C35" s="7" t="str">
        <f aca="false">IF(I35="Y",IF(COUNTA(K35,M35,O35,Q35,S35,U35,W35,Y35,AA35,AC35,AE35)=11,"done","in progress"),IF(I35="N","excluded",""))</f>
        <v/>
      </c>
      <c r="D35" s="7" t="s">
        <v>182</v>
      </c>
      <c r="E35" s="8" t="s">
        <v>96</v>
      </c>
      <c r="F35" s="9" t="s">
        <v>183</v>
      </c>
      <c r="G35" s="7" t="s">
        <v>184</v>
      </c>
      <c r="H35" s="7"/>
      <c r="I35" s="10"/>
      <c r="J35" s="10"/>
      <c r="K35" s="10"/>
      <c r="L35" s="11"/>
      <c r="M35" s="10"/>
      <c r="N35" s="11"/>
      <c r="O35" s="10"/>
      <c r="P35" s="11"/>
      <c r="Q35" s="10"/>
      <c r="R35" s="11"/>
      <c r="S35" s="10"/>
      <c r="T35" s="11"/>
      <c r="U35" s="10"/>
      <c r="V35" s="11"/>
      <c r="W35" s="10"/>
      <c r="X35" s="11"/>
      <c r="Y35" s="10"/>
      <c r="Z35" s="11"/>
      <c r="AA35" s="10"/>
      <c r="AB35" s="11"/>
      <c r="AC35" s="10"/>
      <c r="AD35" s="11"/>
      <c r="AE35" s="10"/>
      <c r="AF35" s="11"/>
      <c r="AG35" s="11"/>
      <c r="AH35" s="11"/>
      <c r="AI35" s="10"/>
      <c r="AJ35" s="10"/>
    </row>
    <row r="36" customFormat="false" ht="39.55" hidden="false" customHeight="false" outlineLevel="0" collapsed="false">
      <c r="A36" s="7" t="n">
        <v>34</v>
      </c>
      <c r="B36" s="7" t="str">
        <f aca="false">IF(I36="Y",IF(COUNTIF(I$3:I36,"Y")&lt;=20,"pilot",IF(COUNTIF(I$3:I36,"Y")&lt;=40,"dev",IF(COUNTIF(I$3:I36,"Y")&lt;=200,"test","extra"))),"")</f>
        <v/>
      </c>
      <c r="C36" s="7" t="str">
        <f aca="false">IF(I36="Y",IF(COUNTA(K36,M36,O36,Q36,S36,U36,W36,Y36,AA36,AC36,AE36)=11,"done","in progress"),IF(I36="N","excluded",""))</f>
        <v/>
      </c>
      <c r="D36" s="7" t="s">
        <v>185</v>
      </c>
      <c r="E36" s="8" t="s">
        <v>96</v>
      </c>
      <c r="F36" s="9" t="s">
        <v>186</v>
      </c>
      <c r="G36" s="7" t="s">
        <v>116</v>
      </c>
      <c r="H36" s="7"/>
      <c r="I36" s="10"/>
      <c r="J36" s="10"/>
      <c r="K36" s="10"/>
      <c r="L36" s="11"/>
      <c r="M36" s="10"/>
      <c r="N36" s="11"/>
      <c r="O36" s="10"/>
      <c r="P36" s="11"/>
      <c r="Q36" s="10"/>
      <c r="R36" s="11"/>
      <c r="S36" s="10"/>
      <c r="T36" s="11"/>
      <c r="U36" s="10"/>
      <c r="V36" s="11"/>
      <c r="W36" s="10"/>
      <c r="X36" s="11"/>
      <c r="Y36" s="10"/>
      <c r="Z36" s="11"/>
      <c r="AA36" s="10"/>
      <c r="AB36" s="11"/>
      <c r="AC36" s="10"/>
      <c r="AD36" s="11"/>
      <c r="AE36" s="10"/>
      <c r="AF36" s="11"/>
      <c r="AG36" s="11"/>
      <c r="AH36" s="11"/>
      <c r="AI36" s="10"/>
      <c r="AJ36" s="10"/>
    </row>
    <row r="37" customFormat="false" ht="39.55" hidden="false" customHeight="false" outlineLevel="0" collapsed="false">
      <c r="A37" s="7" t="n">
        <v>35</v>
      </c>
      <c r="B37" s="7" t="str">
        <f aca="false">IF(I37="Y",IF(COUNTIF(I$3:I37,"Y")&lt;=20,"pilot",IF(COUNTIF(I$3:I37,"Y")&lt;=40,"dev",IF(COUNTIF(I$3:I37,"Y")&lt;=200,"test","extra"))),"")</f>
        <v/>
      </c>
      <c r="C37" s="7" t="str">
        <f aca="false">IF(I37="Y",IF(COUNTA(K37,M37,O37,Q37,S37,U37,W37,Y37,AA37,AC37,AE37)=11,"done","in progress"),IF(I37="N","excluded",""))</f>
        <v/>
      </c>
      <c r="D37" s="7" t="s">
        <v>187</v>
      </c>
      <c r="E37" s="8" t="s">
        <v>96</v>
      </c>
      <c r="F37" s="9" t="s">
        <v>188</v>
      </c>
      <c r="G37" s="7" t="s">
        <v>104</v>
      </c>
      <c r="H37" s="7"/>
      <c r="I37" s="10"/>
      <c r="J37" s="10"/>
      <c r="K37" s="10"/>
      <c r="L37" s="11"/>
      <c r="M37" s="10"/>
      <c r="N37" s="11"/>
      <c r="O37" s="10"/>
      <c r="P37" s="11"/>
      <c r="Q37" s="10"/>
      <c r="R37" s="11"/>
      <c r="S37" s="10"/>
      <c r="T37" s="11"/>
      <c r="U37" s="10"/>
      <c r="V37" s="11"/>
      <c r="W37" s="10"/>
      <c r="X37" s="11"/>
      <c r="Y37" s="10"/>
      <c r="Z37" s="11"/>
      <c r="AA37" s="10"/>
      <c r="AB37" s="11"/>
      <c r="AC37" s="10"/>
      <c r="AD37" s="11"/>
      <c r="AE37" s="10"/>
      <c r="AF37" s="11"/>
      <c r="AG37" s="11"/>
      <c r="AH37" s="11"/>
      <c r="AI37" s="10"/>
      <c r="AJ37" s="10"/>
    </row>
    <row r="38" customFormat="false" ht="39.55" hidden="false" customHeight="false" outlineLevel="0" collapsed="false">
      <c r="A38" s="7" t="n">
        <v>36</v>
      </c>
      <c r="B38" s="7" t="str">
        <f aca="false">IF(I38="Y",IF(COUNTIF(I$3:I38,"Y")&lt;=20,"pilot",IF(COUNTIF(I$3:I38,"Y")&lt;=40,"dev",IF(COUNTIF(I$3:I38,"Y")&lt;=200,"test","extra"))),"")</f>
        <v/>
      </c>
      <c r="C38" s="7" t="str">
        <f aca="false">IF(I38="Y",IF(COUNTA(K38,M38,O38,Q38,S38,U38,W38,Y38,AA38,AC38,AE38)=11,"done","in progress"),IF(I38="N","excluded",""))</f>
        <v/>
      </c>
      <c r="D38" s="7" t="s">
        <v>189</v>
      </c>
      <c r="E38" s="8" t="s">
        <v>96</v>
      </c>
      <c r="F38" s="9" t="s">
        <v>190</v>
      </c>
      <c r="G38" s="7" t="s">
        <v>125</v>
      </c>
      <c r="H38" s="7"/>
      <c r="I38" s="10"/>
      <c r="J38" s="10"/>
      <c r="K38" s="10"/>
      <c r="L38" s="11"/>
      <c r="M38" s="10"/>
      <c r="N38" s="11"/>
      <c r="O38" s="10"/>
      <c r="P38" s="11"/>
      <c r="Q38" s="10"/>
      <c r="R38" s="11"/>
      <c r="S38" s="10"/>
      <c r="T38" s="11"/>
      <c r="U38" s="10"/>
      <c r="V38" s="11"/>
      <c r="W38" s="10"/>
      <c r="X38" s="11"/>
      <c r="Y38" s="10"/>
      <c r="Z38" s="11"/>
      <c r="AA38" s="10"/>
      <c r="AB38" s="11"/>
      <c r="AC38" s="10"/>
      <c r="AD38" s="11"/>
      <c r="AE38" s="10"/>
      <c r="AF38" s="11"/>
      <c r="AG38" s="11"/>
      <c r="AH38" s="11"/>
      <c r="AI38" s="10"/>
      <c r="AJ38" s="10"/>
    </row>
    <row r="39" customFormat="false" ht="39.55" hidden="false" customHeight="false" outlineLevel="0" collapsed="false">
      <c r="A39" s="7" t="n">
        <v>37</v>
      </c>
      <c r="B39" s="7" t="str">
        <f aca="false">IF(I39="Y",IF(COUNTIF(I$3:I39,"Y")&lt;=20,"pilot",IF(COUNTIF(I$3:I39,"Y")&lt;=40,"dev",IF(COUNTIF(I$3:I39,"Y")&lt;=200,"test","extra"))),"")</f>
        <v/>
      </c>
      <c r="C39" s="7" t="str">
        <f aca="false">IF(I39="Y",IF(COUNTA(K39,M39,O39,Q39,S39,U39,W39,Y39,AA39,AC39,AE39)=11,"done","in progress"),IF(I39="N","excluded",""))</f>
        <v/>
      </c>
      <c r="D39" s="7" t="s">
        <v>191</v>
      </c>
      <c r="E39" s="8" t="s">
        <v>96</v>
      </c>
      <c r="F39" s="9" t="s">
        <v>192</v>
      </c>
      <c r="G39" s="7" t="s">
        <v>133</v>
      </c>
      <c r="H39" s="7" t="s">
        <v>193</v>
      </c>
      <c r="I39" s="10"/>
      <c r="J39" s="10"/>
      <c r="K39" s="10"/>
      <c r="L39" s="11"/>
      <c r="M39" s="10"/>
      <c r="N39" s="11"/>
      <c r="O39" s="10"/>
      <c r="P39" s="11"/>
      <c r="Q39" s="10"/>
      <c r="R39" s="11"/>
      <c r="S39" s="10"/>
      <c r="T39" s="11"/>
      <c r="U39" s="10"/>
      <c r="V39" s="11"/>
      <c r="W39" s="10"/>
      <c r="X39" s="11"/>
      <c r="Y39" s="10"/>
      <c r="Z39" s="11"/>
      <c r="AA39" s="10"/>
      <c r="AB39" s="11"/>
      <c r="AC39" s="10"/>
      <c r="AD39" s="11"/>
      <c r="AE39" s="10"/>
      <c r="AF39" s="11"/>
      <c r="AG39" s="11"/>
      <c r="AH39" s="11"/>
      <c r="AI39" s="10"/>
      <c r="AJ39" s="10"/>
    </row>
    <row r="40" customFormat="false" ht="26.85" hidden="false" customHeight="false" outlineLevel="0" collapsed="false">
      <c r="A40" s="7" t="n">
        <v>38</v>
      </c>
      <c r="B40" s="7" t="str">
        <f aca="false">IF(I40="Y",IF(COUNTIF(I$3:I40,"Y")&lt;=20,"pilot",IF(COUNTIF(I$3:I40,"Y")&lt;=40,"dev",IF(COUNTIF(I$3:I40,"Y")&lt;=200,"test","extra"))),"")</f>
        <v/>
      </c>
      <c r="C40" s="7" t="str">
        <f aca="false">IF(I40="Y",IF(COUNTA(K40,M40,O40,Q40,S40,U40,W40,Y40,AA40,AC40,AE40)=11,"done","in progress"),IF(I40="N","excluded",""))</f>
        <v/>
      </c>
      <c r="D40" s="7" t="s">
        <v>194</v>
      </c>
      <c r="E40" s="8" t="s">
        <v>96</v>
      </c>
      <c r="F40" s="9" t="s">
        <v>195</v>
      </c>
      <c r="G40" s="7" t="s">
        <v>196</v>
      </c>
      <c r="H40" s="7" t="s">
        <v>193</v>
      </c>
      <c r="I40" s="10"/>
      <c r="J40" s="10"/>
      <c r="K40" s="10"/>
      <c r="L40" s="11"/>
      <c r="M40" s="10"/>
      <c r="N40" s="11"/>
      <c r="O40" s="10"/>
      <c r="P40" s="11"/>
      <c r="Q40" s="10"/>
      <c r="R40" s="11"/>
      <c r="S40" s="10"/>
      <c r="T40" s="11"/>
      <c r="U40" s="10"/>
      <c r="V40" s="11"/>
      <c r="W40" s="10"/>
      <c r="X40" s="11"/>
      <c r="Y40" s="10"/>
      <c r="Z40" s="11"/>
      <c r="AA40" s="10"/>
      <c r="AB40" s="11"/>
      <c r="AC40" s="10"/>
      <c r="AD40" s="11"/>
      <c r="AE40" s="10"/>
      <c r="AF40" s="11"/>
      <c r="AG40" s="11"/>
      <c r="AH40" s="11"/>
      <c r="AI40" s="10"/>
      <c r="AJ40" s="10"/>
    </row>
    <row r="41" customFormat="false" ht="39.55" hidden="false" customHeight="false" outlineLevel="0" collapsed="false">
      <c r="A41" s="7" t="n">
        <v>39</v>
      </c>
      <c r="B41" s="7" t="str">
        <f aca="false">IF(I41="Y",IF(COUNTIF(I$3:I41,"Y")&lt;=20,"pilot",IF(COUNTIF(I$3:I41,"Y")&lt;=40,"dev",IF(COUNTIF(I$3:I41,"Y")&lt;=200,"test","extra"))),"")</f>
        <v/>
      </c>
      <c r="C41" s="7" t="str">
        <f aca="false">IF(I41="Y",IF(COUNTA(K41,M41,O41,Q41,S41,U41,W41,Y41,AA41,AC41,AE41)=11,"done","in progress"),IF(I41="N","excluded",""))</f>
        <v/>
      </c>
      <c r="D41" s="7" t="s">
        <v>197</v>
      </c>
      <c r="E41" s="8" t="s">
        <v>96</v>
      </c>
      <c r="F41" s="9" t="s">
        <v>198</v>
      </c>
      <c r="G41" s="7" t="s">
        <v>107</v>
      </c>
      <c r="H41" s="7"/>
      <c r="I41" s="10"/>
      <c r="J41" s="10"/>
      <c r="K41" s="10"/>
      <c r="L41" s="11"/>
      <c r="M41" s="10"/>
      <c r="N41" s="11"/>
      <c r="O41" s="10"/>
      <c r="P41" s="11"/>
      <c r="Q41" s="10"/>
      <c r="R41" s="11"/>
      <c r="S41" s="10"/>
      <c r="T41" s="11"/>
      <c r="U41" s="10"/>
      <c r="V41" s="11"/>
      <c r="W41" s="10"/>
      <c r="X41" s="11"/>
      <c r="Y41" s="10"/>
      <c r="Z41" s="11"/>
      <c r="AA41" s="10"/>
      <c r="AB41" s="11"/>
      <c r="AC41" s="10"/>
      <c r="AD41" s="11"/>
      <c r="AE41" s="10"/>
      <c r="AF41" s="11"/>
      <c r="AG41" s="11"/>
      <c r="AH41" s="11"/>
      <c r="AI41" s="10"/>
      <c r="AJ41" s="10"/>
    </row>
    <row r="42" customFormat="false" ht="39.55" hidden="false" customHeight="false" outlineLevel="0" collapsed="false">
      <c r="A42" s="7" t="n">
        <v>40</v>
      </c>
      <c r="B42" s="7" t="str">
        <f aca="false">IF(I42="Y",IF(COUNTIF(I$3:I42,"Y")&lt;=20,"pilot",IF(COUNTIF(I$3:I42,"Y")&lt;=40,"dev",IF(COUNTIF(I$3:I42,"Y")&lt;=200,"test","extra"))),"")</f>
        <v/>
      </c>
      <c r="C42" s="7" t="str">
        <f aca="false">IF(I42="Y",IF(COUNTA(K42,M42,O42,Q42,S42,U42,W42,Y42,AA42,AC42,AE42)=11,"done","in progress"),IF(I42="N","excluded",""))</f>
        <v/>
      </c>
      <c r="D42" s="7" t="s">
        <v>199</v>
      </c>
      <c r="E42" s="8" t="s">
        <v>96</v>
      </c>
      <c r="F42" s="9" t="s">
        <v>200</v>
      </c>
      <c r="G42" s="7" t="s">
        <v>201</v>
      </c>
      <c r="H42" s="7"/>
      <c r="I42" s="10"/>
      <c r="J42" s="10"/>
      <c r="K42" s="10"/>
      <c r="L42" s="11"/>
      <c r="M42" s="10"/>
      <c r="N42" s="11"/>
      <c r="O42" s="10"/>
      <c r="P42" s="11"/>
      <c r="Q42" s="10"/>
      <c r="R42" s="11"/>
      <c r="S42" s="10"/>
      <c r="T42" s="11"/>
      <c r="U42" s="10"/>
      <c r="V42" s="11"/>
      <c r="W42" s="10"/>
      <c r="X42" s="11"/>
      <c r="Y42" s="10"/>
      <c r="Z42" s="11"/>
      <c r="AA42" s="10"/>
      <c r="AB42" s="11"/>
      <c r="AC42" s="10"/>
      <c r="AD42" s="11"/>
      <c r="AE42" s="10"/>
      <c r="AF42" s="11"/>
      <c r="AG42" s="11"/>
      <c r="AH42" s="11"/>
      <c r="AI42" s="10"/>
      <c r="AJ42" s="10"/>
    </row>
    <row r="43" customFormat="false" ht="39.55" hidden="false" customHeight="false" outlineLevel="0" collapsed="false">
      <c r="A43" s="7" t="n">
        <v>41</v>
      </c>
      <c r="B43" s="7" t="str">
        <f aca="false">IF(I43="Y",IF(COUNTIF(I$3:I43,"Y")&lt;=20,"pilot",IF(COUNTIF(I$3:I43,"Y")&lt;=40,"dev",IF(COUNTIF(I$3:I43,"Y")&lt;=200,"test","extra"))),"")</f>
        <v/>
      </c>
      <c r="C43" s="7" t="str">
        <f aca="false">IF(I43="Y",IF(COUNTA(K43,M43,O43,Q43,S43,U43,W43,Y43,AA43,AC43,AE43)=11,"done","in progress"),IF(I43="N","excluded",""))</f>
        <v/>
      </c>
      <c r="D43" s="7" t="s">
        <v>202</v>
      </c>
      <c r="E43" s="8" t="s">
        <v>96</v>
      </c>
      <c r="F43" s="9" t="s">
        <v>203</v>
      </c>
      <c r="G43" s="7" t="s">
        <v>98</v>
      </c>
      <c r="H43" s="7"/>
      <c r="I43" s="10"/>
      <c r="J43" s="10"/>
      <c r="K43" s="10"/>
      <c r="L43" s="11"/>
      <c r="M43" s="10"/>
      <c r="N43" s="11"/>
      <c r="O43" s="10"/>
      <c r="P43" s="11"/>
      <c r="Q43" s="10"/>
      <c r="R43" s="11"/>
      <c r="S43" s="10"/>
      <c r="T43" s="11"/>
      <c r="U43" s="10"/>
      <c r="V43" s="11"/>
      <c r="W43" s="10"/>
      <c r="X43" s="11"/>
      <c r="Y43" s="10"/>
      <c r="Z43" s="11"/>
      <c r="AA43" s="10"/>
      <c r="AB43" s="11"/>
      <c r="AC43" s="10"/>
      <c r="AD43" s="11"/>
      <c r="AE43" s="10"/>
      <c r="AF43" s="11"/>
      <c r="AG43" s="11"/>
      <c r="AH43" s="11"/>
      <c r="AI43" s="10"/>
      <c r="AJ43" s="10"/>
    </row>
    <row r="44" customFormat="false" ht="26.85" hidden="false" customHeight="false" outlineLevel="0" collapsed="false">
      <c r="A44" s="7" t="n">
        <v>42</v>
      </c>
      <c r="B44" s="7" t="str">
        <f aca="false">IF(I44="Y",IF(COUNTIF(I$3:I44,"Y")&lt;=20,"pilot",IF(COUNTIF(I$3:I44,"Y")&lt;=40,"dev",IF(COUNTIF(I$3:I44,"Y")&lt;=200,"test","extra"))),"")</f>
        <v/>
      </c>
      <c r="C44" s="7" t="str">
        <f aca="false">IF(I44="Y",IF(COUNTA(K44,M44,O44,Q44,S44,U44,W44,Y44,AA44,AC44,AE44)=11,"done","in progress"),IF(I44="N","excluded",""))</f>
        <v/>
      </c>
      <c r="D44" s="7" t="s">
        <v>204</v>
      </c>
      <c r="E44" s="8" t="s">
        <v>96</v>
      </c>
      <c r="F44" s="9" t="s">
        <v>205</v>
      </c>
      <c r="G44" s="7" t="s">
        <v>206</v>
      </c>
      <c r="H44" s="7"/>
      <c r="I44" s="10"/>
      <c r="J44" s="10"/>
      <c r="K44" s="10"/>
      <c r="L44" s="11"/>
      <c r="M44" s="10"/>
      <c r="N44" s="11"/>
      <c r="O44" s="10"/>
      <c r="P44" s="11"/>
      <c r="Q44" s="10"/>
      <c r="R44" s="11"/>
      <c r="S44" s="10"/>
      <c r="T44" s="11"/>
      <c r="U44" s="10"/>
      <c r="V44" s="11"/>
      <c r="W44" s="10"/>
      <c r="X44" s="11"/>
      <c r="Y44" s="10"/>
      <c r="Z44" s="11"/>
      <c r="AA44" s="10"/>
      <c r="AB44" s="11"/>
      <c r="AC44" s="10"/>
      <c r="AD44" s="11"/>
      <c r="AE44" s="10"/>
      <c r="AF44" s="11"/>
      <c r="AG44" s="11"/>
      <c r="AH44" s="11"/>
      <c r="AI44" s="10"/>
      <c r="AJ44" s="10"/>
    </row>
    <row r="45" customFormat="false" ht="26.85" hidden="false" customHeight="false" outlineLevel="0" collapsed="false">
      <c r="A45" s="7" t="n">
        <v>43</v>
      </c>
      <c r="B45" s="7" t="str">
        <f aca="false">IF(I45="Y",IF(COUNTIF(I$3:I45,"Y")&lt;=20,"pilot",IF(COUNTIF(I$3:I45,"Y")&lt;=40,"dev",IF(COUNTIF(I$3:I45,"Y")&lt;=200,"test","extra"))),"")</f>
        <v/>
      </c>
      <c r="C45" s="7" t="str">
        <f aca="false">IF(I45="Y",IF(COUNTA(K45,M45,O45,Q45,S45,U45,W45,Y45,AA45,AC45,AE45)=11,"done","in progress"),IF(I45="N","excluded",""))</f>
        <v/>
      </c>
      <c r="D45" s="7" t="s">
        <v>207</v>
      </c>
      <c r="E45" s="8" t="s">
        <v>96</v>
      </c>
      <c r="F45" s="9" t="s">
        <v>208</v>
      </c>
      <c r="G45" s="7" t="s">
        <v>209</v>
      </c>
      <c r="H45" s="7"/>
      <c r="I45" s="10"/>
      <c r="J45" s="10"/>
      <c r="K45" s="10"/>
      <c r="L45" s="11"/>
      <c r="M45" s="10"/>
      <c r="N45" s="11"/>
      <c r="O45" s="10"/>
      <c r="P45" s="11"/>
      <c r="Q45" s="10"/>
      <c r="R45" s="11"/>
      <c r="S45" s="10"/>
      <c r="T45" s="11"/>
      <c r="U45" s="10"/>
      <c r="V45" s="11"/>
      <c r="W45" s="10"/>
      <c r="X45" s="11"/>
      <c r="Y45" s="10"/>
      <c r="Z45" s="11"/>
      <c r="AA45" s="10"/>
      <c r="AB45" s="11"/>
      <c r="AC45" s="10"/>
      <c r="AD45" s="11"/>
      <c r="AE45" s="10"/>
      <c r="AF45" s="11"/>
      <c r="AG45" s="11"/>
      <c r="AH45" s="11"/>
      <c r="AI45" s="10"/>
      <c r="AJ45" s="10"/>
    </row>
    <row r="46" customFormat="false" ht="26.85" hidden="false" customHeight="false" outlineLevel="0" collapsed="false">
      <c r="A46" s="7" t="n">
        <v>44</v>
      </c>
      <c r="B46" s="7" t="str">
        <f aca="false">IF(I46="Y",IF(COUNTIF(I$3:I46,"Y")&lt;=20,"pilot",IF(COUNTIF(I$3:I46,"Y")&lt;=40,"dev",IF(COUNTIF(I$3:I46,"Y")&lt;=200,"test","extra"))),"")</f>
        <v/>
      </c>
      <c r="C46" s="7" t="str">
        <f aca="false">IF(I46="Y",IF(COUNTA(K46,M46,O46,Q46,S46,U46,W46,Y46,AA46,AC46,AE46)=11,"done","in progress"),IF(I46="N","excluded",""))</f>
        <v/>
      </c>
      <c r="D46" s="7" t="s">
        <v>210</v>
      </c>
      <c r="E46" s="8" t="s">
        <v>96</v>
      </c>
      <c r="F46" s="9" t="s">
        <v>211</v>
      </c>
      <c r="G46" s="7" t="s">
        <v>212</v>
      </c>
      <c r="H46" s="7"/>
      <c r="I46" s="10"/>
      <c r="J46" s="10"/>
      <c r="K46" s="10"/>
      <c r="L46" s="11"/>
      <c r="M46" s="10"/>
      <c r="N46" s="11"/>
      <c r="O46" s="10"/>
      <c r="P46" s="11"/>
      <c r="Q46" s="10"/>
      <c r="R46" s="11"/>
      <c r="S46" s="10"/>
      <c r="T46" s="11"/>
      <c r="U46" s="10"/>
      <c r="V46" s="11"/>
      <c r="W46" s="10"/>
      <c r="X46" s="11"/>
      <c r="Y46" s="10"/>
      <c r="Z46" s="11"/>
      <c r="AA46" s="10"/>
      <c r="AB46" s="11"/>
      <c r="AC46" s="10"/>
      <c r="AD46" s="11"/>
      <c r="AE46" s="10"/>
      <c r="AF46" s="11"/>
      <c r="AG46" s="11"/>
      <c r="AH46" s="11"/>
      <c r="AI46" s="10"/>
      <c r="AJ46" s="10"/>
    </row>
    <row r="47" customFormat="false" ht="39.55" hidden="false" customHeight="false" outlineLevel="0" collapsed="false">
      <c r="A47" s="7" t="n">
        <v>45</v>
      </c>
      <c r="B47" s="7" t="str">
        <f aca="false">IF(I47="Y",IF(COUNTIF(I$3:I47,"Y")&lt;=20,"pilot",IF(COUNTIF(I$3:I47,"Y")&lt;=40,"dev",IF(COUNTIF(I$3:I47,"Y")&lt;=200,"test","extra"))),"")</f>
        <v/>
      </c>
      <c r="C47" s="7" t="str">
        <f aca="false">IF(I47="Y",IF(COUNTA(K47,M47,O47,Q47,S47,U47,W47,Y47,AA47,AC47,AE47)=11,"done","in progress"),IF(I47="N","excluded",""))</f>
        <v/>
      </c>
      <c r="D47" s="7" t="s">
        <v>213</v>
      </c>
      <c r="E47" s="8" t="s">
        <v>96</v>
      </c>
      <c r="F47" s="9" t="s">
        <v>214</v>
      </c>
      <c r="G47" s="7" t="s">
        <v>215</v>
      </c>
      <c r="H47" s="7"/>
      <c r="I47" s="10"/>
      <c r="J47" s="10"/>
      <c r="K47" s="10"/>
      <c r="L47" s="11"/>
      <c r="M47" s="10"/>
      <c r="N47" s="11"/>
      <c r="O47" s="10"/>
      <c r="P47" s="11"/>
      <c r="Q47" s="10"/>
      <c r="R47" s="11"/>
      <c r="S47" s="10"/>
      <c r="T47" s="11"/>
      <c r="U47" s="10"/>
      <c r="V47" s="11"/>
      <c r="W47" s="10"/>
      <c r="X47" s="11"/>
      <c r="Y47" s="10"/>
      <c r="Z47" s="11"/>
      <c r="AA47" s="10"/>
      <c r="AB47" s="11"/>
      <c r="AC47" s="10"/>
      <c r="AD47" s="11"/>
      <c r="AE47" s="10"/>
      <c r="AF47" s="11"/>
      <c r="AG47" s="11"/>
      <c r="AH47" s="11"/>
      <c r="AI47" s="10"/>
      <c r="AJ47" s="10"/>
    </row>
    <row r="48" customFormat="false" ht="39.55" hidden="false" customHeight="false" outlineLevel="0" collapsed="false">
      <c r="A48" s="7" t="n">
        <v>46</v>
      </c>
      <c r="B48" s="7" t="str">
        <f aca="false">IF(I48="Y",IF(COUNTIF(I$3:I48,"Y")&lt;=20,"pilot",IF(COUNTIF(I$3:I48,"Y")&lt;=40,"dev",IF(COUNTIF(I$3:I48,"Y")&lt;=200,"test","extra"))),"")</f>
        <v/>
      </c>
      <c r="C48" s="7" t="str">
        <f aca="false">IF(I48="Y",IF(COUNTA(K48,M48,O48,Q48,S48,U48,W48,Y48,AA48,AC48,AE48)=11,"done","in progress"),IF(I48="N","excluded",""))</f>
        <v/>
      </c>
      <c r="D48" s="7" t="s">
        <v>216</v>
      </c>
      <c r="E48" s="8" t="s">
        <v>96</v>
      </c>
      <c r="F48" s="9" t="s">
        <v>217</v>
      </c>
      <c r="G48" s="7" t="s">
        <v>218</v>
      </c>
      <c r="H48" s="7"/>
      <c r="I48" s="10"/>
      <c r="J48" s="10"/>
      <c r="K48" s="10"/>
      <c r="L48" s="11"/>
      <c r="M48" s="10"/>
      <c r="N48" s="11"/>
      <c r="O48" s="10"/>
      <c r="P48" s="11"/>
      <c r="Q48" s="10"/>
      <c r="R48" s="11"/>
      <c r="S48" s="10"/>
      <c r="T48" s="11"/>
      <c r="U48" s="10"/>
      <c r="V48" s="11"/>
      <c r="W48" s="10"/>
      <c r="X48" s="11"/>
      <c r="Y48" s="10"/>
      <c r="Z48" s="11"/>
      <c r="AA48" s="10"/>
      <c r="AB48" s="11"/>
      <c r="AC48" s="10"/>
      <c r="AD48" s="11"/>
      <c r="AE48" s="10"/>
      <c r="AF48" s="11"/>
      <c r="AG48" s="11"/>
      <c r="AH48" s="11"/>
      <c r="AI48" s="10"/>
      <c r="AJ48" s="10"/>
    </row>
    <row r="49" customFormat="false" ht="39.55" hidden="false" customHeight="false" outlineLevel="0" collapsed="false">
      <c r="A49" s="7" t="n">
        <v>47</v>
      </c>
      <c r="B49" s="7" t="str">
        <f aca="false">IF(I49="Y",IF(COUNTIF(I$3:I49,"Y")&lt;=20,"pilot",IF(COUNTIF(I$3:I49,"Y")&lt;=40,"dev",IF(COUNTIF(I$3:I49,"Y")&lt;=200,"test","extra"))),"")</f>
        <v/>
      </c>
      <c r="C49" s="7" t="str">
        <f aca="false">IF(I49="Y",IF(COUNTA(K49,M49,O49,Q49,S49,U49,W49,Y49,AA49,AC49,AE49)=11,"done","in progress"),IF(I49="N","excluded",""))</f>
        <v/>
      </c>
      <c r="D49" s="7" t="s">
        <v>219</v>
      </c>
      <c r="E49" s="8" t="s">
        <v>96</v>
      </c>
      <c r="F49" s="9" t="s">
        <v>220</v>
      </c>
      <c r="G49" s="7" t="s">
        <v>221</v>
      </c>
      <c r="H49" s="7"/>
      <c r="I49" s="10"/>
      <c r="J49" s="10"/>
      <c r="K49" s="10"/>
      <c r="L49" s="11"/>
      <c r="M49" s="10"/>
      <c r="N49" s="11"/>
      <c r="O49" s="10"/>
      <c r="P49" s="11"/>
      <c r="Q49" s="10"/>
      <c r="R49" s="11"/>
      <c r="S49" s="10"/>
      <c r="T49" s="11"/>
      <c r="U49" s="10"/>
      <c r="V49" s="11"/>
      <c r="W49" s="10"/>
      <c r="X49" s="11"/>
      <c r="Y49" s="10"/>
      <c r="Z49" s="11"/>
      <c r="AA49" s="10"/>
      <c r="AB49" s="11"/>
      <c r="AC49" s="10"/>
      <c r="AD49" s="11"/>
      <c r="AE49" s="10"/>
      <c r="AF49" s="11"/>
      <c r="AG49" s="11"/>
      <c r="AH49" s="11"/>
      <c r="AI49" s="10"/>
      <c r="AJ49" s="10"/>
    </row>
    <row r="50" customFormat="false" ht="26.85" hidden="false" customHeight="false" outlineLevel="0" collapsed="false">
      <c r="A50" s="7" t="n">
        <v>48</v>
      </c>
      <c r="B50" s="7" t="str">
        <f aca="false">IF(I50="Y",IF(COUNTIF(I$3:I50,"Y")&lt;=20,"pilot",IF(COUNTIF(I$3:I50,"Y")&lt;=40,"dev",IF(COUNTIF(I$3:I50,"Y")&lt;=200,"test","extra"))),"")</f>
        <v/>
      </c>
      <c r="C50" s="7" t="str">
        <f aca="false">IF(I50="Y",IF(COUNTA(K50,M50,O50,Q50,S50,U50,W50,Y50,AA50,AC50,AE50)=11,"done","in progress"),IF(I50="N","excluded",""))</f>
        <v/>
      </c>
      <c r="D50" s="7" t="s">
        <v>222</v>
      </c>
      <c r="E50" s="8" t="s">
        <v>96</v>
      </c>
      <c r="F50" s="9" t="s">
        <v>223</v>
      </c>
      <c r="G50" s="7" t="s">
        <v>176</v>
      </c>
      <c r="H50" s="7"/>
      <c r="I50" s="10"/>
      <c r="J50" s="10"/>
      <c r="K50" s="10"/>
      <c r="L50" s="11"/>
      <c r="M50" s="10"/>
      <c r="N50" s="11"/>
      <c r="O50" s="10"/>
      <c r="P50" s="11"/>
      <c r="Q50" s="10"/>
      <c r="R50" s="11"/>
      <c r="S50" s="10"/>
      <c r="T50" s="11"/>
      <c r="U50" s="10"/>
      <c r="V50" s="11"/>
      <c r="W50" s="10"/>
      <c r="X50" s="11"/>
      <c r="Y50" s="10"/>
      <c r="Z50" s="11"/>
      <c r="AA50" s="10"/>
      <c r="AB50" s="11"/>
      <c r="AC50" s="10"/>
      <c r="AD50" s="11"/>
      <c r="AE50" s="10"/>
      <c r="AF50" s="11"/>
      <c r="AG50" s="11"/>
      <c r="AH50" s="11"/>
      <c r="AI50" s="10"/>
      <c r="AJ50" s="10"/>
    </row>
    <row r="51" customFormat="false" ht="39.55" hidden="false" customHeight="false" outlineLevel="0" collapsed="false">
      <c r="A51" s="7" t="n">
        <v>49</v>
      </c>
      <c r="B51" s="7" t="str">
        <f aca="false">IF(I51="Y",IF(COUNTIF(I$3:I51,"Y")&lt;=20,"pilot",IF(COUNTIF(I$3:I51,"Y")&lt;=40,"dev",IF(COUNTIF(I$3:I51,"Y")&lt;=200,"test","extra"))),"")</f>
        <v/>
      </c>
      <c r="C51" s="7" t="str">
        <f aca="false">IF(I51="Y",IF(COUNTA(K51,M51,O51,Q51,S51,U51,W51,Y51,AA51,AC51,AE51)=11,"done","in progress"),IF(I51="N","excluded",""))</f>
        <v/>
      </c>
      <c r="D51" s="7" t="s">
        <v>224</v>
      </c>
      <c r="E51" s="8" t="s">
        <v>96</v>
      </c>
      <c r="F51" s="9" t="s">
        <v>225</v>
      </c>
      <c r="G51" s="7" t="s">
        <v>113</v>
      </c>
      <c r="H51" s="7"/>
      <c r="I51" s="10"/>
      <c r="J51" s="10"/>
      <c r="K51" s="10"/>
      <c r="L51" s="11"/>
      <c r="M51" s="10"/>
      <c r="N51" s="11"/>
      <c r="O51" s="10"/>
      <c r="P51" s="11"/>
      <c r="Q51" s="10"/>
      <c r="R51" s="11"/>
      <c r="S51" s="10"/>
      <c r="T51" s="11"/>
      <c r="U51" s="10"/>
      <c r="V51" s="11"/>
      <c r="W51" s="10"/>
      <c r="X51" s="11"/>
      <c r="Y51" s="10"/>
      <c r="Z51" s="11"/>
      <c r="AA51" s="10"/>
      <c r="AB51" s="11"/>
      <c r="AC51" s="10"/>
      <c r="AD51" s="11"/>
      <c r="AE51" s="10"/>
      <c r="AF51" s="11"/>
      <c r="AG51" s="11"/>
      <c r="AH51" s="11"/>
      <c r="AI51" s="10"/>
      <c r="AJ51" s="10"/>
    </row>
    <row r="52" customFormat="false" ht="39.55" hidden="false" customHeight="false" outlineLevel="0" collapsed="false">
      <c r="A52" s="7" t="n">
        <v>50</v>
      </c>
      <c r="B52" s="7" t="str">
        <f aca="false">IF(I52="Y",IF(COUNTIF(I$3:I52,"Y")&lt;=20,"pilot",IF(COUNTIF(I$3:I52,"Y")&lt;=40,"dev",IF(COUNTIF(I$3:I52,"Y")&lt;=200,"test","extra"))),"")</f>
        <v/>
      </c>
      <c r="C52" s="7" t="str">
        <f aca="false">IF(I52="Y",IF(COUNTA(K52,M52,O52,Q52,S52,U52,W52,Y52,AA52,AC52,AE52)=11,"done","in progress"),IF(I52="N","excluded",""))</f>
        <v/>
      </c>
      <c r="D52" s="7" t="s">
        <v>226</v>
      </c>
      <c r="E52" s="8" t="s">
        <v>96</v>
      </c>
      <c r="F52" s="9" t="s">
        <v>227</v>
      </c>
      <c r="G52" s="7" t="s">
        <v>228</v>
      </c>
      <c r="H52" s="7"/>
      <c r="I52" s="10"/>
      <c r="J52" s="10"/>
      <c r="K52" s="10"/>
      <c r="L52" s="11"/>
      <c r="M52" s="10"/>
      <c r="N52" s="11"/>
      <c r="O52" s="10"/>
      <c r="P52" s="11"/>
      <c r="Q52" s="10"/>
      <c r="R52" s="11"/>
      <c r="S52" s="10"/>
      <c r="T52" s="11"/>
      <c r="U52" s="10"/>
      <c r="V52" s="11"/>
      <c r="W52" s="10"/>
      <c r="X52" s="11"/>
      <c r="Y52" s="10"/>
      <c r="Z52" s="11"/>
      <c r="AA52" s="10"/>
      <c r="AB52" s="11"/>
      <c r="AC52" s="10"/>
      <c r="AD52" s="11"/>
      <c r="AE52" s="10"/>
      <c r="AF52" s="11"/>
      <c r="AG52" s="11"/>
      <c r="AH52" s="11"/>
      <c r="AI52" s="10"/>
      <c r="AJ52" s="10"/>
    </row>
    <row r="53" customFormat="false" ht="26.85" hidden="false" customHeight="false" outlineLevel="0" collapsed="false">
      <c r="A53" s="7" t="n">
        <v>51</v>
      </c>
      <c r="B53" s="7" t="str">
        <f aca="false">IF(I53="Y",IF(COUNTIF(I$3:I53,"Y")&lt;=20,"pilot",IF(COUNTIF(I$3:I53,"Y")&lt;=40,"dev",IF(COUNTIF(I$3:I53,"Y")&lt;=200,"test","extra"))),"")</f>
        <v/>
      </c>
      <c r="C53" s="7" t="str">
        <f aca="false">IF(I53="Y",IF(COUNTA(K53,M53,O53,Q53,S53,U53,W53,Y53,AA53,AC53,AE53)=11,"done","in progress"),IF(I53="N","excluded",""))</f>
        <v/>
      </c>
      <c r="D53" s="7" t="s">
        <v>229</v>
      </c>
      <c r="E53" s="8" t="s">
        <v>96</v>
      </c>
      <c r="F53" s="9" t="s">
        <v>230</v>
      </c>
      <c r="G53" s="7" t="s">
        <v>231</v>
      </c>
      <c r="H53" s="7"/>
      <c r="I53" s="10"/>
      <c r="J53" s="10"/>
      <c r="K53" s="10"/>
      <c r="L53" s="11"/>
      <c r="M53" s="10"/>
      <c r="N53" s="11"/>
      <c r="O53" s="10"/>
      <c r="P53" s="11"/>
      <c r="Q53" s="10"/>
      <c r="R53" s="11"/>
      <c r="S53" s="10"/>
      <c r="T53" s="11"/>
      <c r="U53" s="10"/>
      <c r="V53" s="11"/>
      <c r="W53" s="10"/>
      <c r="X53" s="11"/>
      <c r="Y53" s="10"/>
      <c r="Z53" s="11"/>
      <c r="AA53" s="10"/>
      <c r="AB53" s="11"/>
      <c r="AC53" s="10"/>
      <c r="AD53" s="11"/>
      <c r="AE53" s="10"/>
      <c r="AF53" s="11"/>
      <c r="AG53" s="11"/>
      <c r="AH53" s="11"/>
      <c r="AI53" s="10"/>
      <c r="AJ53" s="10"/>
    </row>
    <row r="54" customFormat="false" ht="39.55" hidden="false" customHeight="false" outlineLevel="0" collapsed="false">
      <c r="A54" s="7" t="n">
        <v>52</v>
      </c>
      <c r="B54" s="7" t="str">
        <f aca="false">IF(I54="Y",IF(COUNTIF(I$3:I54,"Y")&lt;=20,"pilot",IF(COUNTIF(I$3:I54,"Y")&lt;=40,"dev",IF(COUNTIF(I$3:I54,"Y")&lt;=200,"test","extra"))),"")</f>
        <v/>
      </c>
      <c r="C54" s="7" t="str">
        <f aca="false">IF(I54="Y",IF(COUNTA(K54,M54,O54,Q54,S54,U54,W54,Y54,AA54,AC54,AE54)=11,"done","in progress"),IF(I54="N","excluded",""))</f>
        <v/>
      </c>
      <c r="D54" s="7" t="s">
        <v>232</v>
      </c>
      <c r="E54" s="8" t="s">
        <v>96</v>
      </c>
      <c r="F54" s="9" t="s">
        <v>233</v>
      </c>
      <c r="G54" s="7" t="s">
        <v>104</v>
      </c>
      <c r="H54" s="7"/>
      <c r="I54" s="10"/>
      <c r="J54" s="10"/>
      <c r="K54" s="10"/>
      <c r="L54" s="11"/>
      <c r="M54" s="10"/>
      <c r="N54" s="11"/>
      <c r="O54" s="10"/>
      <c r="P54" s="11"/>
      <c r="Q54" s="10"/>
      <c r="R54" s="11"/>
      <c r="S54" s="10"/>
      <c r="T54" s="11"/>
      <c r="U54" s="10"/>
      <c r="V54" s="11"/>
      <c r="W54" s="10"/>
      <c r="X54" s="11"/>
      <c r="Y54" s="10"/>
      <c r="Z54" s="11"/>
      <c r="AA54" s="10"/>
      <c r="AB54" s="11"/>
      <c r="AC54" s="10"/>
      <c r="AD54" s="11"/>
      <c r="AE54" s="10"/>
      <c r="AF54" s="11"/>
      <c r="AG54" s="11"/>
      <c r="AH54" s="11"/>
      <c r="AI54" s="10"/>
      <c r="AJ54" s="10"/>
    </row>
    <row r="55" customFormat="false" ht="39.55" hidden="false" customHeight="false" outlineLevel="0" collapsed="false">
      <c r="A55" s="7" t="n">
        <v>53</v>
      </c>
      <c r="B55" s="7" t="str">
        <f aca="false">IF(I55="Y",IF(COUNTIF(I$3:I55,"Y")&lt;=20,"pilot",IF(COUNTIF(I$3:I55,"Y")&lt;=40,"dev",IF(COUNTIF(I$3:I55,"Y")&lt;=200,"test","extra"))),"")</f>
        <v/>
      </c>
      <c r="C55" s="7" t="str">
        <f aca="false">IF(I55="Y",IF(COUNTA(K55,M55,O55,Q55,S55,U55,W55,Y55,AA55,AC55,AE55)=11,"done","in progress"),IF(I55="N","excluded",""))</f>
        <v/>
      </c>
      <c r="D55" s="7" t="s">
        <v>234</v>
      </c>
      <c r="E55" s="8" t="s">
        <v>96</v>
      </c>
      <c r="F55" s="9" t="s">
        <v>235</v>
      </c>
      <c r="G55" s="7" t="s">
        <v>125</v>
      </c>
      <c r="H55" s="7"/>
      <c r="I55" s="10"/>
      <c r="J55" s="10"/>
      <c r="K55" s="10"/>
      <c r="L55" s="11"/>
      <c r="M55" s="10"/>
      <c r="N55" s="11"/>
      <c r="O55" s="10"/>
      <c r="P55" s="11"/>
      <c r="Q55" s="10"/>
      <c r="R55" s="11"/>
      <c r="S55" s="10"/>
      <c r="T55" s="11"/>
      <c r="U55" s="10"/>
      <c r="V55" s="11"/>
      <c r="W55" s="10"/>
      <c r="X55" s="11"/>
      <c r="Y55" s="10"/>
      <c r="Z55" s="11"/>
      <c r="AA55" s="10"/>
      <c r="AB55" s="11"/>
      <c r="AC55" s="10"/>
      <c r="AD55" s="11"/>
      <c r="AE55" s="10"/>
      <c r="AF55" s="11"/>
      <c r="AG55" s="11"/>
      <c r="AH55" s="11"/>
      <c r="AI55" s="10"/>
      <c r="AJ55" s="10"/>
    </row>
    <row r="56" customFormat="false" ht="26.85" hidden="false" customHeight="false" outlineLevel="0" collapsed="false">
      <c r="A56" s="7" t="n">
        <v>54</v>
      </c>
      <c r="B56" s="7" t="str">
        <f aca="false">IF(I56="Y",IF(COUNTIF(I$3:I56,"Y")&lt;=20,"pilot",IF(COUNTIF(I$3:I56,"Y")&lt;=40,"dev",IF(COUNTIF(I$3:I56,"Y")&lt;=200,"test","extra"))),"")</f>
        <v/>
      </c>
      <c r="C56" s="7" t="str">
        <f aca="false">IF(I56="Y",IF(COUNTA(K56,M56,O56,Q56,S56,U56,W56,Y56,AA56,AC56,AE56)=11,"done","in progress"),IF(I56="N","excluded",""))</f>
        <v/>
      </c>
      <c r="D56" s="7" t="s">
        <v>236</v>
      </c>
      <c r="E56" s="8" t="s">
        <v>96</v>
      </c>
      <c r="F56" s="9" t="s">
        <v>237</v>
      </c>
      <c r="G56" s="7" t="s">
        <v>238</v>
      </c>
      <c r="H56" s="7"/>
      <c r="I56" s="10"/>
      <c r="J56" s="10"/>
      <c r="K56" s="10"/>
      <c r="L56" s="11"/>
      <c r="M56" s="10"/>
      <c r="N56" s="11"/>
      <c r="O56" s="10"/>
      <c r="P56" s="11"/>
      <c r="Q56" s="10"/>
      <c r="R56" s="11"/>
      <c r="S56" s="10"/>
      <c r="T56" s="11"/>
      <c r="U56" s="10"/>
      <c r="V56" s="11"/>
      <c r="W56" s="10"/>
      <c r="X56" s="11"/>
      <c r="Y56" s="10"/>
      <c r="Z56" s="11"/>
      <c r="AA56" s="10"/>
      <c r="AB56" s="11"/>
      <c r="AC56" s="10"/>
      <c r="AD56" s="11"/>
      <c r="AE56" s="10"/>
      <c r="AF56" s="11"/>
      <c r="AG56" s="11"/>
      <c r="AH56" s="11"/>
      <c r="AI56" s="10"/>
      <c r="AJ56" s="10"/>
    </row>
    <row r="57" customFormat="false" ht="52.2" hidden="false" customHeight="false" outlineLevel="0" collapsed="false">
      <c r="A57" s="7" t="n">
        <v>55</v>
      </c>
      <c r="B57" s="7" t="str">
        <f aca="false">IF(I57="Y",IF(COUNTIF(I$3:I57,"Y")&lt;=20,"pilot",IF(COUNTIF(I$3:I57,"Y")&lt;=40,"dev",IF(COUNTIF(I$3:I57,"Y")&lt;=200,"test","extra"))),"")</f>
        <v/>
      </c>
      <c r="C57" s="7" t="str">
        <f aca="false">IF(I57="Y",IF(COUNTA(K57,M57,O57,Q57,S57,U57,W57,Y57,AA57,AC57,AE57)=11,"done","in progress"),IF(I57="N","excluded",""))</f>
        <v/>
      </c>
      <c r="D57" s="7" t="s">
        <v>239</v>
      </c>
      <c r="E57" s="8" t="s">
        <v>96</v>
      </c>
      <c r="F57" s="9" t="s">
        <v>240</v>
      </c>
      <c r="G57" s="7" t="s">
        <v>241</v>
      </c>
      <c r="H57" s="7"/>
      <c r="I57" s="10"/>
      <c r="J57" s="10"/>
      <c r="K57" s="10"/>
      <c r="L57" s="11"/>
      <c r="M57" s="10"/>
      <c r="N57" s="11"/>
      <c r="O57" s="10"/>
      <c r="P57" s="11"/>
      <c r="Q57" s="10"/>
      <c r="R57" s="11"/>
      <c r="S57" s="10"/>
      <c r="T57" s="11"/>
      <c r="U57" s="10"/>
      <c r="V57" s="11"/>
      <c r="W57" s="10"/>
      <c r="X57" s="11"/>
      <c r="Y57" s="10"/>
      <c r="Z57" s="11"/>
      <c r="AA57" s="10"/>
      <c r="AB57" s="11"/>
      <c r="AC57" s="10"/>
      <c r="AD57" s="11"/>
      <c r="AE57" s="10"/>
      <c r="AF57" s="11"/>
      <c r="AG57" s="11"/>
      <c r="AH57" s="11"/>
      <c r="AI57" s="10"/>
      <c r="AJ57" s="10"/>
    </row>
    <row r="58" customFormat="false" ht="39.55" hidden="false" customHeight="false" outlineLevel="0" collapsed="false">
      <c r="A58" s="7" t="n">
        <v>56</v>
      </c>
      <c r="B58" s="7" t="str">
        <f aca="false">IF(I58="Y",IF(COUNTIF(I$3:I58,"Y")&lt;=20,"pilot",IF(COUNTIF(I$3:I58,"Y")&lt;=40,"dev",IF(COUNTIF(I$3:I58,"Y")&lt;=200,"test","extra"))),"")</f>
        <v/>
      </c>
      <c r="C58" s="7" t="str">
        <f aca="false">IF(I58="Y",IF(COUNTA(K58,M58,O58,Q58,S58,U58,W58,Y58,AA58,AC58,AE58)=11,"done","in progress"),IF(I58="N","excluded",""))</f>
        <v/>
      </c>
      <c r="D58" s="7" t="s">
        <v>242</v>
      </c>
      <c r="E58" s="8" t="s">
        <v>96</v>
      </c>
      <c r="F58" s="9" t="s">
        <v>243</v>
      </c>
      <c r="G58" s="7" t="s">
        <v>116</v>
      </c>
      <c r="H58" s="7"/>
      <c r="I58" s="10"/>
      <c r="J58" s="10"/>
      <c r="K58" s="10"/>
      <c r="L58" s="11"/>
      <c r="M58" s="10"/>
      <c r="N58" s="11"/>
      <c r="O58" s="10"/>
      <c r="P58" s="11"/>
      <c r="Q58" s="10"/>
      <c r="R58" s="11"/>
      <c r="S58" s="10"/>
      <c r="T58" s="11"/>
      <c r="U58" s="10"/>
      <c r="V58" s="11"/>
      <c r="W58" s="10"/>
      <c r="X58" s="11"/>
      <c r="Y58" s="10"/>
      <c r="Z58" s="11"/>
      <c r="AA58" s="10"/>
      <c r="AB58" s="11"/>
      <c r="AC58" s="10"/>
      <c r="AD58" s="11"/>
      <c r="AE58" s="10"/>
      <c r="AF58" s="11"/>
      <c r="AG58" s="11"/>
      <c r="AH58" s="11"/>
      <c r="AI58" s="10"/>
      <c r="AJ58" s="10"/>
    </row>
    <row r="59" customFormat="false" ht="26.85" hidden="false" customHeight="false" outlineLevel="0" collapsed="false">
      <c r="A59" s="7" t="n">
        <v>57</v>
      </c>
      <c r="B59" s="7" t="str">
        <f aca="false">IF(I59="Y",IF(COUNTIF(I$3:I59,"Y")&lt;=20,"pilot",IF(COUNTIF(I$3:I59,"Y")&lt;=40,"dev",IF(COUNTIF(I$3:I59,"Y")&lt;=200,"test","extra"))),"")</f>
        <v/>
      </c>
      <c r="C59" s="7" t="str">
        <f aca="false">IF(I59="Y",IF(COUNTA(K59,M59,O59,Q59,S59,U59,W59,Y59,AA59,AC59,AE59)=11,"done","in progress"),IF(I59="N","excluded",""))</f>
        <v/>
      </c>
      <c r="D59" s="7" t="s">
        <v>244</v>
      </c>
      <c r="E59" s="8" t="s">
        <v>96</v>
      </c>
      <c r="F59" s="9" t="s">
        <v>245</v>
      </c>
      <c r="G59" s="7" t="s">
        <v>246</v>
      </c>
      <c r="H59" s="7"/>
      <c r="I59" s="10"/>
      <c r="J59" s="10"/>
      <c r="K59" s="10"/>
      <c r="L59" s="11"/>
      <c r="M59" s="10"/>
      <c r="N59" s="11"/>
      <c r="O59" s="10"/>
      <c r="P59" s="11"/>
      <c r="Q59" s="10"/>
      <c r="R59" s="11"/>
      <c r="S59" s="10"/>
      <c r="T59" s="11"/>
      <c r="U59" s="10"/>
      <c r="V59" s="11"/>
      <c r="W59" s="10"/>
      <c r="X59" s="11"/>
      <c r="Y59" s="10"/>
      <c r="Z59" s="11"/>
      <c r="AA59" s="10"/>
      <c r="AB59" s="11"/>
      <c r="AC59" s="10"/>
      <c r="AD59" s="11"/>
      <c r="AE59" s="10"/>
      <c r="AF59" s="11"/>
      <c r="AG59" s="11"/>
      <c r="AH59" s="11"/>
      <c r="AI59" s="10"/>
      <c r="AJ59" s="10"/>
    </row>
    <row r="60" customFormat="false" ht="39.55" hidden="false" customHeight="false" outlineLevel="0" collapsed="false">
      <c r="A60" s="7" t="n">
        <v>58</v>
      </c>
      <c r="B60" s="7" t="str">
        <f aca="false">IF(I60="Y",IF(COUNTIF(I$3:I60,"Y")&lt;=20,"pilot",IF(COUNTIF(I$3:I60,"Y")&lt;=40,"dev",IF(COUNTIF(I$3:I60,"Y")&lt;=200,"test","extra"))),"")</f>
        <v/>
      </c>
      <c r="C60" s="7" t="str">
        <f aca="false">IF(I60="Y",IF(COUNTA(K60,M60,O60,Q60,S60,U60,W60,Y60,AA60,AC60,AE60)=11,"done","in progress"),IF(I60="N","excluded",""))</f>
        <v/>
      </c>
      <c r="D60" s="7" t="s">
        <v>247</v>
      </c>
      <c r="E60" s="8" t="s">
        <v>96</v>
      </c>
      <c r="F60" s="9" t="s">
        <v>248</v>
      </c>
      <c r="G60" s="7" t="s">
        <v>238</v>
      </c>
      <c r="H60" s="7"/>
      <c r="I60" s="10"/>
      <c r="J60" s="10"/>
      <c r="K60" s="10"/>
      <c r="L60" s="11"/>
      <c r="M60" s="10"/>
      <c r="N60" s="11"/>
      <c r="O60" s="10"/>
      <c r="P60" s="11"/>
      <c r="Q60" s="10"/>
      <c r="R60" s="11"/>
      <c r="S60" s="10"/>
      <c r="T60" s="11"/>
      <c r="U60" s="10"/>
      <c r="V60" s="11"/>
      <c r="W60" s="10"/>
      <c r="X60" s="11"/>
      <c r="Y60" s="10"/>
      <c r="Z60" s="11"/>
      <c r="AA60" s="10"/>
      <c r="AB60" s="11"/>
      <c r="AC60" s="10"/>
      <c r="AD60" s="11"/>
      <c r="AE60" s="10"/>
      <c r="AF60" s="11"/>
      <c r="AG60" s="11"/>
      <c r="AH60" s="11"/>
      <c r="AI60" s="10"/>
      <c r="AJ60" s="10"/>
    </row>
    <row r="61" customFormat="false" ht="39.55" hidden="false" customHeight="false" outlineLevel="0" collapsed="false">
      <c r="A61" s="7" t="n">
        <v>59</v>
      </c>
      <c r="B61" s="7" t="str">
        <f aca="false">IF(I61="Y",IF(COUNTIF(I$3:I61,"Y")&lt;=20,"pilot",IF(COUNTIF(I$3:I61,"Y")&lt;=40,"dev",IF(COUNTIF(I$3:I61,"Y")&lt;=200,"test","extra"))),"")</f>
        <v/>
      </c>
      <c r="C61" s="7" t="str">
        <f aca="false">IF(I61="Y",IF(COUNTA(K61,M61,O61,Q61,S61,U61,W61,Y61,AA61,AC61,AE61)=11,"done","in progress"),IF(I61="N","excluded",""))</f>
        <v/>
      </c>
      <c r="D61" s="7" t="s">
        <v>249</v>
      </c>
      <c r="E61" s="8" t="s">
        <v>96</v>
      </c>
      <c r="F61" s="9" t="s">
        <v>250</v>
      </c>
      <c r="G61" s="7" t="s">
        <v>251</v>
      </c>
      <c r="H61" s="7"/>
      <c r="I61" s="10"/>
      <c r="J61" s="10"/>
      <c r="K61" s="10"/>
      <c r="L61" s="11"/>
      <c r="M61" s="10"/>
      <c r="N61" s="11"/>
      <c r="O61" s="10"/>
      <c r="P61" s="11"/>
      <c r="Q61" s="10"/>
      <c r="R61" s="11"/>
      <c r="S61" s="10"/>
      <c r="T61" s="11"/>
      <c r="U61" s="10"/>
      <c r="V61" s="11"/>
      <c r="W61" s="10"/>
      <c r="X61" s="11"/>
      <c r="Y61" s="10"/>
      <c r="Z61" s="11"/>
      <c r="AA61" s="10"/>
      <c r="AB61" s="11"/>
      <c r="AC61" s="10"/>
      <c r="AD61" s="11"/>
      <c r="AE61" s="10"/>
      <c r="AF61" s="11"/>
      <c r="AG61" s="11"/>
      <c r="AH61" s="11"/>
      <c r="AI61" s="10"/>
      <c r="AJ61" s="10"/>
    </row>
    <row r="62" customFormat="false" ht="26.85" hidden="false" customHeight="false" outlineLevel="0" collapsed="false">
      <c r="A62" s="7" t="n">
        <v>60</v>
      </c>
      <c r="B62" s="7" t="str">
        <f aca="false">IF(I62="Y",IF(COUNTIF(I$3:I62,"Y")&lt;=20,"pilot",IF(COUNTIF(I$3:I62,"Y")&lt;=40,"dev",IF(COUNTIF(I$3:I62,"Y")&lt;=200,"test","extra"))),"")</f>
        <v/>
      </c>
      <c r="C62" s="7" t="str">
        <f aca="false">IF(I62="Y",IF(COUNTA(K62,M62,O62,Q62,S62,U62,W62,Y62,AA62,AC62,AE62)=11,"done","in progress"),IF(I62="N","excluded",""))</f>
        <v/>
      </c>
      <c r="D62" s="7" t="s">
        <v>252</v>
      </c>
      <c r="E62" s="8" t="s">
        <v>96</v>
      </c>
      <c r="F62" s="9" t="s">
        <v>253</v>
      </c>
      <c r="G62" s="7" t="s">
        <v>138</v>
      </c>
      <c r="H62" s="7"/>
      <c r="I62" s="10"/>
      <c r="J62" s="10"/>
      <c r="K62" s="10"/>
      <c r="L62" s="11"/>
      <c r="M62" s="10"/>
      <c r="N62" s="11"/>
      <c r="O62" s="10"/>
      <c r="P62" s="11"/>
      <c r="Q62" s="10"/>
      <c r="R62" s="11"/>
      <c r="S62" s="10"/>
      <c r="T62" s="11"/>
      <c r="U62" s="10"/>
      <c r="V62" s="11"/>
      <c r="W62" s="10"/>
      <c r="X62" s="11"/>
      <c r="Y62" s="10"/>
      <c r="Z62" s="11"/>
      <c r="AA62" s="10"/>
      <c r="AB62" s="11"/>
      <c r="AC62" s="10"/>
      <c r="AD62" s="11"/>
      <c r="AE62" s="10"/>
      <c r="AF62" s="11"/>
      <c r="AG62" s="11"/>
      <c r="AH62" s="11"/>
      <c r="AI62" s="10"/>
      <c r="AJ62" s="10"/>
    </row>
    <row r="63" customFormat="false" ht="52.2" hidden="false" customHeight="false" outlineLevel="0" collapsed="false">
      <c r="A63" s="7" t="n">
        <v>61</v>
      </c>
      <c r="B63" s="7" t="str">
        <f aca="false">IF(I63="Y",IF(COUNTIF(I$3:I63,"Y")&lt;=20,"pilot",IF(COUNTIF(I$3:I63,"Y")&lt;=40,"dev",IF(COUNTIF(I$3:I63,"Y")&lt;=200,"test","extra"))),"")</f>
        <v/>
      </c>
      <c r="C63" s="7" t="str">
        <f aca="false">IF(I63="Y",IF(COUNTA(K63,M63,O63,Q63,S63,U63,W63,Y63,AA63,AC63,AE63)=11,"done","in progress"),IF(I63="N","excluded",""))</f>
        <v/>
      </c>
      <c r="D63" s="7" t="s">
        <v>254</v>
      </c>
      <c r="E63" s="8" t="s">
        <v>96</v>
      </c>
      <c r="F63" s="9" t="s">
        <v>255</v>
      </c>
      <c r="G63" s="7" t="s">
        <v>256</v>
      </c>
      <c r="H63" s="7"/>
      <c r="I63" s="10"/>
      <c r="J63" s="10"/>
      <c r="K63" s="10"/>
      <c r="L63" s="11"/>
      <c r="M63" s="10"/>
      <c r="N63" s="11"/>
      <c r="O63" s="10"/>
      <c r="P63" s="11"/>
      <c r="Q63" s="10"/>
      <c r="R63" s="11"/>
      <c r="S63" s="10"/>
      <c r="T63" s="11"/>
      <c r="U63" s="10"/>
      <c r="V63" s="11"/>
      <c r="W63" s="10"/>
      <c r="X63" s="11"/>
      <c r="Y63" s="10"/>
      <c r="Z63" s="11"/>
      <c r="AA63" s="10"/>
      <c r="AB63" s="11"/>
      <c r="AC63" s="10"/>
      <c r="AD63" s="11"/>
      <c r="AE63" s="10"/>
      <c r="AF63" s="11"/>
      <c r="AG63" s="11"/>
      <c r="AH63" s="11"/>
      <c r="AI63" s="10"/>
      <c r="AJ63" s="10"/>
    </row>
    <row r="64" customFormat="false" ht="26.85" hidden="false" customHeight="false" outlineLevel="0" collapsed="false">
      <c r="A64" s="7" t="n">
        <v>62</v>
      </c>
      <c r="B64" s="7" t="str">
        <f aca="false">IF(I64="Y",IF(COUNTIF(I$3:I64,"Y")&lt;=20,"pilot",IF(COUNTIF(I$3:I64,"Y")&lt;=40,"dev",IF(COUNTIF(I$3:I64,"Y")&lt;=200,"test","extra"))),"")</f>
        <v/>
      </c>
      <c r="C64" s="7" t="str">
        <f aca="false">IF(I64="Y",IF(COUNTA(K64,M64,O64,Q64,S64,U64,W64,Y64,AA64,AC64,AE64)=11,"done","in progress"),IF(I64="N","excluded",""))</f>
        <v/>
      </c>
      <c r="D64" s="7" t="s">
        <v>257</v>
      </c>
      <c r="E64" s="8" t="s">
        <v>96</v>
      </c>
      <c r="F64" s="9" t="s">
        <v>258</v>
      </c>
      <c r="G64" s="7" t="s">
        <v>116</v>
      </c>
      <c r="H64" s="7"/>
      <c r="I64" s="10"/>
      <c r="J64" s="10"/>
      <c r="K64" s="10"/>
      <c r="L64" s="11"/>
      <c r="M64" s="10"/>
      <c r="N64" s="11"/>
      <c r="O64" s="10"/>
      <c r="P64" s="11"/>
      <c r="Q64" s="10"/>
      <c r="R64" s="11"/>
      <c r="S64" s="10"/>
      <c r="T64" s="11"/>
      <c r="U64" s="10"/>
      <c r="V64" s="11"/>
      <c r="W64" s="10"/>
      <c r="X64" s="11"/>
      <c r="Y64" s="10"/>
      <c r="Z64" s="11"/>
      <c r="AA64" s="10"/>
      <c r="AB64" s="11"/>
      <c r="AC64" s="10"/>
      <c r="AD64" s="11"/>
      <c r="AE64" s="10"/>
      <c r="AF64" s="11"/>
      <c r="AG64" s="11"/>
      <c r="AH64" s="11"/>
      <c r="AI64" s="10"/>
      <c r="AJ64" s="10"/>
    </row>
    <row r="65" customFormat="false" ht="39.55" hidden="false" customHeight="false" outlineLevel="0" collapsed="false">
      <c r="A65" s="7" t="n">
        <v>63</v>
      </c>
      <c r="B65" s="7" t="str">
        <f aca="false">IF(I65="Y",IF(COUNTIF(I$3:I65,"Y")&lt;=20,"pilot",IF(COUNTIF(I$3:I65,"Y")&lt;=40,"dev",IF(COUNTIF(I$3:I65,"Y")&lt;=200,"test","extra"))),"")</f>
        <v/>
      </c>
      <c r="C65" s="7" t="str">
        <f aca="false">IF(I65="Y",IF(COUNTA(K65,M65,O65,Q65,S65,U65,W65,Y65,AA65,AC65,AE65)=11,"done","in progress"),IF(I65="N","excluded",""))</f>
        <v/>
      </c>
      <c r="D65" s="7" t="s">
        <v>259</v>
      </c>
      <c r="E65" s="8" t="s">
        <v>96</v>
      </c>
      <c r="F65" s="9" t="s">
        <v>260</v>
      </c>
      <c r="G65" s="7" t="s">
        <v>154</v>
      </c>
      <c r="H65" s="7"/>
      <c r="I65" s="10"/>
      <c r="J65" s="10"/>
      <c r="K65" s="10"/>
      <c r="L65" s="11"/>
      <c r="M65" s="10"/>
      <c r="N65" s="11"/>
      <c r="O65" s="10"/>
      <c r="P65" s="11"/>
      <c r="Q65" s="10"/>
      <c r="R65" s="11"/>
      <c r="S65" s="10"/>
      <c r="T65" s="11"/>
      <c r="U65" s="10"/>
      <c r="V65" s="11"/>
      <c r="W65" s="10"/>
      <c r="X65" s="11"/>
      <c r="Y65" s="10"/>
      <c r="Z65" s="11"/>
      <c r="AA65" s="10"/>
      <c r="AB65" s="11"/>
      <c r="AC65" s="10"/>
      <c r="AD65" s="11"/>
      <c r="AE65" s="10"/>
      <c r="AF65" s="11"/>
      <c r="AG65" s="11"/>
      <c r="AH65" s="11"/>
      <c r="AI65" s="10"/>
      <c r="AJ65" s="10"/>
    </row>
    <row r="66" customFormat="false" ht="39.55" hidden="false" customHeight="false" outlineLevel="0" collapsed="false">
      <c r="A66" s="7" t="n">
        <v>64</v>
      </c>
      <c r="B66" s="7" t="str">
        <f aca="false">IF(I66="Y",IF(COUNTIF(I$3:I66,"Y")&lt;=20,"pilot",IF(COUNTIF(I$3:I66,"Y")&lt;=40,"dev",IF(COUNTIF(I$3:I66,"Y")&lt;=200,"test","extra"))),"")</f>
        <v/>
      </c>
      <c r="C66" s="7" t="str">
        <f aca="false">IF(I66="Y",IF(COUNTA(K66,M66,O66,Q66,S66,U66,W66,Y66,AA66,AC66,AE66)=11,"done","in progress"),IF(I66="N","excluded",""))</f>
        <v/>
      </c>
      <c r="D66" s="7" t="s">
        <v>261</v>
      </c>
      <c r="E66" s="8" t="s">
        <v>96</v>
      </c>
      <c r="F66" s="9" t="s">
        <v>262</v>
      </c>
      <c r="G66" s="7" t="s">
        <v>107</v>
      </c>
      <c r="H66" s="7"/>
      <c r="I66" s="10"/>
      <c r="J66" s="10"/>
      <c r="K66" s="10"/>
      <c r="L66" s="11"/>
      <c r="M66" s="10"/>
      <c r="N66" s="11"/>
      <c r="O66" s="10"/>
      <c r="P66" s="11"/>
      <c r="Q66" s="10"/>
      <c r="R66" s="11"/>
      <c r="S66" s="10"/>
      <c r="T66" s="11"/>
      <c r="U66" s="10"/>
      <c r="V66" s="11"/>
      <c r="W66" s="10"/>
      <c r="X66" s="11"/>
      <c r="Y66" s="10"/>
      <c r="Z66" s="11"/>
      <c r="AA66" s="10"/>
      <c r="AB66" s="11"/>
      <c r="AC66" s="10"/>
      <c r="AD66" s="11"/>
      <c r="AE66" s="10"/>
      <c r="AF66" s="11"/>
      <c r="AG66" s="11"/>
      <c r="AH66" s="11"/>
      <c r="AI66" s="10"/>
      <c r="AJ66" s="10"/>
    </row>
    <row r="67" customFormat="false" ht="39.55" hidden="false" customHeight="false" outlineLevel="0" collapsed="false">
      <c r="A67" s="7" t="n">
        <v>65</v>
      </c>
      <c r="B67" s="7" t="str">
        <f aca="false">IF(I67="Y",IF(COUNTIF(I$3:I67,"Y")&lt;=20,"pilot",IF(COUNTIF(I$3:I67,"Y")&lt;=40,"dev",IF(COUNTIF(I$3:I67,"Y")&lt;=200,"test","extra"))),"")</f>
        <v/>
      </c>
      <c r="C67" s="7" t="str">
        <f aca="false">IF(I67="Y",IF(COUNTA(K67,M67,O67,Q67,S67,U67,W67,Y67,AA67,AC67,AE67)=11,"done","in progress"),IF(I67="N","excluded",""))</f>
        <v/>
      </c>
      <c r="D67" s="7" t="s">
        <v>263</v>
      </c>
      <c r="E67" s="8" t="s">
        <v>96</v>
      </c>
      <c r="F67" s="9" t="s">
        <v>264</v>
      </c>
      <c r="G67" s="7" t="s">
        <v>265</v>
      </c>
      <c r="H67" s="7"/>
      <c r="I67" s="10"/>
      <c r="J67" s="10"/>
      <c r="K67" s="10"/>
      <c r="L67" s="11"/>
      <c r="M67" s="10"/>
      <c r="N67" s="11"/>
      <c r="O67" s="10"/>
      <c r="P67" s="11"/>
      <c r="Q67" s="10"/>
      <c r="R67" s="11"/>
      <c r="S67" s="10"/>
      <c r="T67" s="11"/>
      <c r="U67" s="10"/>
      <c r="V67" s="11"/>
      <c r="W67" s="10"/>
      <c r="X67" s="11"/>
      <c r="Y67" s="10"/>
      <c r="Z67" s="11"/>
      <c r="AA67" s="10"/>
      <c r="AB67" s="11"/>
      <c r="AC67" s="10"/>
      <c r="AD67" s="11"/>
      <c r="AE67" s="10"/>
      <c r="AF67" s="11"/>
      <c r="AG67" s="11"/>
      <c r="AH67" s="11"/>
      <c r="AI67" s="10"/>
      <c r="AJ67" s="10"/>
    </row>
    <row r="68" customFormat="false" ht="39.55" hidden="false" customHeight="false" outlineLevel="0" collapsed="false">
      <c r="A68" s="7" t="n">
        <v>66</v>
      </c>
      <c r="B68" s="7" t="str">
        <f aca="false">IF(I68="Y",IF(COUNTIF(I$3:I68,"Y")&lt;=20,"pilot",IF(COUNTIF(I$3:I68,"Y")&lt;=40,"dev",IF(COUNTIF(I$3:I68,"Y")&lt;=200,"test","extra"))),"")</f>
        <v/>
      </c>
      <c r="C68" s="7" t="str">
        <f aca="false">IF(I68="Y",IF(COUNTA(K68,M68,O68,Q68,S68,U68,W68,Y68,AA68,AC68,AE68)=11,"done","in progress"),IF(I68="N","excluded",""))</f>
        <v/>
      </c>
      <c r="D68" s="7" t="s">
        <v>266</v>
      </c>
      <c r="E68" s="8" t="s">
        <v>96</v>
      </c>
      <c r="F68" s="9" t="s">
        <v>267</v>
      </c>
      <c r="G68" s="7" t="s">
        <v>268</v>
      </c>
      <c r="H68" s="7"/>
      <c r="I68" s="10"/>
      <c r="J68" s="10"/>
      <c r="K68" s="10"/>
      <c r="L68" s="11"/>
      <c r="M68" s="10"/>
      <c r="N68" s="11"/>
      <c r="O68" s="10"/>
      <c r="P68" s="11"/>
      <c r="Q68" s="10"/>
      <c r="R68" s="11"/>
      <c r="S68" s="10"/>
      <c r="T68" s="11"/>
      <c r="U68" s="10"/>
      <c r="V68" s="11"/>
      <c r="W68" s="10"/>
      <c r="X68" s="11"/>
      <c r="Y68" s="10"/>
      <c r="Z68" s="11"/>
      <c r="AA68" s="10"/>
      <c r="AB68" s="11"/>
      <c r="AC68" s="10"/>
      <c r="AD68" s="11"/>
      <c r="AE68" s="10"/>
      <c r="AF68" s="11"/>
      <c r="AG68" s="11"/>
      <c r="AH68" s="11"/>
      <c r="AI68" s="10"/>
      <c r="AJ68" s="10"/>
    </row>
    <row r="69" customFormat="false" ht="39.55" hidden="false" customHeight="false" outlineLevel="0" collapsed="false">
      <c r="A69" s="7" t="n">
        <v>67</v>
      </c>
      <c r="B69" s="7" t="str">
        <f aca="false">IF(I69="Y",IF(COUNTIF(I$3:I69,"Y")&lt;=20,"pilot",IF(COUNTIF(I$3:I69,"Y")&lt;=40,"dev",IF(COUNTIF(I$3:I69,"Y")&lt;=200,"test","extra"))),"")</f>
        <v/>
      </c>
      <c r="C69" s="7" t="str">
        <f aca="false">IF(I69="Y",IF(COUNTA(K69,M69,O69,Q69,S69,U69,W69,Y69,AA69,AC69,AE69)=11,"done","in progress"),IF(I69="N","excluded",""))</f>
        <v/>
      </c>
      <c r="D69" s="7" t="s">
        <v>269</v>
      </c>
      <c r="E69" s="8" t="s">
        <v>96</v>
      </c>
      <c r="F69" s="9" t="s">
        <v>270</v>
      </c>
      <c r="G69" s="7" t="s">
        <v>271</v>
      </c>
      <c r="H69" s="7"/>
      <c r="I69" s="10"/>
      <c r="J69" s="10"/>
      <c r="K69" s="10"/>
      <c r="L69" s="11"/>
      <c r="M69" s="10"/>
      <c r="N69" s="11"/>
      <c r="O69" s="10"/>
      <c r="P69" s="11"/>
      <c r="Q69" s="10"/>
      <c r="R69" s="11"/>
      <c r="S69" s="10"/>
      <c r="T69" s="11"/>
      <c r="U69" s="10"/>
      <c r="V69" s="11"/>
      <c r="W69" s="10"/>
      <c r="X69" s="11"/>
      <c r="Y69" s="10"/>
      <c r="Z69" s="11"/>
      <c r="AA69" s="10"/>
      <c r="AB69" s="11"/>
      <c r="AC69" s="10"/>
      <c r="AD69" s="11"/>
      <c r="AE69" s="10"/>
      <c r="AF69" s="11"/>
      <c r="AG69" s="11"/>
      <c r="AH69" s="11"/>
      <c r="AI69" s="10"/>
      <c r="AJ69" s="10"/>
    </row>
    <row r="70" customFormat="false" ht="52.2" hidden="false" customHeight="false" outlineLevel="0" collapsed="false">
      <c r="A70" s="7" t="n">
        <v>68</v>
      </c>
      <c r="B70" s="7" t="str">
        <f aca="false">IF(I70="Y",IF(COUNTIF(I$3:I70,"Y")&lt;=20,"pilot",IF(COUNTIF(I$3:I70,"Y")&lt;=40,"dev",IF(COUNTIF(I$3:I70,"Y")&lt;=200,"test","extra"))),"")</f>
        <v/>
      </c>
      <c r="C70" s="7" t="str">
        <f aca="false">IF(I70="Y",IF(COUNTA(K70,M70,O70,Q70,S70,U70,W70,Y70,AA70,AC70,AE70)=11,"done","in progress"),IF(I70="N","excluded",""))</f>
        <v/>
      </c>
      <c r="D70" s="7" t="s">
        <v>272</v>
      </c>
      <c r="E70" s="8" t="s">
        <v>96</v>
      </c>
      <c r="F70" s="9" t="s">
        <v>273</v>
      </c>
      <c r="G70" s="7" t="s">
        <v>212</v>
      </c>
      <c r="H70" s="7"/>
      <c r="I70" s="10"/>
      <c r="J70" s="10"/>
      <c r="K70" s="10"/>
      <c r="L70" s="11"/>
      <c r="M70" s="10"/>
      <c r="N70" s="11"/>
      <c r="O70" s="10"/>
      <c r="P70" s="11"/>
      <c r="Q70" s="10"/>
      <c r="R70" s="11"/>
      <c r="S70" s="10"/>
      <c r="T70" s="11"/>
      <c r="U70" s="10"/>
      <c r="V70" s="11"/>
      <c r="W70" s="10"/>
      <c r="X70" s="11"/>
      <c r="Y70" s="10"/>
      <c r="Z70" s="11"/>
      <c r="AA70" s="10"/>
      <c r="AB70" s="11"/>
      <c r="AC70" s="10"/>
      <c r="AD70" s="11"/>
      <c r="AE70" s="10"/>
      <c r="AF70" s="11"/>
      <c r="AG70" s="11"/>
      <c r="AH70" s="11"/>
      <c r="AI70" s="10"/>
      <c r="AJ70" s="10"/>
    </row>
    <row r="71" customFormat="false" ht="39.55" hidden="false" customHeight="false" outlineLevel="0" collapsed="false">
      <c r="A71" s="7" t="n">
        <v>69</v>
      </c>
      <c r="B71" s="7" t="str">
        <f aca="false">IF(I71="Y",IF(COUNTIF(I$3:I71,"Y")&lt;=20,"pilot",IF(COUNTIF(I$3:I71,"Y")&lt;=40,"dev",IF(COUNTIF(I$3:I71,"Y")&lt;=200,"test","extra"))),"")</f>
        <v/>
      </c>
      <c r="C71" s="7" t="str">
        <f aca="false">IF(I71="Y",IF(COUNTA(K71,M71,O71,Q71,S71,U71,W71,Y71,AA71,AC71,AE71)=11,"done","in progress"),IF(I71="N","excluded",""))</f>
        <v/>
      </c>
      <c r="D71" s="7" t="s">
        <v>274</v>
      </c>
      <c r="E71" s="8" t="s">
        <v>96</v>
      </c>
      <c r="F71" s="9" t="s">
        <v>275</v>
      </c>
      <c r="G71" s="7" t="s">
        <v>116</v>
      </c>
      <c r="H71" s="7"/>
      <c r="I71" s="10"/>
      <c r="J71" s="10"/>
      <c r="K71" s="10"/>
      <c r="L71" s="11"/>
      <c r="M71" s="10"/>
      <c r="N71" s="11"/>
      <c r="O71" s="10"/>
      <c r="P71" s="11"/>
      <c r="Q71" s="10"/>
      <c r="R71" s="11"/>
      <c r="S71" s="10"/>
      <c r="T71" s="11"/>
      <c r="U71" s="10"/>
      <c r="V71" s="11"/>
      <c r="W71" s="10"/>
      <c r="X71" s="11"/>
      <c r="Y71" s="10"/>
      <c r="Z71" s="11"/>
      <c r="AA71" s="10"/>
      <c r="AB71" s="11"/>
      <c r="AC71" s="10"/>
      <c r="AD71" s="11"/>
      <c r="AE71" s="10"/>
      <c r="AF71" s="11"/>
      <c r="AG71" s="11"/>
      <c r="AH71" s="11"/>
      <c r="AI71" s="10"/>
      <c r="AJ71" s="10"/>
    </row>
    <row r="72" customFormat="false" ht="52.2" hidden="false" customHeight="false" outlineLevel="0" collapsed="false">
      <c r="A72" s="7" t="n">
        <v>70</v>
      </c>
      <c r="B72" s="7" t="str">
        <f aca="false">IF(I72="Y",IF(COUNTIF(I$3:I72,"Y")&lt;=20,"pilot",IF(COUNTIF(I$3:I72,"Y")&lt;=40,"dev",IF(COUNTIF(I$3:I72,"Y")&lt;=200,"test","extra"))),"")</f>
        <v/>
      </c>
      <c r="C72" s="7" t="str">
        <f aca="false">IF(I72="Y",IF(COUNTA(K72,M72,O72,Q72,S72,U72,W72,Y72,AA72,AC72,AE72)=11,"done","in progress"),IF(I72="N","excluded",""))</f>
        <v/>
      </c>
      <c r="D72" s="7" t="s">
        <v>276</v>
      </c>
      <c r="E72" s="8" t="s">
        <v>96</v>
      </c>
      <c r="F72" s="9" t="s">
        <v>277</v>
      </c>
      <c r="G72" s="7" t="s">
        <v>278</v>
      </c>
      <c r="H72" s="7"/>
      <c r="I72" s="10"/>
      <c r="J72" s="10"/>
      <c r="K72" s="10"/>
      <c r="L72" s="11"/>
      <c r="M72" s="10"/>
      <c r="N72" s="11"/>
      <c r="O72" s="10"/>
      <c r="P72" s="11"/>
      <c r="Q72" s="10"/>
      <c r="R72" s="11"/>
      <c r="S72" s="10"/>
      <c r="T72" s="11"/>
      <c r="U72" s="10"/>
      <c r="V72" s="11"/>
      <c r="W72" s="10"/>
      <c r="X72" s="11"/>
      <c r="Y72" s="10"/>
      <c r="Z72" s="11"/>
      <c r="AA72" s="10"/>
      <c r="AB72" s="11"/>
      <c r="AC72" s="10"/>
      <c r="AD72" s="11"/>
      <c r="AE72" s="10"/>
      <c r="AF72" s="11"/>
      <c r="AG72" s="11"/>
      <c r="AH72" s="11"/>
      <c r="AI72" s="10"/>
      <c r="AJ72" s="10"/>
    </row>
    <row r="73" customFormat="false" ht="26.85" hidden="false" customHeight="false" outlineLevel="0" collapsed="false">
      <c r="A73" s="7" t="n">
        <v>71</v>
      </c>
      <c r="B73" s="7" t="str">
        <f aca="false">IF(I73="Y",IF(COUNTIF(I$3:I73,"Y")&lt;=20,"pilot",IF(COUNTIF(I$3:I73,"Y")&lt;=40,"dev",IF(COUNTIF(I$3:I73,"Y")&lt;=200,"test","extra"))),"")</f>
        <v/>
      </c>
      <c r="C73" s="7" t="str">
        <f aca="false">IF(I73="Y",IF(COUNTA(K73,M73,O73,Q73,S73,U73,W73,Y73,AA73,AC73,AE73)=11,"done","in progress"),IF(I73="N","excluded",""))</f>
        <v/>
      </c>
      <c r="D73" s="7" t="s">
        <v>279</v>
      </c>
      <c r="E73" s="8" t="s">
        <v>96</v>
      </c>
      <c r="F73" s="9" t="s">
        <v>280</v>
      </c>
      <c r="G73" s="7" t="s">
        <v>206</v>
      </c>
      <c r="H73" s="7"/>
      <c r="I73" s="10"/>
      <c r="J73" s="10"/>
      <c r="K73" s="10"/>
      <c r="L73" s="11"/>
      <c r="M73" s="10"/>
      <c r="N73" s="11"/>
      <c r="O73" s="10"/>
      <c r="P73" s="11"/>
      <c r="Q73" s="10"/>
      <c r="R73" s="11"/>
      <c r="S73" s="10"/>
      <c r="T73" s="11"/>
      <c r="U73" s="10"/>
      <c r="V73" s="11"/>
      <c r="W73" s="10"/>
      <c r="X73" s="11"/>
      <c r="Y73" s="10"/>
      <c r="Z73" s="11"/>
      <c r="AA73" s="10"/>
      <c r="AB73" s="11"/>
      <c r="AC73" s="10"/>
      <c r="AD73" s="11"/>
      <c r="AE73" s="10"/>
      <c r="AF73" s="11"/>
      <c r="AG73" s="11"/>
      <c r="AH73" s="11"/>
      <c r="AI73" s="10"/>
      <c r="AJ73" s="10"/>
    </row>
    <row r="74" customFormat="false" ht="52.2" hidden="false" customHeight="false" outlineLevel="0" collapsed="false">
      <c r="A74" s="7" t="n">
        <v>72</v>
      </c>
      <c r="B74" s="7" t="str">
        <f aca="false">IF(I74="Y",IF(COUNTIF(I$3:I74,"Y")&lt;=20,"pilot",IF(COUNTIF(I$3:I74,"Y")&lt;=40,"dev",IF(COUNTIF(I$3:I74,"Y")&lt;=200,"test","extra"))),"")</f>
        <v/>
      </c>
      <c r="C74" s="7" t="str">
        <f aca="false">IF(I74="Y",IF(COUNTA(K74,M74,O74,Q74,S74,U74,W74,Y74,AA74,AC74,AE74)=11,"done","in progress"),IF(I74="N","excluded",""))</f>
        <v/>
      </c>
      <c r="D74" s="7" t="s">
        <v>281</v>
      </c>
      <c r="E74" s="8" t="s">
        <v>96</v>
      </c>
      <c r="F74" s="9" t="s">
        <v>282</v>
      </c>
      <c r="G74" s="7" t="s">
        <v>125</v>
      </c>
      <c r="H74" s="7"/>
      <c r="I74" s="10"/>
      <c r="J74" s="10"/>
      <c r="K74" s="10"/>
      <c r="L74" s="11"/>
      <c r="M74" s="10"/>
      <c r="N74" s="11"/>
      <c r="O74" s="10"/>
      <c r="P74" s="11"/>
      <c r="Q74" s="10"/>
      <c r="R74" s="11"/>
      <c r="S74" s="10"/>
      <c r="T74" s="11"/>
      <c r="U74" s="10"/>
      <c r="V74" s="11"/>
      <c r="W74" s="10"/>
      <c r="X74" s="11"/>
      <c r="Y74" s="10"/>
      <c r="Z74" s="11"/>
      <c r="AA74" s="10"/>
      <c r="AB74" s="11"/>
      <c r="AC74" s="10"/>
      <c r="AD74" s="11"/>
      <c r="AE74" s="10"/>
      <c r="AF74" s="11"/>
      <c r="AG74" s="11"/>
      <c r="AH74" s="11"/>
      <c r="AI74" s="10"/>
      <c r="AJ74" s="10"/>
    </row>
    <row r="75" customFormat="false" ht="39.55" hidden="false" customHeight="false" outlineLevel="0" collapsed="false">
      <c r="A75" s="7" t="n">
        <v>73</v>
      </c>
      <c r="B75" s="7" t="str">
        <f aca="false">IF(I75="Y",IF(COUNTIF(I$3:I75,"Y")&lt;=20,"pilot",IF(COUNTIF(I$3:I75,"Y")&lt;=40,"dev",IF(COUNTIF(I$3:I75,"Y")&lt;=200,"test","extra"))),"")</f>
        <v/>
      </c>
      <c r="C75" s="7" t="str">
        <f aca="false">IF(I75="Y",IF(COUNTA(K75,M75,O75,Q75,S75,U75,W75,Y75,AA75,AC75,AE75)=11,"done","in progress"),IF(I75="N","excluded",""))</f>
        <v/>
      </c>
      <c r="D75" s="7" t="s">
        <v>283</v>
      </c>
      <c r="E75" s="8" t="s">
        <v>96</v>
      </c>
      <c r="F75" s="9" t="s">
        <v>284</v>
      </c>
      <c r="G75" s="7" t="s">
        <v>133</v>
      </c>
      <c r="H75" s="7"/>
      <c r="I75" s="10"/>
      <c r="J75" s="10"/>
      <c r="K75" s="10"/>
      <c r="L75" s="11"/>
      <c r="M75" s="10"/>
      <c r="N75" s="11"/>
      <c r="O75" s="10"/>
      <c r="P75" s="11"/>
      <c r="Q75" s="10"/>
      <c r="R75" s="11"/>
      <c r="S75" s="10"/>
      <c r="T75" s="11"/>
      <c r="U75" s="10"/>
      <c r="V75" s="11"/>
      <c r="W75" s="10"/>
      <c r="X75" s="11"/>
      <c r="Y75" s="10"/>
      <c r="Z75" s="11"/>
      <c r="AA75" s="10"/>
      <c r="AB75" s="11"/>
      <c r="AC75" s="10"/>
      <c r="AD75" s="11"/>
      <c r="AE75" s="10"/>
      <c r="AF75" s="11"/>
      <c r="AG75" s="11"/>
      <c r="AH75" s="11"/>
      <c r="AI75" s="10"/>
      <c r="AJ75" s="10"/>
    </row>
    <row r="76" customFormat="false" ht="39.55" hidden="false" customHeight="false" outlineLevel="0" collapsed="false">
      <c r="A76" s="7" t="n">
        <v>74</v>
      </c>
      <c r="B76" s="7" t="str">
        <f aca="false">IF(I76="Y",IF(COUNTIF(I$3:I76,"Y")&lt;=20,"pilot",IF(COUNTIF(I$3:I76,"Y")&lt;=40,"dev",IF(COUNTIF(I$3:I76,"Y")&lt;=200,"test","extra"))),"")</f>
        <v/>
      </c>
      <c r="C76" s="7" t="str">
        <f aca="false">IF(I76="Y",IF(COUNTA(K76,M76,O76,Q76,S76,U76,W76,Y76,AA76,AC76,AE76)=11,"done","in progress"),IF(I76="N","excluded",""))</f>
        <v/>
      </c>
      <c r="D76" s="7" t="s">
        <v>285</v>
      </c>
      <c r="E76" s="8" t="s">
        <v>96</v>
      </c>
      <c r="F76" s="9" t="s">
        <v>286</v>
      </c>
      <c r="G76" s="7" t="s">
        <v>287</v>
      </c>
      <c r="H76" s="7"/>
      <c r="I76" s="10"/>
      <c r="J76" s="10"/>
      <c r="K76" s="10"/>
      <c r="L76" s="11"/>
      <c r="M76" s="10"/>
      <c r="N76" s="11"/>
      <c r="O76" s="10"/>
      <c r="P76" s="11"/>
      <c r="Q76" s="10"/>
      <c r="R76" s="11"/>
      <c r="S76" s="10"/>
      <c r="T76" s="11"/>
      <c r="U76" s="10"/>
      <c r="V76" s="11"/>
      <c r="W76" s="10"/>
      <c r="X76" s="11"/>
      <c r="Y76" s="10"/>
      <c r="Z76" s="11"/>
      <c r="AA76" s="10"/>
      <c r="AB76" s="11"/>
      <c r="AC76" s="10"/>
      <c r="AD76" s="11"/>
      <c r="AE76" s="10"/>
      <c r="AF76" s="11"/>
      <c r="AG76" s="11"/>
      <c r="AH76" s="11"/>
      <c r="AI76" s="10"/>
      <c r="AJ76" s="10"/>
    </row>
    <row r="77" customFormat="false" ht="39.55" hidden="false" customHeight="false" outlineLevel="0" collapsed="false">
      <c r="A77" s="7" t="n">
        <v>75</v>
      </c>
      <c r="B77" s="7" t="str">
        <f aca="false">IF(I77="Y",IF(COUNTIF(I$3:I77,"Y")&lt;=20,"pilot",IF(COUNTIF(I$3:I77,"Y")&lt;=40,"dev",IF(COUNTIF(I$3:I77,"Y")&lt;=200,"test","extra"))),"")</f>
        <v/>
      </c>
      <c r="C77" s="7" t="str">
        <f aca="false">IF(I77="Y",IF(COUNTA(K77,M77,O77,Q77,S77,U77,W77,Y77,AA77,AC77,AE77)=11,"done","in progress"),IF(I77="N","excluded",""))</f>
        <v/>
      </c>
      <c r="D77" s="7" t="s">
        <v>288</v>
      </c>
      <c r="E77" s="8" t="s">
        <v>96</v>
      </c>
      <c r="F77" s="9" t="s">
        <v>289</v>
      </c>
      <c r="G77" s="7" t="s">
        <v>171</v>
      </c>
      <c r="H77" s="7"/>
      <c r="I77" s="10"/>
      <c r="J77" s="10"/>
      <c r="K77" s="10"/>
      <c r="L77" s="11"/>
      <c r="M77" s="10"/>
      <c r="N77" s="11"/>
      <c r="O77" s="10"/>
      <c r="P77" s="11"/>
      <c r="Q77" s="10"/>
      <c r="R77" s="11"/>
      <c r="S77" s="10"/>
      <c r="T77" s="11"/>
      <c r="U77" s="10"/>
      <c r="V77" s="11"/>
      <c r="W77" s="10"/>
      <c r="X77" s="11"/>
      <c r="Y77" s="10"/>
      <c r="Z77" s="11"/>
      <c r="AA77" s="10"/>
      <c r="AB77" s="11"/>
      <c r="AC77" s="10"/>
      <c r="AD77" s="11"/>
      <c r="AE77" s="10"/>
      <c r="AF77" s="11"/>
      <c r="AG77" s="11"/>
      <c r="AH77" s="11"/>
      <c r="AI77" s="10"/>
      <c r="AJ77" s="10"/>
    </row>
    <row r="78" customFormat="false" ht="39.55" hidden="false" customHeight="false" outlineLevel="0" collapsed="false">
      <c r="A78" s="7" t="n">
        <v>76</v>
      </c>
      <c r="B78" s="7" t="str">
        <f aca="false">IF(I78="Y",IF(COUNTIF(I$3:I78,"Y")&lt;=20,"pilot",IF(COUNTIF(I$3:I78,"Y")&lt;=40,"dev",IF(COUNTIF(I$3:I78,"Y")&lt;=200,"test","extra"))),"")</f>
        <v/>
      </c>
      <c r="C78" s="7" t="str">
        <f aca="false">IF(I78="Y",IF(COUNTA(K78,M78,O78,Q78,S78,U78,W78,Y78,AA78,AC78,AE78)=11,"done","in progress"),IF(I78="N","excluded",""))</f>
        <v/>
      </c>
      <c r="D78" s="7" t="s">
        <v>290</v>
      </c>
      <c r="E78" s="8" t="s">
        <v>96</v>
      </c>
      <c r="F78" s="9" t="s">
        <v>291</v>
      </c>
      <c r="G78" s="7" t="s">
        <v>176</v>
      </c>
      <c r="H78" s="7"/>
      <c r="I78" s="10"/>
      <c r="J78" s="10"/>
      <c r="K78" s="10"/>
      <c r="L78" s="11"/>
      <c r="M78" s="10"/>
      <c r="N78" s="11"/>
      <c r="O78" s="10"/>
      <c r="P78" s="11"/>
      <c r="Q78" s="10"/>
      <c r="R78" s="11"/>
      <c r="S78" s="10"/>
      <c r="T78" s="11"/>
      <c r="U78" s="10"/>
      <c r="V78" s="11"/>
      <c r="W78" s="10"/>
      <c r="X78" s="11"/>
      <c r="Y78" s="10"/>
      <c r="Z78" s="11"/>
      <c r="AA78" s="10"/>
      <c r="AB78" s="11"/>
      <c r="AC78" s="10"/>
      <c r="AD78" s="11"/>
      <c r="AE78" s="10"/>
      <c r="AF78" s="11"/>
      <c r="AG78" s="11"/>
      <c r="AH78" s="11"/>
      <c r="AI78" s="10"/>
      <c r="AJ78" s="10"/>
    </row>
    <row r="79" customFormat="false" ht="39.55" hidden="false" customHeight="false" outlineLevel="0" collapsed="false">
      <c r="A79" s="7" t="n">
        <v>77</v>
      </c>
      <c r="B79" s="7" t="str">
        <f aca="false">IF(I79="Y",IF(COUNTIF(I$3:I79,"Y")&lt;=20,"pilot",IF(COUNTIF(I$3:I79,"Y")&lt;=40,"dev",IF(COUNTIF(I$3:I79,"Y")&lt;=200,"test","extra"))),"")</f>
        <v/>
      </c>
      <c r="C79" s="7" t="str">
        <f aca="false">IF(I79="Y",IF(COUNTA(K79,M79,O79,Q79,S79,U79,W79,Y79,AA79,AC79,AE79)=11,"done","in progress"),IF(I79="N","excluded",""))</f>
        <v/>
      </c>
      <c r="D79" s="7" t="s">
        <v>292</v>
      </c>
      <c r="E79" s="8" t="s">
        <v>96</v>
      </c>
      <c r="F79" s="9" t="s">
        <v>293</v>
      </c>
      <c r="G79" s="7" t="s">
        <v>107</v>
      </c>
      <c r="H79" s="7"/>
      <c r="I79" s="10"/>
      <c r="J79" s="10"/>
      <c r="K79" s="10"/>
      <c r="L79" s="11"/>
      <c r="M79" s="10"/>
      <c r="N79" s="11"/>
      <c r="O79" s="10"/>
      <c r="P79" s="11"/>
      <c r="Q79" s="10"/>
      <c r="R79" s="11"/>
      <c r="S79" s="10"/>
      <c r="T79" s="11"/>
      <c r="U79" s="10"/>
      <c r="V79" s="11"/>
      <c r="W79" s="10"/>
      <c r="X79" s="11"/>
      <c r="Y79" s="10"/>
      <c r="Z79" s="11"/>
      <c r="AA79" s="10"/>
      <c r="AB79" s="11"/>
      <c r="AC79" s="10"/>
      <c r="AD79" s="11"/>
      <c r="AE79" s="10"/>
      <c r="AF79" s="11"/>
      <c r="AG79" s="11"/>
      <c r="AH79" s="11"/>
      <c r="AI79" s="10"/>
      <c r="AJ79" s="10"/>
    </row>
    <row r="80" customFormat="false" ht="26.85" hidden="false" customHeight="false" outlineLevel="0" collapsed="false">
      <c r="A80" s="7" t="n">
        <v>78</v>
      </c>
      <c r="B80" s="7" t="str">
        <f aca="false">IF(I80="Y",IF(COUNTIF(I$3:I80,"Y")&lt;=20,"pilot",IF(COUNTIF(I$3:I80,"Y")&lt;=40,"dev",IF(COUNTIF(I$3:I80,"Y")&lt;=200,"test","extra"))),"")</f>
        <v/>
      </c>
      <c r="C80" s="7" t="str">
        <f aca="false">IF(I80="Y",IF(COUNTA(K80,M80,O80,Q80,S80,U80,W80,Y80,AA80,AC80,AE80)=11,"done","in progress"),IF(I80="N","excluded",""))</f>
        <v/>
      </c>
      <c r="D80" s="7" t="s">
        <v>294</v>
      </c>
      <c r="E80" s="8" t="s">
        <v>96</v>
      </c>
      <c r="F80" s="9" t="s">
        <v>295</v>
      </c>
      <c r="G80" s="7" t="s">
        <v>296</v>
      </c>
      <c r="H80" s="7"/>
      <c r="I80" s="10"/>
      <c r="J80" s="10"/>
      <c r="K80" s="10"/>
      <c r="L80" s="11"/>
      <c r="M80" s="10"/>
      <c r="N80" s="11"/>
      <c r="O80" s="10"/>
      <c r="P80" s="11"/>
      <c r="Q80" s="10"/>
      <c r="R80" s="11"/>
      <c r="S80" s="10"/>
      <c r="T80" s="11"/>
      <c r="U80" s="10"/>
      <c r="V80" s="11"/>
      <c r="W80" s="10"/>
      <c r="X80" s="11"/>
      <c r="Y80" s="10"/>
      <c r="Z80" s="11"/>
      <c r="AA80" s="10"/>
      <c r="AB80" s="11"/>
      <c r="AC80" s="10"/>
      <c r="AD80" s="11"/>
      <c r="AE80" s="10"/>
      <c r="AF80" s="11"/>
      <c r="AG80" s="11"/>
      <c r="AH80" s="11"/>
      <c r="AI80" s="10"/>
      <c r="AJ80" s="10"/>
    </row>
    <row r="81" customFormat="false" ht="39.55" hidden="false" customHeight="false" outlineLevel="0" collapsed="false">
      <c r="A81" s="7" t="n">
        <v>79</v>
      </c>
      <c r="B81" s="7" t="str">
        <f aca="false">IF(I81="Y",IF(COUNTIF(I$3:I81,"Y")&lt;=20,"pilot",IF(COUNTIF(I$3:I81,"Y")&lt;=40,"dev",IF(COUNTIF(I$3:I81,"Y")&lt;=200,"test","extra"))),"")</f>
        <v/>
      </c>
      <c r="C81" s="7" t="str">
        <f aca="false">IF(I81="Y",IF(COUNTA(K81,M81,O81,Q81,S81,U81,W81,Y81,AA81,AC81,AE81)=11,"done","in progress"),IF(I81="N","excluded",""))</f>
        <v/>
      </c>
      <c r="D81" s="7" t="s">
        <v>297</v>
      </c>
      <c r="E81" s="8" t="s">
        <v>96</v>
      </c>
      <c r="F81" s="9" t="s">
        <v>298</v>
      </c>
      <c r="G81" s="7" t="s">
        <v>299</v>
      </c>
      <c r="H81" s="7"/>
      <c r="I81" s="10"/>
      <c r="J81" s="10"/>
      <c r="K81" s="10"/>
      <c r="L81" s="11"/>
      <c r="M81" s="10"/>
      <c r="N81" s="11"/>
      <c r="O81" s="10"/>
      <c r="P81" s="11"/>
      <c r="Q81" s="10"/>
      <c r="R81" s="11"/>
      <c r="S81" s="10"/>
      <c r="T81" s="11"/>
      <c r="U81" s="10"/>
      <c r="V81" s="11"/>
      <c r="W81" s="10"/>
      <c r="X81" s="11"/>
      <c r="Y81" s="10"/>
      <c r="Z81" s="11"/>
      <c r="AA81" s="10"/>
      <c r="AB81" s="11"/>
      <c r="AC81" s="10"/>
      <c r="AD81" s="11"/>
      <c r="AE81" s="10"/>
      <c r="AF81" s="11"/>
      <c r="AG81" s="11"/>
      <c r="AH81" s="11"/>
      <c r="AI81" s="10"/>
      <c r="AJ81" s="10"/>
    </row>
    <row r="82" customFormat="false" ht="39.55" hidden="false" customHeight="false" outlineLevel="0" collapsed="false">
      <c r="A82" s="7" t="n">
        <v>80</v>
      </c>
      <c r="B82" s="7" t="str">
        <f aca="false">IF(I82="Y",IF(COUNTIF(I$3:I82,"Y")&lt;=20,"pilot",IF(COUNTIF(I$3:I82,"Y")&lt;=40,"dev",IF(COUNTIF(I$3:I82,"Y")&lt;=200,"test","extra"))),"")</f>
        <v/>
      </c>
      <c r="C82" s="7" t="str">
        <f aca="false">IF(I82="Y",IF(COUNTA(K82,M82,O82,Q82,S82,U82,W82,Y82,AA82,AC82,AE82)=11,"done","in progress"),IF(I82="N","excluded",""))</f>
        <v/>
      </c>
      <c r="D82" s="7" t="s">
        <v>300</v>
      </c>
      <c r="E82" s="8" t="s">
        <v>96</v>
      </c>
      <c r="F82" s="9" t="s">
        <v>301</v>
      </c>
      <c r="G82" s="7" t="s">
        <v>302</v>
      </c>
      <c r="H82" s="7"/>
      <c r="I82" s="10"/>
      <c r="J82" s="10"/>
      <c r="K82" s="10"/>
      <c r="L82" s="11"/>
      <c r="M82" s="10"/>
      <c r="N82" s="11"/>
      <c r="O82" s="10"/>
      <c r="P82" s="11"/>
      <c r="Q82" s="10"/>
      <c r="R82" s="11"/>
      <c r="S82" s="10"/>
      <c r="T82" s="11"/>
      <c r="U82" s="10"/>
      <c r="V82" s="11"/>
      <c r="W82" s="10"/>
      <c r="X82" s="11"/>
      <c r="Y82" s="10"/>
      <c r="Z82" s="11"/>
      <c r="AA82" s="10"/>
      <c r="AB82" s="11"/>
      <c r="AC82" s="10"/>
      <c r="AD82" s="11"/>
      <c r="AE82" s="10"/>
      <c r="AF82" s="11"/>
      <c r="AG82" s="11"/>
      <c r="AH82" s="11"/>
      <c r="AI82" s="10"/>
      <c r="AJ82" s="10"/>
    </row>
    <row r="83" customFormat="false" ht="39.55" hidden="false" customHeight="false" outlineLevel="0" collapsed="false">
      <c r="A83" s="7" t="n">
        <v>81</v>
      </c>
      <c r="B83" s="7" t="str">
        <f aca="false">IF(I83="Y",IF(COUNTIF(I$3:I83,"Y")&lt;=20,"pilot",IF(COUNTIF(I$3:I83,"Y")&lt;=40,"dev",IF(COUNTIF(I$3:I83,"Y")&lt;=200,"test","extra"))),"")</f>
        <v/>
      </c>
      <c r="C83" s="7" t="str">
        <f aca="false">IF(I83="Y",IF(COUNTA(K83,M83,O83,Q83,S83,U83,W83,Y83,AA83,AC83,AE83)=11,"done","in progress"),IF(I83="N","excluded",""))</f>
        <v/>
      </c>
      <c r="D83" s="7" t="s">
        <v>303</v>
      </c>
      <c r="E83" s="8" t="s">
        <v>96</v>
      </c>
      <c r="F83" s="9" t="s">
        <v>304</v>
      </c>
      <c r="G83" s="7" t="s">
        <v>305</v>
      </c>
      <c r="H83" s="7" t="s">
        <v>193</v>
      </c>
      <c r="I83" s="10"/>
      <c r="J83" s="10"/>
      <c r="K83" s="10"/>
      <c r="L83" s="11"/>
      <c r="M83" s="10"/>
      <c r="N83" s="11"/>
      <c r="O83" s="10"/>
      <c r="P83" s="11"/>
      <c r="Q83" s="10"/>
      <c r="R83" s="11"/>
      <c r="S83" s="10"/>
      <c r="T83" s="11"/>
      <c r="U83" s="10"/>
      <c r="V83" s="11"/>
      <c r="W83" s="10"/>
      <c r="X83" s="11"/>
      <c r="Y83" s="10"/>
      <c r="Z83" s="11"/>
      <c r="AA83" s="10"/>
      <c r="AB83" s="11"/>
      <c r="AC83" s="10"/>
      <c r="AD83" s="11"/>
      <c r="AE83" s="10"/>
      <c r="AF83" s="11"/>
      <c r="AG83" s="11"/>
      <c r="AH83" s="11"/>
      <c r="AI83" s="10"/>
      <c r="AJ83" s="10"/>
    </row>
    <row r="84" customFormat="false" ht="39.55" hidden="false" customHeight="false" outlineLevel="0" collapsed="false">
      <c r="A84" s="7" t="n">
        <v>82</v>
      </c>
      <c r="B84" s="7" t="str">
        <f aca="false">IF(I84="Y",IF(COUNTIF(I$3:I84,"Y")&lt;=20,"pilot",IF(COUNTIF(I$3:I84,"Y")&lt;=40,"dev",IF(COUNTIF(I$3:I84,"Y")&lt;=200,"test","extra"))),"")</f>
        <v/>
      </c>
      <c r="C84" s="7" t="str">
        <f aca="false">IF(I84="Y",IF(COUNTA(K84,M84,O84,Q84,S84,U84,W84,Y84,AA84,AC84,AE84)=11,"done","in progress"),IF(I84="N","excluded",""))</f>
        <v/>
      </c>
      <c r="D84" s="7" t="s">
        <v>306</v>
      </c>
      <c r="E84" s="8" t="s">
        <v>96</v>
      </c>
      <c r="F84" s="9" t="s">
        <v>307</v>
      </c>
      <c r="G84" s="7" t="s">
        <v>125</v>
      </c>
      <c r="H84" s="7"/>
      <c r="I84" s="10"/>
      <c r="J84" s="10"/>
      <c r="K84" s="10"/>
      <c r="L84" s="11"/>
      <c r="M84" s="10"/>
      <c r="N84" s="11"/>
      <c r="O84" s="10"/>
      <c r="P84" s="11"/>
      <c r="Q84" s="10"/>
      <c r="R84" s="11"/>
      <c r="S84" s="10"/>
      <c r="T84" s="11"/>
      <c r="U84" s="10"/>
      <c r="V84" s="11"/>
      <c r="W84" s="10"/>
      <c r="X84" s="11"/>
      <c r="Y84" s="10"/>
      <c r="Z84" s="11"/>
      <c r="AA84" s="10"/>
      <c r="AB84" s="11"/>
      <c r="AC84" s="10"/>
      <c r="AD84" s="11"/>
      <c r="AE84" s="10"/>
      <c r="AF84" s="11"/>
      <c r="AG84" s="11"/>
      <c r="AH84" s="11"/>
      <c r="AI84" s="10"/>
      <c r="AJ84" s="10"/>
    </row>
    <row r="85" customFormat="false" ht="39.55" hidden="false" customHeight="false" outlineLevel="0" collapsed="false">
      <c r="A85" s="7" t="n">
        <v>83</v>
      </c>
      <c r="B85" s="7" t="str">
        <f aca="false">IF(I85="Y",IF(COUNTIF(I$3:I85,"Y")&lt;=20,"pilot",IF(COUNTIF(I$3:I85,"Y")&lt;=40,"dev",IF(COUNTIF(I$3:I85,"Y")&lt;=200,"test","extra"))),"")</f>
        <v/>
      </c>
      <c r="C85" s="7" t="str">
        <f aca="false">IF(I85="Y",IF(COUNTA(K85,M85,O85,Q85,S85,U85,W85,Y85,AA85,AC85,AE85)=11,"done","in progress"),IF(I85="N","excluded",""))</f>
        <v/>
      </c>
      <c r="D85" s="7" t="s">
        <v>308</v>
      </c>
      <c r="E85" s="8" t="s">
        <v>96</v>
      </c>
      <c r="F85" s="9" t="s">
        <v>309</v>
      </c>
      <c r="G85" s="7" t="s">
        <v>98</v>
      </c>
      <c r="H85" s="7"/>
      <c r="I85" s="10"/>
      <c r="J85" s="10"/>
      <c r="K85" s="10"/>
      <c r="L85" s="11"/>
      <c r="M85" s="10"/>
      <c r="N85" s="11"/>
      <c r="O85" s="10"/>
      <c r="P85" s="11"/>
      <c r="Q85" s="10"/>
      <c r="R85" s="11"/>
      <c r="S85" s="10"/>
      <c r="T85" s="11"/>
      <c r="U85" s="10"/>
      <c r="V85" s="11"/>
      <c r="W85" s="10"/>
      <c r="X85" s="11"/>
      <c r="Y85" s="10"/>
      <c r="Z85" s="11"/>
      <c r="AA85" s="10"/>
      <c r="AB85" s="11"/>
      <c r="AC85" s="10"/>
      <c r="AD85" s="11"/>
      <c r="AE85" s="10"/>
      <c r="AF85" s="11"/>
      <c r="AG85" s="11"/>
      <c r="AH85" s="11"/>
      <c r="AI85" s="10"/>
      <c r="AJ85" s="10"/>
    </row>
    <row r="86" customFormat="false" ht="26.85" hidden="false" customHeight="false" outlineLevel="0" collapsed="false">
      <c r="A86" s="7" t="n">
        <v>84</v>
      </c>
      <c r="B86" s="7" t="str">
        <f aca="false">IF(I86="Y",IF(COUNTIF(I$3:I86,"Y")&lt;=20,"pilot",IF(COUNTIF(I$3:I86,"Y")&lt;=40,"dev",IF(COUNTIF(I$3:I86,"Y")&lt;=200,"test","extra"))),"")</f>
        <v/>
      </c>
      <c r="C86" s="7" t="str">
        <f aca="false">IF(I86="Y",IF(COUNTA(K86,M86,O86,Q86,S86,U86,W86,Y86,AA86,AC86,AE86)=11,"done","in progress"),IF(I86="N","excluded",""))</f>
        <v/>
      </c>
      <c r="D86" s="7" t="s">
        <v>310</v>
      </c>
      <c r="E86" s="8" t="s">
        <v>96</v>
      </c>
      <c r="F86" s="9" t="s">
        <v>311</v>
      </c>
      <c r="G86" s="7" t="s">
        <v>133</v>
      </c>
      <c r="H86" s="7"/>
      <c r="I86" s="10"/>
      <c r="J86" s="10"/>
      <c r="K86" s="10"/>
      <c r="L86" s="11"/>
      <c r="M86" s="10"/>
      <c r="N86" s="11"/>
      <c r="O86" s="10"/>
      <c r="P86" s="11"/>
      <c r="Q86" s="10"/>
      <c r="R86" s="11"/>
      <c r="S86" s="10"/>
      <c r="T86" s="11"/>
      <c r="U86" s="10"/>
      <c r="V86" s="11"/>
      <c r="W86" s="10"/>
      <c r="X86" s="11"/>
      <c r="Y86" s="10"/>
      <c r="Z86" s="11"/>
      <c r="AA86" s="10"/>
      <c r="AB86" s="11"/>
      <c r="AC86" s="10"/>
      <c r="AD86" s="11"/>
      <c r="AE86" s="10"/>
      <c r="AF86" s="11"/>
      <c r="AG86" s="11"/>
      <c r="AH86" s="11"/>
      <c r="AI86" s="10"/>
      <c r="AJ86" s="10"/>
    </row>
    <row r="87" customFormat="false" ht="52.2" hidden="false" customHeight="false" outlineLevel="0" collapsed="false">
      <c r="A87" s="7" t="n">
        <v>85</v>
      </c>
      <c r="B87" s="7" t="str">
        <f aca="false">IF(I87="Y",IF(COUNTIF(I$3:I87,"Y")&lt;=20,"pilot",IF(COUNTIF(I$3:I87,"Y")&lt;=40,"dev",IF(COUNTIF(I$3:I87,"Y")&lt;=200,"test","extra"))),"")</f>
        <v/>
      </c>
      <c r="C87" s="7" t="str">
        <f aca="false">IF(I87="Y",IF(COUNTA(K87,M87,O87,Q87,S87,U87,W87,Y87,AA87,AC87,AE87)=11,"done","in progress"),IF(I87="N","excluded",""))</f>
        <v/>
      </c>
      <c r="D87" s="7" t="s">
        <v>312</v>
      </c>
      <c r="E87" s="8" t="s">
        <v>96</v>
      </c>
      <c r="F87" s="9" t="s">
        <v>313</v>
      </c>
      <c r="G87" s="7" t="s">
        <v>314</v>
      </c>
      <c r="H87" s="7"/>
      <c r="I87" s="10"/>
      <c r="J87" s="10"/>
      <c r="K87" s="10"/>
      <c r="L87" s="11"/>
      <c r="M87" s="10"/>
      <c r="N87" s="11"/>
      <c r="O87" s="10"/>
      <c r="P87" s="11"/>
      <c r="Q87" s="10"/>
      <c r="R87" s="11"/>
      <c r="S87" s="10"/>
      <c r="T87" s="11"/>
      <c r="U87" s="10"/>
      <c r="V87" s="11"/>
      <c r="W87" s="10"/>
      <c r="X87" s="11"/>
      <c r="Y87" s="10"/>
      <c r="Z87" s="11"/>
      <c r="AA87" s="10"/>
      <c r="AB87" s="11"/>
      <c r="AC87" s="10"/>
      <c r="AD87" s="11"/>
      <c r="AE87" s="10"/>
      <c r="AF87" s="11"/>
      <c r="AG87" s="11"/>
      <c r="AH87" s="11"/>
      <c r="AI87" s="10"/>
      <c r="AJ87" s="10"/>
    </row>
    <row r="88" customFormat="false" ht="39.55" hidden="false" customHeight="false" outlineLevel="0" collapsed="false">
      <c r="A88" s="7" t="n">
        <v>86</v>
      </c>
      <c r="B88" s="7" t="str">
        <f aca="false">IF(I88="Y",IF(COUNTIF(I$3:I88,"Y")&lt;=20,"pilot",IF(COUNTIF(I$3:I88,"Y")&lt;=40,"dev",IF(COUNTIF(I$3:I88,"Y")&lt;=200,"test","extra"))),"")</f>
        <v/>
      </c>
      <c r="C88" s="7" t="str">
        <f aca="false">IF(I88="Y",IF(COUNTA(K88,M88,O88,Q88,S88,U88,W88,Y88,AA88,AC88,AE88)=11,"done","in progress"),IF(I88="N","excluded",""))</f>
        <v/>
      </c>
      <c r="D88" s="7" t="s">
        <v>315</v>
      </c>
      <c r="E88" s="8" t="s">
        <v>96</v>
      </c>
      <c r="F88" s="9" t="s">
        <v>316</v>
      </c>
      <c r="G88" s="7" t="s">
        <v>317</v>
      </c>
      <c r="H88" s="7"/>
      <c r="I88" s="10"/>
      <c r="J88" s="10"/>
      <c r="K88" s="10"/>
      <c r="L88" s="11"/>
      <c r="M88" s="10"/>
      <c r="N88" s="11"/>
      <c r="O88" s="10"/>
      <c r="P88" s="11"/>
      <c r="Q88" s="10"/>
      <c r="R88" s="11"/>
      <c r="S88" s="10"/>
      <c r="T88" s="11"/>
      <c r="U88" s="10"/>
      <c r="V88" s="11"/>
      <c r="W88" s="10"/>
      <c r="X88" s="11"/>
      <c r="Y88" s="10"/>
      <c r="Z88" s="11"/>
      <c r="AA88" s="10"/>
      <c r="AB88" s="11"/>
      <c r="AC88" s="10"/>
      <c r="AD88" s="11"/>
      <c r="AE88" s="10"/>
      <c r="AF88" s="11"/>
      <c r="AG88" s="11"/>
      <c r="AH88" s="11"/>
      <c r="AI88" s="10"/>
      <c r="AJ88" s="10"/>
    </row>
    <row r="89" customFormat="false" ht="39.55" hidden="false" customHeight="false" outlineLevel="0" collapsed="false">
      <c r="A89" s="7" t="n">
        <v>87</v>
      </c>
      <c r="B89" s="7" t="str">
        <f aca="false">IF(I89="Y",IF(COUNTIF(I$3:I89,"Y")&lt;=20,"pilot",IF(COUNTIF(I$3:I89,"Y")&lt;=40,"dev",IF(COUNTIF(I$3:I89,"Y")&lt;=200,"test","extra"))),"")</f>
        <v/>
      </c>
      <c r="C89" s="7" t="str">
        <f aca="false">IF(I89="Y",IF(COUNTA(K89,M89,O89,Q89,S89,U89,W89,Y89,AA89,AC89,AE89)=11,"done","in progress"),IF(I89="N","excluded",""))</f>
        <v/>
      </c>
      <c r="D89" s="7" t="s">
        <v>318</v>
      </c>
      <c r="E89" s="8" t="s">
        <v>96</v>
      </c>
      <c r="F89" s="9" t="s">
        <v>319</v>
      </c>
      <c r="G89" s="7" t="s">
        <v>104</v>
      </c>
      <c r="H89" s="7"/>
      <c r="I89" s="10"/>
      <c r="J89" s="10"/>
      <c r="K89" s="10"/>
      <c r="L89" s="11"/>
      <c r="M89" s="10"/>
      <c r="N89" s="11"/>
      <c r="O89" s="10"/>
      <c r="P89" s="11"/>
      <c r="Q89" s="10"/>
      <c r="R89" s="11"/>
      <c r="S89" s="10"/>
      <c r="T89" s="11"/>
      <c r="U89" s="10"/>
      <c r="V89" s="11"/>
      <c r="W89" s="10"/>
      <c r="X89" s="11"/>
      <c r="Y89" s="10"/>
      <c r="Z89" s="11"/>
      <c r="AA89" s="10"/>
      <c r="AB89" s="11"/>
      <c r="AC89" s="10"/>
      <c r="AD89" s="11"/>
      <c r="AE89" s="10"/>
      <c r="AF89" s="11"/>
      <c r="AG89" s="11"/>
      <c r="AH89" s="11"/>
      <c r="AI89" s="10"/>
      <c r="AJ89" s="10"/>
    </row>
    <row r="90" customFormat="false" ht="39.55" hidden="false" customHeight="false" outlineLevel="0" collapsed="false">
      <c r="A90" s="7" t="n">
        <v>88</v>
      </c>
      <c r="B90" s="7" t="str">
        <f aca="false">IF(I90="Y",IF(COUNTIF(I$3:I90,"Y")&lt;=20,"pilot",IF(COUNTIF(I$3:I90,"Y")&lt;=40,"dev",IF(COUNTIF(I$3:I90,"Y")&lt;=200,"test","extra"))),"")</f>
        <v/>
      </c>
      <c r="C90" s="7" t="str">
        <f aca="false">IF(I90="Y",IF(COUNTA(K90,M90,O90,Q90,S90,U90,W90,Y90,AA90,AC90,AE90)=11,"done","in progress"),IF(I90="N","excluded",""))</f>
        <v/>
      </c>
      <c r="D90" s="7" t="s">
        <v>320</v>
      </c>
      <c r="E90" s="8" t="s">
        <v>96</v>
      </c>
      <c r="F90" s="9" t="s">
        <v>321</v>
      </c>
      <c r="G90" s="7" t="s">
        <v>154</v>
      </c>
      <c r="H90" s="7"/>
      <c r="I90" s="10"/>
      <c r="J90" s="10"/>
      <c r="K90" s="10"/>
      <c r="L90" s="11"/>
      <c r="M90" s="10"/>
      <c r="N90" s="11"/>
      <c r="O90" s="10"/>
      <c r="P90" s="11"/>
      <c r="Q90" s="10"/>
      <c r="R90" s="11"/>
      <c r="S90" s="10"/>
      <c r="T90" s="11"/>
      <c r="U90" s="10"/>
      <c r="V90" s="11"/>
      <c r="W90" s="10"/>
      <c r="X90" s="11"/>
      <c r="Y90" s="10"/>
      <c r="Z90" s="11"/>
      <c r="AA90" s="10"/>
      <c r="AB90" s="11"/>
      <c r="AC90" s="10"/>
      <c r="AD90" s="11"/>
      <c r="AE90" s="10"/>
      <c r="AF90" s="11"/>
      <c r="AG90" s="11"/>
      <c r="AH90" s="11"/>
      <c r="AI90" s="10"/>
      <c r="AJ90" s="10"/>
    </row>
    <row r="91" customFormat="false" ht="52.2" hidden="false" customHeight="false" outlineLevel="0" collapsed="false">
      <c r="A91" s="7" t="n">
        <v>89</v>
      </c>
      <c r="B91" s="7" t="str">
        <f aca="false">IF(I91="Y",IF(COUNTIF(I$3:I91,"Y")&lt;=20,"pilot",IF(COUNTIF(I$3:I91,"Y")&lt;=40,"dev",IF(COUNTIF(I$3:I91,"Y")&lt;=200,"test","extra"))),"")</f>
        <v/>
      </c>
      <c r="C91" s="7" t="str">
        <f aca="false">IF(I91="Y",IF(COUNTA(K91,M91,O91,Q91,S91,U91,W91,Y91,AA91,AC91,AE91)=11,"done","in progress"),IF(I91="N","excluded",""))</f>
        <v/>
      </c>
      <c r="D91" s="7" t="s">
        <v>322</v>
      </c>
      <c r="E91" s="8" t="s">
        <v>96</v>
      </c>
      <c r="F91" s="9" t="s">
        <v>323</v>
      </c>
      <c r="G91" s="7" t="s">
        <v>116</v>
      </c>
      <c r="H91" s="7" t="s">
        <v>193</v>
      </c>
      <c r="I91" s="10"/>
      <c r="J91" s="10"/>
      <c r="K91" s="10"/>
      <c r="L91" s="11"/>
      <c r="M91" s="10"/>
      <c r="N91" s="11"/>
      <c r="O91" s="10"/>
      <c r="P91" s="11"/>
      <c r="Q91" s="10"/>
      <c r="R91" s="11"/>
      <c r="S91" s="10"/>
      <c r="T91" s="11"/>
      <c r="U91" s="10"/>
      <c r="V91" s="11"/>
      <c r="W91" s="10"/>
      <c r="X91" s="11"/>
      <c r="Y91" s="10"/>
      <c r="Z91" s="11"/>
      <c r="AA91" s="10"/>
      <c r="AB91" s="11"/>
      <c r="AC91" s="10"/>
      <c r="AD91" s="11"/>
      <c r="AE91" s="10"/>
      <c r="AF91" s="11"/>
      <c r="AG91" s="11"/>
      <c r="AH91" s="11"/>
      <c r="AI91" s="10"/>
      <c r="AJ91" s="10"/>
    </row>
    <row r="92" customFormat="false" ht="39.55" hidden="false" customHeight="false" outlineLevel="0" collapsed="false">
      <c r="A92" s="7" t="n">
        <v>90</v>
      </c>
      <c r="B92" s="7" t="str">
        <f aca="false">IF(I92="Y",IF(COUNTIF(I$3:I92,"Y")&lt;=20,"pilot",IF(COUNTIF(I$3:I92,"Y")&lt;=40,"dev",IF(COUNTIF(I$3:I92,"Y")&lt;=200,"test","extra"))),"")</f>
        <v/>
      </c>
      <c r="C92" s="7" t="str">
        <f aca="false">IF(I92="Y",IF(COUNTA(K92,M92,O92,Q92,S92,U92,W92,Y92,AA92,AC92,AE92)=11,"done","in progress"),IF(I92="N","excluded",""))</f>
        <v/>
      </c>
      <c r="D92" s="7" t="s">
        <v>324</v>
      </c>
      <c r="E92" s="8" t="s">
        <v>96</v>
      </c>
      <c r="F92" s="9" t="s">
        <v>325</v>
      </c>
      <c r="G92" s="7" t="s">
        <v>326</v>
      </c>
      <c r="H92" s="7"/>
      <c r="I92" s="10"/>
      <c r="J92" s="10"/>
      <c r="K92" s="10"/>
      <c r="L92" s="11"/>
      <c r="M92" s="10"/>
      <c r="N92" s="11"/>
      <c r="O92" s="10"/>
      <c r="P92" s="11"/>
      <c r="Q92" s="10"/>
      <c r="R92" s="11"/>
      <c r="S92" s="10"/>
      <c r="T92" s="11"/>
      <c r="U92" s="10"/>
      <c r="V92" s="11"/>
      <c r="W92" s="10"/>
      <c r="X92" s="11"/>
      <c r="Y92" s="10"/>
      <c r="Z92" s="11"/>
      <c r="AA92" s="10"/>
      <c r="AB92" s="11"/>
      <c r="AC92" s="10"/>
      <c r="AD92" s="11"/>
      <c r="AE92" s="10"/>
      <c r="AF92" s="11"/>
      <c r="AG92" s="11"/>
      <c r="AH92" s="11"/>
      <c r="AI92" s="10"/>
      <c r="AJ92" s="10"/>
    </row>
    <row r="93" customFormat="false" ht="39.55" hidden="false" customHeight="false" outlineLevel="0" collapsed="false">
      <c r="A93" s="7" t="n">
        <v>91</v>
      </c>
      <c r="B93" s="7" t="str">
        <f aca="false">IF(I93="Y",IF(COUNTIF(I$3:I93,"Y")&lt;=20,"pilot",IF(COUNTIF(I$3:I93,"Y")&lt;=40,"dev",IF(COUNTIF(I$3:I93,"Y")&lt;=200,"test","extra"))),"")</f>
        <v/>
      </c>
      <c r="C93" s="7" t="str">
        <f aca="false">IF(I93="Y",IF(COUNTA(K93,M93,O93,Q93,S93,U93,W93,Y93,AA93,AC93,AE93)=11,"done","in progress"),IF(I93="N","excluded",""))</f>
        <v/>
      </c>
      <c r="D93" s="7" t="s">
        <v>327</v>
      </c>
      <c r="E93" s="8" t="s">
        <v>96</v>
      </c>
      <c r="F93" s="9" t="s">
        <v>328</v>
      </c>
      <c r="G93" s="7" t="s">
        <v>125</v>
      </c>
      <c r="H93" s="7"/>
      <c r="I93" s="10"/>
      <c r="J93" s="10"/>
      <c r="K93" s="10"/>
      <c r="L93" s="11"/>
      <c r="M93" s="10"/>
      <c r="N93" s="11"/>
      <c r="O93" s="10"/>
      <c r="P93" s="11"/>
      <c r="Q93" s="10"/>
      <c r="R93" s="11"/>
      <c r="S93" s="10"/>
      <c r="T93" s="11"/>
      <c r="U93" s="10"/>
      <c r="V93" s="11"/>
      <c r="W93" s="10"/>
      <c r="X93" s="11"/>
      <c r="Y93" s="10"/>
      <c r="Z93" s="11"/>
      <c r="AA93" s="10"/>
      <c r="AB93" s="11"/>
      <c r="AC93" s="10"/>
      <c r="AD93" s="11"/>
      <c r="AE93" s="10"/>
      <c r="AF93" s="11"/>
      <c r="AG93" s="11"/>
      <c r="AH93" s="11"/>
      <c r="AI93" s="10"/>
      <c r="AJ93" s="10"/>
    </row>
    <row r="94" customFormat="false" ht="52.2" hidden="false" customHeight="false" outlineLevel="0" collapsed="false">
      <c r="A94" s="7" t="n">
        <v>92</v>
      </c>
      <c r="B94" s="7" t="str">
        <f aca="false">IF(I94="Y",IF(COUNTIF(I$3:I94,"Y")&lt;=20,"pilot",IF(COUNTIF(I$3:I94,"Y")&lt;=40,"dev",IF(COUNTIF(I$3:I94,"Y")&lt;=200,"test","extra"))),"")</f>
        <v/>
      </c>
      <c r="C94" s="7" t="str">
        <f aca="false">IF(I94="Y",IF(COUNTA(K94,M94,O94,Q94,S94,U94,W94,Y94,AA94,AC94,AE94)=11,"done","in progress"),IF(I94="N","excluded",""))</f>
        <v/>
      </c>
      <c r="D94" s="7" t="s">
        <v>329</v>
      </c>
      <c r="E94" s="8" t="s">
        <v>96</v>
      </c>
      <c r="F94" s="9" t="s">
        <v>330</v>
      </c>
      <c r="G94" s="7" t="s">
        <v>246</v>
      </c>
      <c r="H94" s="7"/>
      <c r="I94" s="10"/>
      <c r="J94" s="10"/>
      <c r="K94" s="10"/>
      <c r="L94" s="11"/>
      <c r="M94" s="10"/>
      <c r="N94" s="11"/>
      <c r="O94" s="10"/>
      <c r="P94" s="11"/>
      <c r="Q94" s="10"/>
      <c r="R94" s="11"/>
      <c r="S94" s="10"/>
      <c r="T94" s="11"/>
      <c r="U94" s="10"/>
      <c r="V94" s="11"/>
      <c r="W94" s="10"/>
      <c r="X94" s="11"/>
      <c r="Y94" s="10"/>
      <c r="Z94" s="11"/>
      <c r="AA94" s="10"/>
      <c r="AB94" s="11"/>
      <c r="AC94" s="10"/>
      <c r="AD94" s="11"/>
      <c r="AE94" s="10"/>
      <c r="AF94" s="11"/>
      <c r="AG94" s="11"/>
      <c r="AH94" s="11"/>
      <c r="AI94" s="10"/>
      <c r="AJ94" s="10"/>
    </row>
    <row r="95" customFormat="false" ht="52.2" hidden="false" customHeight="false" outlineLevel="0" collapsed="false">
      <c r="A95" s="7" t="n">
        <v>93</v>
      </c>
      <c r="B95" s="7" t="str">
        <f aca="false">IF(I95="Y",IF(COUNTIF(I$3:I95,"Y")&lt;=20,"pilot",IF(COUNTIF(I$3:I95,"Y")&lt;=40,"dev",IF(COUNTIF(I$3:I95,"Y")&lt;=200,"test","extra"))),"")</f>
        <v/>
      </c>
      <c r="C95" s="7" t="str">
        <f aca="false">IF(I95="Y",IF(COUNTA(K95,M95,O95,Q95,S95,U95,W95,Y95,AA95,AC95,AE95)=11,"done","in progress"),IF(I95="N","excluded",""))</f>
        <v/>
      </c>
      <c r="D95" s="7" t="s">
        <v>331</v>
      </c>
      <c r="E95" s="8" t="s">
        <v>96</v>
      </c>
      <c r="F95" s="9" t="s">
        <v>332</v>
      </c>
      <c r="G95" s="7" t="s">
        <v>333</v>
      </c>
      <c r="H95" s="7"/>
      <c r="I95" s="10"/>
      <c r="J95" s="10"/>
      <c r="K95" s="10"/>
      <c r="L95" s="11"/>
      <c r="M95" s="10"/>
      <c r="N95" s="11"/>
      <c r="O95" s="10"/>
      <c r="P95" s="11"/>
      <c r="Q95" s="10"/>
      <c r="R95" s="11"/>
      <c r="S95" s="10"/>
      <c r="T95" s="11"/>
      <c r="U95" s="10"/>
      <c r="V95" s="11"/>
      <c r="W95" s="10"/>
      <c r="X95" s="11"/>
      <c r="Y95" s="10"/>
      <c r="Z95" s="11"/>
      <c r="AA95" s="10"/>
      <c r="AB95" s="11"/>
      <c r="AC95" s="10"/>
      <c r="AD95" s="11"/>
      <c r="AE95" s="10"/>
      <c r="AF95" s="11"/>
      <c r="AG95" s="11"/>
      <c r="AH95" s="11"/>
      <c r="AI95" s="10"/>
      <c r="AJ95" s="10"/>
    </row>
    <row r="96" customFormat="false" ht="26.85" hidden="false" customHeight="false" outlineLevel="0" collapsed="false">
      <c r="A96" s="7" t="n">
        <v>94</v>
      </c>
      <c r="B96" s="7" t="str">
        <f aca="false">IF(I96="Y",IF(COUNTIF(I$3:I96,"Y")&lt;=20,"pilot",IF(COUNTIF(I$3:I96,"Y")&lt;=40,"dev",IF(COUNTIF(I$3:I96,"Y")&lt;=200,"test","extra"))),"")</f>
        <v/>
      </c>
      <c r="C96" s="7" t="str">
        <f aca="false">IF(I96="Y",IF(COUNTA(K96,M96,O96,Q96,S96,U96,W96,Y96,AA96,AC96,AE96)=11,"done","in progress"),IF(I96="N","excluded",""))</f>
        <v/>
      </c>
      <c r="D96" s="7" t="s">
        <v>334</v>
      </c>
      <c r="E96" s="8" t="s">
        <v>96</v>
      </c>
      <c r="F96" s="9" t="s">
        <v>335</v>
      </c>
      <c r="G96" s="7" t="s">
        <v>125</v>
      </c>
      <c r="H96" s="7"/>
      <c r="I96" s="10"/>
      <c r="J96" s="10"/>
      <c r="K96" s="10"/>
      <c r="L96" s="11"/>
      <c r="M96" s="10"/>
      <c r="N96" s="11"/>
      <c r="O96" s="10"/>
      <c r="P96" s="11"/>
      <c r="Q96" s="10"/>
      <c r="R96" s="11"/>
      <c r="S96" s="10"/>
      <c r="T96" s="11"/>
      <c r="U96" s="10"/>
      <c r="V96" s="11"/>
      <c r="W96" s="10"/>
      <c r="X96" s="11"/>
      <c r="Y96" s="10"/>
      <c r="Z96" s="11"/>
      <c r="AA96" s="10"/>
      <c r="AB96" s="11"/>
      <c r="AC96" s="10"/>
      <c r="AD96" s="11"/>
      <c r="AE96" s="10"/>
      <c r="AF96" s="11"/>
      <c r="AG96" s="11"/>
      <c r="AH96" s="11"/>
      <c r="AI96" s="10"/>
      <c r="AJ96" s="10"/>
    </row>
    <row r="97" customFormat="false" ht="39.55" hidden="false" customHeight="false" outlineLevel="0" collapsed="false">
      <c r="A97" s="7" t="n">
        <v>95</v>
      </c>
      <c r="B97" s="7" t="str">
        <f aca="false">IF(I97="Y",IF(COUNTIF(I$3:I97,"Y")&lt;=20,"pilot",IF(COUNTIF(I$3:I97,"Y")&lt;=40,"dev",IF(COUNTIF(I$3:I97,"Y")&lt;=200,"test","extra"))),"")</f>
        <v/>
      </c>
      <c r="C97" s="7" t="str">
        <f aca="false">IF(I97="Y",IF(COUNTA(K97,M97,O97,Q97,S97,U97,W97,Y97,AA97,AC97,AE97)=11,"done","in progress"),IF(I97="N","excluded",""))</f>
        <v/>
      </c>
      <c r="D97" s="7" t="s">
        <v>336</v>
      </c>
      <c r="E97" s="8" t="s">
        <v>96</v>
      </c>
      <c r="F97" s="9" t="s">
        <v>337</v>
      </c>
      <c r="G97" s="7" t="s">
        <v>125</v>
      </c>
      <c r="H97" s="7"/>
      <c r="I97" s="10"/>
      <c r="J97" s="10"/>
      <c r="K97" s="10"/>
      <c r="L97" s="11"/>
      <c r="M97" s="10"/>
      <c r="N97" s="11"/>
      <c r="O97" s="10"/>
      <c r="P97" s="11"/>
      <c r="Q97" s="10"/>
      <c r="R97" s="11"/>
      <c r="S97" s="10"/>
      <c r="T97" s="11"/>
      <c r="U97" s="10"/>
      <c r="V97" s="11"/>
      <c r="W97" s="10"/>
      <c r="X97" s="11"/>
      <c r="Y97" s="10"/>
      <c r="Z97" s="11"/>
      <c r="AA97" s="10"/>
      <c r="AB97" s="11"/>
      <c r="AC97" s="10"/>
      <c r="AD97" s="11"/>
      <c r="AE97" s="10"/>
      <c r="AF97" s="11"/>
      <c r="AG97" s="11"/>
      <c r="AH97" s="11"/>
      <c r="AI97" s="10"/>
      <c r="AJ97" s="10"/>
    </row>
    <row r="98" customFormat="false" ht="39.55" hidden="false" customHeight="false" outlineLevel="0" collapsed="false">
      <c r="A98" s="7" t="n">
        <v>96</v>
      </c>
      <c r="B98" s="7" t="str">
        <f aca="false">IF(I98="Y",IF(COUNTIF(I$3:I98,"Y")&lt;=20,"pilot",IF(COUNTIF(I$3:I98,"Y")&lt;=40,"dev",IF(COUNTIF(I$3:I98,"Y")&lt;=200,"test","extra"))),"")</f>
        <v/>
      </c>
      <c r="C98" s="7" t="str">
        <f aca="false">IF(I98="Y",IF(COUNTA(K98,M98,O98,Q98,S98,U98,W98,Y98,AA98,AC98,AE98)=11,"done","in progress"),IF(I98="N","excluded",""))</f>
        <v/>
      </c>
      <c r="D98" s="7" t="s">
        <v>338</v>
      </c>
      <c r="E98" s="8" t="s">
        <v>96</v>
      </c>
      <c r="F98" s="9" t="s">
        <v>339</v>
      </c>
      <c r="G98" s="7" t="s">
        <v>206</v>
      </c>
      <c r="H98" s="7"/>
      <c r="I98" s="10"/>
      <c r="J98" s="10"/>
      <c r="K98" s="10"/>
      <c r="L98" s="11"/>
      <c r="M98" s="10"/>
      <c r="N98" s="11"/>
      <c r="O98" s="10"/>
      <c r="P98" s="11"/>
      <c r="Q98" s="10"/>
      <c r="R98" s="11"/>
      <c r="S98" s="10"/>
      <c r="T98" s="11"/>
      <c r="U98" s="10"/>
      <c r="V98" s="11"/>
      <c r="W98" s="10"/>
      <c r="X98" s="11"/>
      <c r="Y98" s="10"/>
      <c r="Z98" s="11"/>
      <c r="AA98" s="10"/>
      <c r="AB98" s="11"/>
      <c r="AC98" s="10"/>
      <c r="AD98" s="11"/>
      <c r="AE98" s="10"/>
      <c r="AF98" s="11"/>
      <c r="AG98" s="11"/>
      <c r="AH98" s="11"/>
      <c r="AI98" s="10"/>
      <c r="AJ98" s="10"/>
    </row>
    <row r="99" customFormat="false" ht="39.55" hidden="false" customHeight="false" outlineLevel="0" collapsed="false">
      <c r="A99" s="7" t="n">
        <v>97</v>
      </c>
      <c r="B99" s="7" t="str">
        <f aca="false">IF(I99="Y",IF(COUNTIF(I$3:I99,"Y")&lt;=20,"pilot",IF(COUNTIF(I$3:I99,"Y")&lt;=40,"dev",IF(COUNTIF(I$3:I99,"Y")&lt;=200,"test","extra"))),"")</f>
        <v/>
      </c>
      <c r="C99" s="7" t="str">
        <f aca="false">IF(I99="Y",IF(COUNTA(K99,M99,O99,Q99,S99,U99,W99,Y99,AA99,AC99,AE99)=11,"done","in progress"),IF(I99="N","excluded",""))</f>
        <v/>
      </c>
      <c r="D99" s="7" t="s">
        <v>340</v>
      </c>
      <c r="E99" s="8" t="s">
        <v>96</v>
      </c>
      <c r="F99" s="9" t="s">
        <v>341</v>
      </c>
      <c r="G99" s="7" t="s">
        <v>107</v>
      </c>
      <c r="H99" s="7"/>
      <c r="I99" s="10"/>
      <c r="J99" s="10"/>
      <c r="K99" s="10"/>
      <c r="L99" s="11"/>
      <c r="M99" s="10"/>
      <c r="N99" s="11"/>
      <c r="O99" s="10"/>
      <c r="P99" s="11"/>
      <c r="Q99" s="10"/>
      <c r="R99" s="11"/>
      <c r="S99" s="10"/>
      <c r="T99" s="11"/>
      <c r="U99" s="10"/>
      <c r="V99" s="11"/>
      <c r="W99" s="10"/>
      <c r="X99" s="11"/>
      <c r="Y99" s="10"/>
      <c r="Z99" s="11"/>
      <c r="AA99" s="10"/>
      <c r="AB99" s="11"/>
      <c r="AC99" s="10"/>
      <c r="AD99" s="11"/>
      <c r="AE99" s="10"/>
      <c r="AF99" s="11"/>
      <c r="AG99" s="11"/>
      <c r="AH99" s="11"/>
      <c r="AI99" s="10"/>
      <c r="AJ99" s="10"/>
    </row>
    <row r="100" customFormat="false" ht="39.55" hidden="false" customHeight="false" outlineLevel="0" collapsed="false">
      <c r="A100" s="7" t="n">
        <v>98</v>
      </c>
      <c r="B100" s="7" t="str">
        <f aca="false">IF(I100="Y",IF(COUNTIF(I$3:I100,"Y")&lt;=20,"pilot",IF(COUNTIF(I$3:I100,"Y")&lt;=40,"dev",IF(COUNTIF(I$3:I100,"Y")&lt;=200,"test","extra"))),"")</f>
        <v/>
      </c>
      <c r="C100" s="7" t="str">
        <f aca="false">IF(I100="Y",IF(COUNTA(K100,M100,O100,Q100,S100,U100,W100,Y100,AA100,AC100,AE100)=11,"done","in progress"),IF(I100="N","excluded",""))</f>
        <v/>
      </c>
      <c r="D100" s="7" t="s">
        <v>342</v>
      </c>
      <c r="E100" s="8" t="s">
        <v>96</v>
      </c>
      <c r="F100" s="9" t="s">
        <v>343</v>
      </c>
      <c r="G100" s="7" t="s">
        <v>125</v>
      </c>
      <c r="H100" s="7"/>
      <c r="I100" s="10"/>
      <c r="J100" s="10"/>
      <c r="K100" s="10"/>
      <c r="L100" s="11"/>
      <c r="M100" s="10"/>
      <c r="N100" s="11"/>
      <c r="O100" s="10"/>
      <c r="P100" s="11"/>
      <c r="Q100" s="10"/>
      <c r="R100" s="11"/>
      <c r="S100" s="10"/>
      <c r="T100" s="11"/>
      <c r="U100" s="10"/>
      <c r="V100" s="11"/>
      <c r="W100" s="10"/>
      <c r="X100" s="11"/>
      <c r="Y100" s="10"/>
      <c r="Z100" s="11"/>
      <c r="AA100" s="10"/>
      <c r="AB100" s="11"/>
      <c r="AC100" s="10"/>
      <c r="AD100" s="11"/>
      <c r="AE100" s="10"/>
      <c r="AF100" s="11"/>
      <c r="AG100" s="11"/>
      <c r="AH100" s="11"/>
      <c r="AI100" s="10"/>
      <c r="AJ100" s="10"/>
    </row>
    <row r="101" customFormat="false" ht="26.85" hidden="false" customHeight="false" outlineLevel="0" collapsed="false">
      <c r="A101" s="7" t="n">
        <v>99</v>
      </c>
      <c r="B101" s="7" t="str">
        <f aca="false">IF(I101="Y",IF(COUNTIF(I$3:I101,"Y")&lt;=20,"pilot",IF(COUNTIF(I$3:I101,"Y")&lt;=40,"dev",IF(COUNTIF(I$3:I101,"Y")&lt;=200,"test","extra"))),"")</f>
        <v/>
      </c>
      <c r="C101" s="7" t="str">
        <f aca="false">IF(I101="Y",IF(COUNTA(K101,M101,O101,Q101,S101,U101,W101,Y101,AA101,AC101,AE101)=11,"done","in progress"),IF(I101="N","excluded",""))</f>
        <v/>
      </c>
      <c r="D101" s="7" t="s">
        <v>344</v>
      </c>
      <c r="E101" s="8" t="s">
        <v>96</v>
      </c>
      <c r="F101" s="9" t="s">
        <v>345</v>
      </c>
      <c r="G101" s="7" t="s">
        <v>176</v>
      </c>
      <c r="H101" s="7"/>
      <c r="I101" s="10"/>
      <c r="J101" s="10"/>
      <c r="K101" s="10"/>
      <c r="L101" s="11"/>
      <c r="M101" s="10"/>
      <c r="N101" s="11"/>
      <c r="O101" s="10"/>
      <c r="P101" s="11"/>
      <c r="Q101" s="10"/>
      <c r="R101" s="11"/>
      <c r="S101" s="10"/>
      <c r="T101" s="11"/>
      <c r="U101" s="10"/>
      <c r="V101" s="11"/>
      <c r="W101" s="10"/>
      <c r="X101" s="11"/>
      <c r="Y101" s="10"/>
      <c r="Z101" s="11"/>
      <c r="AA101" s="10"/>
      <c r="AB101" s="11"/>
      <c r="AC101" s="10"/>
      <c r="AD101" s="11"/>
      <c r="AE101" s="10"/>
      <c r="AF101" s="11"/>
      <c r="AG101" s="11"/>
      <c r="AH101" s="11"/>
      <c r="AI101" s="10"/>
      <c r="AJ101" s="10"/>
    </row>
    <row r="102" customFormat="false" ht="26.85" hidden="false" customHeight="false" outlineLevel="0" collapsed="false">
      <c r="A102" s="7" t="n">
        <v>100</v>
      </c>
      <c r="B102" s="7" t="str">
        <f aca="false">IF(I102="Y",IF(COUNTIF(I$3:I102,"Y")&lt;=20,"pilot",IF(COUNTIF(I$3:I102,"Y")&lt;=40,"dev",IF(COUNTIF(I$3:I102,"Y")&lt;=200,"test","extra"))),"")</f>
        <v/>
      </c>
      <c r="C102" s="7" t="str">
        <f aca="false">IF(I102="Y",IF(COUNTA(K102,M102,O102,Q102,S102,U102,W102,Y102,AA102,AC102,AE102)=11,"done","in progress"),IF(I102="N","excluded",""))</f>
        <v/>
      </c>
      <c r="D102" s="7" t="s">
        <v>346</v>
      </c>
      <c r="E102" s="8" t="s">
        <v>96</v>
      </c>
      <c r="F102" s="9" t="s">
        <v>347</v>
      </c>
      <c r="G102" s="7" t="s">
        <v>176</v>
      </c>
      <c r="H102" s="7"/>
      <c r="I102" s="10"/>
      <c r="J102" s="10"/>
      <c r="K102" s="10"/>
      <c r="L102" s="11"/>
      <c r="M102" s="10"/>
      <c r="N102" s="11"/>
      <c r="O102" s="10"/>
      <c r="P102" s="11"/>
      <c r="Q102" s="10"/>
      <c r="R102" s="11"/>
      <c r="S102" s="10"/>
      <c r="T102" s="11"/>
      <c r="U102" s="10"/>
      <c r="V102" s="11"/>
      <c r="W102" s="10"/>
      <c r="X102" s="11"/>
      <c r="Y102" s="10"/>
      <c r="Z102" s="11"/>
      <c r="AA102" s="10"/>
      <c r="AB102" s="11"/>
      <c r="AC102" s="10"/>
      <c r="AD102" s="11"/>
      <c r="AE102" s="10"/>
      <c r="AF102" s="11"/>
      <c r="AG102" s="11"/>
      <c r="AH102" s="11"/>
      <c r="AI102" s="10"/>
      <c r="AJ102" s="10"/>
    </row>
    <row r="103" customFormat="false" ht="26.85" hidden="false" customHeight="false" outlineLevel="0" collapsed="false">
      <c r="A103" s="7" t="n">
        <v>101</v>
      </c>
      <c r="B103" s="7" t="str">
        <f aca="false">IF(I103="Y",IF(COUNTIF(I$3:I103,"Y")&lt;=20,"pilot",IF(COUNTIF(I$3:I103,"Y")&lt;=40,"dev",IF(COUNTIF(I$3:I103,"Y")&lt;=200,"test","extra"))),"")</f>
        <v/>
      </c>
      <c r="C103" s="7" t="str">
        <f aca="false">IF(I103="Y",IF(COUNTA(K103,M103,O103,Q103,S103,U103,W103,Y103,AA103,AC103,AE103)=11,"done","in progress"),IF(I103="N","excluded",""))</f>
        <v/>
      </c>
      <c r="D103" s="7" t="s">
        <v>348</v>
      </c>
      <c r="E103" s="8" t="s">
        <v>96</v>
      </c>
      <c r="F103" s="9" t="s">
        <v>349</v>
      </c>
      <c r="G103" s="7" t="s">
        <v>350</v>
      </c>
      <c r="H103" s="7"/>
      <c r="I103" s="10"/>
      <c r="J103" s="10"/>
      <c r="K103" s="10"/>
      <c r="L103" s="11"/>
      <c r="M103" s="10"/>
      <c r="N103" s="11"/>
      <c r="O103" s="10"/>
      <c r="P103" s="11"/>
      <c r="Q103" s="10"/>
      <c r="R103" s="11"/>
      <c r="S103" s="10"/>
      <c r="T103" s="11"/>
      <c r="U103" s="10"/>
      <c r="V103" s="11"/>
      <c r="W103" s="10"/>
      <c r="X103" s="11"/>
      <c r="Y103" s="10"/>
      <c r="Z103" s="11"/>
      <c r="AA103" s="10"/>
      <c r="AB103" s="11"/>
      <c r="AC103" s="10"/>
      <c r="AD103" s="11"/>
      <c r="AE103" s="10"/>
      <c r="AF103" s="11"/>
      <c r="AG103" s="11"/>
      <c r="AH103" s="11"/>
      <c r="AI103" s="10"/>
      <c r="AJ103" s="10"/>
    </row>
    <row r="104" customFormat="false" ht="52.2" hidden="false" customHeight="false" outlineLevel="0" collapsed="false">
      <c r="A104" s="7" t="n">
        <v>102</v>
      </c>
      <c r="B104" s="7" t="str">
        <f aca="false">IF(I104="Y",IF(COUNTIF(I$3:I104,"Y")&lt;=20,"pilot",IF(COUNTIF(I$3:I104,"Y")&lt;=40,"dev",IF(COUNTIF(I$3:I104,"Y")&lt;=200,"test","extra"))),"")</f>
        <v/>
      </c>
      <c r="C104" s="7" t="str">
        <f aca="false">IF(I104="Y",IF(COUNTA(K104,M104,O104,Q104,S104,U104,W104,Y104,AA104,AC104,AE104)=11,"done","in progress"),IF(I104="N","excluded",""))</f>
        <v/>
      </c>
      <c r="D104" s="7" t="s">
        <v>351</v>
      </c>
      <c r="E104" s="8" t="s">
        <v>96</v>
      </c>
      <c r="F104" s="9" t="s">
        <v>352</v>
      </c>
      <c r="G104" s="7" t="s">
        <v>353</v>
      </c>
      <c r="H104" s="7"/>
      <c r="I104" s="10"/>
      <c r="J104" s="10"/>
      <c r="K104" s="10"/>
      <c r="L104" s="11"/>
      <c r="M104" s="10"/>
      <c r="N104" s="11"/>
      <c r="O104" s="10"/>
      <c r="P104" s="11"/>
      <c r="Q104" s="10"/>
      <c r="R104" s="11"/>
      <c r="S104" s="10"/>
      <c r="T104" s="11"/>
      <c r="U104" s="10"/>
      <c r="V104" s="11"/>
      <c r="W104" s="10"/>
      <c r="X104" s="11"/>
      <c r="Y104" s="10"/>
      <c r="Z104" s="11"/>
      <c r="AA104" s="10"/>
      <c r="AB104" s="11"/>
      <c r="AC104" s="10"/>
      <c r="AD104" s="11"/>
      <c r="AE104" s="10"/>
      <c r="AF104" s="11"/>
      <c r="AG104" s="11"/>
      <c r="AH104" s="11"/>
      <c r="AI104" s="10"/>
      <c r="AJ104" s="10"/>
    </row>
    <row r="105" customFormat="false" ht="26.85" hidden="false" customHeight="false" outlineLevel="0" collapsed="false">
      <c r="A105" s="7" t="n">
        <v>103</v>
      </c>
      <c r="B105" s="7" t="str">
        <f aca="false">IF(I105="Y",IF(COUNTIF(I$3:I105,"Y")&lt;=20,"pilot",IF(COUNTIF(I$3:I105,"Y")&lt;=40,"dev",IF(COUNTIF(I$3:I105,"Y")&lt;=200,"test","extra"))),"")</f>
        <v/>
      </c>
      <c r="C105" s="7" t="str">
        <f aca="false">IF(I105="Y",IF(COUNTA(K105,M105,O105,Q105,S105,U105,W105,Y105,AA105,AC105,AE105)=11,"done","in progress"),IF(I105="N","excluded",""))</f>
        <v/>
      </c>
      <c r="D105" s="7" t="s">
        <v>354</v>
      </c>
      <c r="E105" s="8" t="s">
        <v>96</v>
      </c>
      <c r="F105" s="9" t="s">
        <v>355</v>
      </c>
      <c r="G105" s="7" t="s">
        <v>356</v>
      </c>
      <c r="H105" s="7"/>
      <c r="I105" s="10"/>
      <c r="J105" s="10"/>
      <c r="K105" s="10"/>
      <c r="L105" s="11"/>
      <c r="M105" s="10"/>
      <c r="N105" s="11"/>
      <c r="O105" s="10"/>
      <c r="P105" s="11"/>
      <c r="Q105" s="10"/>
      <c r="R105" s="11"/>
      <c r="S105" s="10"/>
      <c r="T105" s="11"/>
      <c r="U105" s="10"/>
      <c r="V105" s="11"/>
      <c r="W105" s="10"/>
      <c r="X105" s="11"/>
      <c r="Y105" s="10"/>
      <c r="Z105" s="11"/>
      <c r="AA105" s="10"/>
      <c r="AB105" s="11"/>
      <c r="AC105" s="10"/>
      <c r="AD105" s="11"/>
      <c r="AE105" s="10"/>
      <c r="AF105" s="11"/>
      <c r="AG105" s="11"/>
      <c r="AH105" s="11"/>
      <c r="AI105" s="10"/>
      <c r="AJ105" s="10"/>
    </row>
    <row r="106" customFormat="false" ht="52.2" hidden="false" customHeight="false" outlineLevel="0" collapsed="false">
      <c r="A106" s="7" t="n">
        <v>104</v>
      </c>
      <c r="B106" s="7" t="str">
        <f aca="false">IF(I106="Y",IF(COUNTIF(I$3:I106,"Y")&lt;=20,"pilot",IF(COUNTIF(I$3:I106,"Y")&lt;=40,"dev",IF(COUNTIF(I$3:I106,"Y")&lt;=200,"test","extra"))),"")</f>
        <v/>
      </c>
      <c r="C106" s="7" t="str">
        <f aca="false">IF(I106="Y",IF(COUNTA(K106,M106,O106,Q106,S106,U106,W106,Y106,AA106,AC106,AE106)=11,"done","in progress"),IF(I106="N","excluded",""))</f>
        <v/>
      </c>
      <c r="D106" s="7" t="s">
        <v>357</v>
      </c>
      <c r="E106" s="8" t="s">
        <v>96</v>
      </c>
      <c r="F106" s="9" t="s">
        <v>358</v>
      </c>
      <c r="G106" s="7" t="s">
        <v>98</v>
      </c>
      <c r="H106" s="7"/>
      <c r="I106" s="10"/>
      <c r="J106" s="10"/>
      <c r="K106" s="10"/>
      <c r="L106" s="11"/>
      <c r="M106" s="10"/>
      <c r="N106" s="11"/>
      <c r="O106" s="10"/>
      <c r="P106" s="11"/>
      <c r="Q106" s="10"/>
      <c r="R106" s="11"/>
      <c r="S106" s="10"/>
      <c r="T106" s="11"/>
      <c r="U106" s="10"/>
      <c r="V106" s="11"/>
      <c r="W106" s="10"/>
      <c r="X106" s="11"/>
      <c r="Y106" s="10"/>
      <c r="Z106" s="11"/>
      <c r="AA106" s="10"/>
      <c r="AB106" s="11"/>
      <c r="AC106" s="10"/>
      <c r="AD106" s="11"/>
      <c r="AE106" s="10"/>
      <c r="AF106" s="11"/>
      <c r="AG106" s="11"/>
      <c r="AH106" s="11"/>
      <c r="AI106" s="10"/>
      <c r="AJ106" s="10"/>
    </row>
    <row r="107" customFormat="false" ht="39.55" hidden="false" customHeight="false" outlineLevel="0" collapsed="false">
      <c r="A107" s="7" t="n">
        <v>105</v>
      </c>
      <c r="B107" s="7" t="str">
        <f aca="false">IF(I107="Y",IF(COUNTIF(I$3:I107,"Y")&lt;=20,"pilot",IF(COUNTIF(I$3:I107,"Y")&lt;=40,"dev",IF(COUNTIF(I$3:I107,"Y")&lt;=200,"test","extra"))),"")</f>
        <v/>
      </c>
      <c r="C107" s="7" t="str">
        <f aca="false">IF(I107="Y",IF(COUNTA(K107,M107,O107,Q107,S107,U107,W107,Y107,AA107,AC107,AE107)=11,"done","in progress"),IF(I107="N","excluded",""))</f>
        <v/>
      </c>
      <c r="D107" s="7" t="s">
        <v>359</v>
      </c>
      <c r="E107" s="8" t="s">
        <v>96</v>
      </c>
      <c r="F107" s="9" t="s">
        <v>360</v>
      </c>
      <c r="G107" s="7" t="s">
        <v>104</v>
      </c>
      <c r="H107" s="7"/>
      <c r="I107" s="10"/>
      <c r="J107" s="10"/>
      <c r="K107" s="10"/>
      <c r="L107" s="11"/>
      <c r="M107" s="10"/>
      <c r="N107" s="11"/>
      <c r="O107" s="10"/>
      <c r="P107" s="11"/>
      <c r="Q107" s="10"/>
      <c r="R107" s="11"/>
      <c r="S107" s="10"/>
      <c r="T107" s="11"/>
      <c r="U107" s="10"/>
      <c r="V107" s="11"/>
      <c r="W107" s="10"/>
      <c r="X107" s="11"/>
      <c r="Y107" s="10"/>
      <c r="Z107" s="11"/>
      <c r="AA107" s="10"/>
      <c r="AB107" s="11"/>
      <c r="AC107" s="10"/>
      <c r="AD107" s="11"/>
      <c r="AE107" s="10"/>
      <c r="AF107" s="11"/>
      <c r="AG107" s="11"/>
      <c r="AH107" s="11"/>
      <c r="AI107" s="10"/>
      <c r="AJ107" s="10"/>
    </row>
    <row r="108" customFormat="false" ht="52.2" hidden="false" customHeight="false" outlineLevel="0" collapsed="false">
      <c r="A108" s="7" t="n">
        <v>106</v>
      </c>
      <c r="B108" s="7" t="str">
        <f aca="false">IF(I108="Y",IF(COUNTIF(I$3:I108,"Y")&lt;=20,"pilot",IF(COUNTIF(I$3:I108,"Y")&lt;=40,"dev",IF(COUNTIF(I$3:I108,"Y")&lt;=200,"test","extra"))),"")</f>
        <v/>
      </c>
      <c r="C108" s="7" t="str">
        <f aca="false">IF(I108="Y",IF(COUNTA(K108,M108,O108,Q108,S108,U108,W108,Y108,AA108,AC108,AE108)=11,"done","in progress"),IF(I108="N","excluded",""))</f>
        <v/>
      </c>
      <c r="D108" s="7" t="s">
        <v>361</v>
      </c>
      <c r="E108" s="8" t="s">
        <v>96</v>
      </c>
      <c r="F108" s="9" t="s">
        <v>362</v>
      </c>
      <c r="G108" s="7" t="s">
        <v>363</v>
      </c>
      <c r="H108" s="7"/>
      <c r="I108" s="10"/>
      <c r="J108" s="10"/>
      <c r="K108" s="10"/>
      <c r="L108" s="11"/>
      <c r="M108" s="10"/>
      <c r="N108" s="11"/>
      <c r="O108" s="10"/>
      <c r="P108" s="11"/>
      <c r="Q108" s="10"/>
      <c r="R108" s="11"/>
      <c r="S108" s="10"/>
      <c r="T108" s="11"/>
      <c r="U108" s="10"/>
      <c r="V108" s="11"/>
      <c r="W108" s="10"/>
      <c r="X108" s="11"/>
      <c r="Y108" s="10"/>
      <c r="Z108" s="11"/>
      <c r="AA108" s="10"/>
      <c r="AB108" s="11"/>
      <c r="AC108" s="10"/>
      <c r="AD108" s="11"/>
      <c r="AE108" s="10"/>
      <c r="AF108" s="11"/>
      <c r="AG108" s="11"/>
      <c r="AH108" s="11"/>
      <c r="AI108" s="10"/>
      <c r="AJ108" s="10"/>
    </row>
    <row r="109" customFormat="false" ht="64.9" hidden="false" customHeight="false" outlineLevel="0" collapsed="false">
      <c r="A109" s="7" t="n">
        <v>107</v>
      </c>
      <c r="B109" s="7" t="str">
        <f aca="false">IF(I109="Y",IF(COUNTIF(I$3:I109,"Y")&lt;=20,"pilot",IF(COUNTIF(I$3:I109,"Y")&lt;=40,"dev",IF(COUNTIF(I$3:I109,"Y")&lt;=200,"test","extra"))),"")</f>
        <v/>
      </c>
      <c r="C109" s="7" t="str">
        <f aca="false">IF(I109="Y",IF(COUNTA(K109,M109,O109,Q109,S109,U109,W109,Y109,AA109,AC109,AE109)=11,"done","in progress"),IF(I109="N","excluded",""))</f>
        <v/>
      </c>
      <c r="D109" s="7" t="s">
        <v>364</v>
      </c>
      <c r="E109" s="8" t="s">
        <v>96</v>
      </c>
      <c r="F109" s="9" t="s">
        <v>365</v>
      </c>
      <c r="G109" s="7" t="s">
        <v>302</v>
      </c>
      <c r="H109" s="7"/>
      <c r="I109" s="10"/>
      <c r="J109" s="10"/>
      <c r="K109" s="10"/>
      <c r="L109" s="11"/>
      <c r="M109" s="10"/>
      <c r="N109" s="11"/>
      <c r="O109" s="10"/>
      <c r="P109" s="11"/>
      <c r="Q109" s="10"/>
      <c r="R109" s="11"/>
      <c r="S109" s="10"/>
      <c r="T109" s="11"/>
      <c r="U109" s="10"/>
      <c r="V109" s="11"/>
      <c r="W109" s="10"/>
      <c r="X109" s="11"/>
      <c r="Y109" s="10"/>
      <c r="Z109" s="11"/>
      <c r="AA109" s="10"/>
      <c r="AB109" s="11"/>
      <c r="AC109" s="10"/>
      <c r="AD109" s="11"/>
      <c r="AE109" s="10"/>
      <c r="AF109" s="11"/>
      <c r="AG109" s="11"/>
      <c r="AH109" s="11"/>
      <c r="AI109" s="10"/>
      <c r="AJ109" s="10"/>
    </row>
    <row r="110" customFormat="false" ht="39.55" hidden="false" customHeight="false" outlineLevel="0" collapsed="false">
      <c r="A110" s="7" t="n">
        <v>108</v>
      </c>
      <c r="B110" s="7" t="str">
        <f aca="false">IF(I110="Y",IF(COUNTIF(I$3:I110,"Y")&lt;=20,"pilot",IF(COUNTIF(I$3:I110,"Y")&lt;=40,"dev",IF(COUNTIF(I$3:I110,"Y")&lt;=200,"test","extra"))),"")</f>
        <v/>
      </c>
      <c r="C110" s="7" t="str">
        <f aca="false">IF(I110="Y",IF(COUNTA(K110,M110,O110,Q110,S110,U110,W110,Y110,AA110,AC110,AE110)=11,"done","in progress"),IF(I110="N","excluded",""))</f>
        <v/>
      </c>
      <c r="D110" s="7" t="s">
        <v>366</v>
      </c>
      <c r="E110" s="8" t="s">
        <v>96</v>
      </c>
      <c r="F110" s="9" t="s">
        <v>367</v>
      </c>
      <c r="G110" s="7" t="s">
        <v>104</v>
      </c>
      <c r="H110" s="7"/>
      <c r="I110" s="10"/>
      <c r="J110" s="10"/>
      <c r="K110" s="10"/>
      <c r="L110" s="11"/>
      <c r="M110" s="10"/>
      <c r="N110" s="11"/>
      <c r="O110" s="10"/>
      <c r="P110" s="11"/>
      <c r="Q110" s="10"/>
      <c r="R110" s="11"/>
      <c r="S110" s="10"/>
      <c r="T110" s="11"/>
      <c r="U110" s="10"/>
      <c r="V110" s="11"/>
      <c r="W110" s="10"/>
      <c r="X110" s="11"/>
      <c r="Y110" s="10"/>
      <c r="Z110" s="11"/>
      <c r="AA110" s="10"/>
      <c r="AB110" s="11"/>
      <c r="AC110" s="10"/>
      <c r="AD110" s="11"/>
      <c r="AE110" s="10"/>
      <c r="AF110" s="11"/>
      <c r="AG110" s="11"/>
      <c r="AH110" s="11"/>
      <c r="AI110" s="10"/>
      <c r="AJ110" s="10"/>
    </row>
    <row r="111" customFormat="false" ht="39.55" hidden="false" customHeight="false" outlineLevel="0" collapsed="false">
      <c r="A111" s="7" t="n">
        <v>109</v>
      </c>
      <c r="B111" s="7" t="str">
        <f aca="false">IF(I111="Y",IF(COUNTIF(I$3:I111,"Y")&lt;=20,"pilot",IF(COUNTIF(I$3:I111,"Y")&lt;=40,"dev",IF(COUNTIF(I$3:I111,"Y")&lt;=200,"test","extra"))),"")</f>
        <v/>
      </c>
      <c r="C111" s="7" t="str">
        <f aca="false">IF(I111="Y",IF(COUNTA(K111,M111,O111,Q111,S111,U111,W111,Y111,AA111,AC111,AE111)=11,"done","in progress"),IF(I111="N","excluded",""))</f>
        <v/>
      </c>
      <c r="D111" s="7" t="s">
        <v>368</v>
      </c>
      <c r="E111" s="8" t="s">
        <v>96</v>
      </c>
      <c r="F111" s="9" t="s">
        <v>369</v>
      </c>
      <c r="G111" s="7" t="s">
        <v>370</v>
      </c>
      <c r="H111" s="7"/>
      <c r="I111" s="10"/>
      <c r="J111" s="10"/>
      <c r="K111" s="10"/>
      <c r="L111" s="11"/>
      <c r="M111" s="10"/>
      <c r="N111" s="11"/>
      <c r="O111" s="10"/>
      <c r="P111" s="11"/>
      <c r="Q111" s="10"/>
      <c r="R111" s="11"/>
      <c r="S111" s="10"/>
      <c r="T111" s="11"/>
      <c r="U111" s="10"/>
      <c r="V111" s="11"/>
      <c r="W111" s="10"/>
      <c r="X111" s="11"/>
      <c r="Y111" s="10"/>
      <c r="Z111" s="11"/>
      <c r="AA111" s="10"/>
      <c r="AB111" s="11"/>
      <c r="AC111" s="10"/>
      <c r="AD111" s="11"/>
      <c r="AE111" s="10"/>
      <c r="AF111" s="11"/>
      <c r="AG111" s="11"/>
      <c r="AH111" s="11"/>
      <c r="AI111" s="10"/>
      <c r="AJ111" s="10"/>
    </row>
    <row r="112" customFormat="false" ht="39.55" hidden="false" customHeight="false" outlineLevel="0" collapsed="false">
      <c r="A112" s="7" t="n">
        <v>110</v>
      </c>
      <c r="B112" s="7" t="str">
        <f aca="false">IF(I112="Y",IF(COUNTIF(I$3:I112,"Y")&lt;=20,"pilot",IF(COUNTIF(I$3:I112,"Y")&lt;=40,"dev",IF(COUNTIF(I$3:I112,"Y")&lt;=200,"test","extra"))),"")</f>
        <v/>
      </c>
      <c r="C112" s="7" t="str">
        <f aca="false">IF(I112="Y",IF(COUNTA(K112,M112,O112,Q112,S112,U112,W112,Y112,AA112,AC112,AE112)=11,"done","in progress"),IF(I112="N","excluded",""))</f>
        <v/>
      </c>
      <c r="D112" s="7" t="s">
        <v>371</v>
      </c>
      <c r="E112" s="8" t="s">
        <v>96</v>
      </c>
      <c r="F112" s="9" t="s">
        <v>372</v>
      </c>
      <c r="G112" s="7" t="s">
        <v>251</v>
      </c>
      <c r="H112" s="7"/>
      <c r="I112" s="10"/>
      <c r="J112" s="10"/>
      <c r="K112" s="10"/>
      <c r="L112" s="11"/>
      <c r="M112" s="10"/>
      <c r="N112" s="11"/>
      <c r="O112" s="10"/>
      <c r="P112" s="11"/>
      <c r="Q112" s="10"/>
      <c r="R112" s="11"/>
      <c r="S112" s="10"/>
      <c r="T112" s="11"/>
      <c r="U112" s="10"/>
      <c r="V112" s="11"/>
      <c r="W112" s="10"/>
      <c r="X112" s="11"/>
      <c r="Y112" s="10"/>
      <c r="Z112" s="11"/>
      <c r="AA112" s="10"/>
      <c r="AB112" s="11"/>
      <c r="AC112" s="10"/>
      <c r="AD112" s="11"/>
      <c r="AE112" s="10"/>
      <c r="AF112" s="11"/>
      <c r="AG112" s="11"/>
      <c r="AH112" s="11"/>
      <c r="AI112" s="10"/>
      <c r="AJ112" s="10"/>
    </row>
    <row r="113" customFormat="false" ht="39.55" hidden="false" customHeight="false" outlineLevel="0" collapsed="false">
      <c r="A113" s="7" t="n">
        <v>111</v>
      </c>
      <c r="B113" s="7" t="str">
        <f aca="false">IF(I113="Y",IF(COUNTIF(I$3:I113,"Y")&lt;=20,"pilot",IF(COUNTIF(I$3:I113,"Y")&lt;=40,"dev",IF(COUNTIF(I$3:I113,"Y")&lt;=200,"test","extra"))),"")</f>
        <v/>
      </c>
      <c r="C113" s="7" t="str">
        <f aca="false">IF(I113="Y",IF(COUNTA(K113,M113,O113,Q113,S113,U113,W113,Y113,AA113,AC113,AE113)=11,"done","in progress"),IF(I113="N","excluded",""))</f>
        <v/>
      </c>
      <c r="D113" s="7" t="s">
        <v>373</v>
      </c>
      <c r="E113" s="8" t="s">
        <v>96</v>
      </c>
      <c r="F113" s="9" t="s">
        <v>374</v>
      </c>
      <c r="G113" s="7" t="s">
        <v>125</v>
      </c>
      <c r="H113" s="7"/>
      <c r="I113" s="10"/>
      <c r="J113" s="10"/>
      <c r="K113" s="10"/>
      <c r="L113" s="11"/>
      <c r="M113" s="10"/>
      <c r="N113" s="11"/>
      <c r="O113" s="10"/>
      <c r="P113" s="11"/>
      <c r="Q113" s="10"/>
      <c r="R113" s="11"/>
      <c r="S113" s="10"/>
      <c r="T113" s="11"/>
      <c r="U113" s="10"/>
      <c r="V113" s="11"/>
      <c r="W113" s="10"/>
      <c r="X113" s="11"/>
      <c r="Y113" s="10"/>
      <c r="Z113" s="11"/>
      <c r="AA113" s="10"/>
      <c r="AB113" s="11"/>
      <c r="AC113" s="10"/>
      <c r="AD113" s="11"/>
      <c r="AE113" s="10"/>
      <c r="AF113" s="11"/>
      <c r="AG113" s="11"/>
      <c r="AH113" s="11"/>
      <c r="AI113" s="10"/>
      <c r="AJ113" s="10"/>
    </row>
    <row r="114" customFormat="false" ht="52.2" hidden="false" customHeight="false" outlineLevel="0" collapsed="false">
      <c r="A114" s="7" t="n">
        <v>112</v>
      </c>
      <c r="B114" s="7" t="str">
        <f aca="false">IF(I114="Y",IF(COUNTIF(I$3:I114,"Y")&lt;=20,"pilot",IF(COUNTIF(I$3:I114,"Y")&lt;=40,"dev",IF(COUNTIF(I$3:I114,"Y")&lt;=200,"test","extra"))),"")</f>
        <v/>
      </c>
      <c r="C114" s="7" t="str">
        <f aca="false">IF(I114="Y",IF(COUNTA(K114,M114,O114,Q114,S114,U114,W114,Y114,AA114,AC114,AE114)=11,"done","in progress"),IF(I114="N","excluded",""))</f>
        <v/>
      </c>
      <c r="D114" s="7" t="s">
        <v>375</v>
      </c>
      <c r="E114" s="8" t="s">
        <v>96</v>
      </c>
      <c r="F114" s="9" t="s">
        <v>376</v>
      </c>
      <c r="G114" s="7" t="s">
        <v>377</v>
      </c>
      <c r="H114" s="7"/>
      <c r="I114" s="10"/>
      <c r="J114" s="10"/>
      <c r="K114" s="10"/>
      <c r="L114" s="11"/>
      <c r="M114" s="10"/>
      <c r="N114" s="11"/>
      <c r="O114" s="10"/>
      <c r="P114" s="11"/>
      <c r="Q114" s="10"/>
      <c r="R114" s="11"/>
      <c r="S114" s="10"/>
      <c r="T114" s="11"/>
      <c r="U114" s="10"/>
      <c r="V114" s="11"/>
      <c r="W114" s="10"/>
      <c r="X114" s="11"/>
      <c r="Y114" s="10"/>
      <c r="Z114" s="11"/>
      <c r="AA114" s="10"/>
      <c r="AB114" s="11"/>
      <c r="AC114" s="10"/>
      <c r="AD114" s="11"/>
      <c r="AE114" s="10"/>
      <c r="AF114" s="11"/>
      <c r="AG114" s="11"/>
      <c r="AH114" s="11"/>
      <c r="AI114" s="10"/>
      <c r="AJ114" s="10"/>
    </row>
    <row r="115" customFormat="false" ht="52.2" hidden="false" customHeight="false" outlineLevel="0" collapsed="false">
      <c r="A115" s="7" t="n">
        <v>113</v>
      </c>
      <c r="B115" s="7" t="str">
        <f aca="false">IF(I115="Y",IF(COUNTIF(I$3:I115,"Y")&lt;=20,"pilot",IF(COUNTIF(I$3:I115,"Y")&lt;=40,"dev",IF(COUNTIF(I$3:I115,"Y")&lt;=200,"test","extra"))),"")</f>
        <v/>
      </c>
      <c r="C115" s="7" t="str">
        <f aca="false">IF(I115="Y",IF(COUNTA(K115,M115,O115,Q115,S115,U115,W115,Y115,AA115,AC115,AE115)=11,"done","in progress"),IF(I115="N","excluded",""))</f>
        <v/>
      </c>
      <c r="D115" s="7" t="s">
        <v>378</v>
      </c>
      <c r="E115" s="8" t="s">
        <v>96</v>
      </c>
      <c r="F115" s="9" t="s">
        <v>379</v>
      </c>
      <c r="G115" s="7" t="s">
        <v>380</v>
      </c>
      <c r="H115" s="7"/>
      <c r="I115" s="10"/>
      <c r="J115" s="10"/>
      <c r="K115" s="10"/>
      <c r="L115" s="11"/>
      <c r="M115" s="10"/>
      <c r="N115" s="11"/>
      <c r="O115" s="10"/>
      <c r="P115" s="11"/>
      <c r="Q115" s="10"/>
      <c r="R115" s="11"/>
      <c r="S115" s="10"/>
      <c r="T115" s="11"/>
      <c r="U115" s="10"/>
      <c r="V115" s="11"/>
      <c r="W115" s="10"/>
      <c r="X115" s="11"/>
      <c r="Y115" s="10"/>
      <c r="Z115" s="11"/>
      <c r="AA115" s="10"/>
      <c r="AB115" s="11"/>
      <c r="AC115" s="10"/>
      <c r="AD115" s="11"/>
      <c r="AE115" s="10"/>
      <c r="AF115" s="11"/>
      <c r="AG115" s="11"/>
      <c r="AH115" s="11"/>
      <c r="AI115" s="10"/>
      <c r="AJ115" s="10"/>
    </row>
    <row r="116" customFormat="false" ht="26.85" hidden="false" customHeight="false" outlineLevel="0" collapsed="false">
      <c r="A116" s="7" t="n">
        <v>114</v>
      </c>
      <c r="B116" s="7" t="str">
        <f aca="false">IF(I116="Y",IF(COUNTIF(I$3:I116,"Y")&lt;=20,"pilot",IF(COUNTIF(I$3:I116,"Y")&lt;=40,"dev",IF(COUNTIF(I$3:I116,"Y")&lt;=200,"test","extra"))),"")</f>
        <v/>
      </c>
      <c r="C116" s="7" t="str">
        <f aca="false">IF(I116="Y",IF(COUNTA(K116,M116,O116,Q116,S116,U116,W116,Y116,AA116,AC116,AE116)=11,"done","in progress"),IF(I116="N","excluded",""))</f>
        <v/>
      </c>
      <c r="D116" s="7" t="s">
        <v>381</v>
      </c>
      <c r="E116" s="8" t="s">
        <v>96</v>
      </c>
      <c r="F116" s="9" t="s">
        <v>382</v>
      </c>
      <c r="G116" s="7" t="s">
        <v>383</v>
      </c>
      <c r="H116" s="7"/>
      <c r="I116" s="10"/>
      <c r="J116" s="10"/>
      <c r="K116" s="10"/>
      <c r="L116" s="11"/>
      <c r="M116" s="10"/>
      <c r="N116" s="11"/>
      <c r="O116" s="10"/>
      <c r="P116" s="11"/>
      <c r="Q116" s="10"/>
      <c r="R116" s="11"/>
      <c r="S116" s="10"/>
      <c r="T116" s="11"/>
      <c r="U116" s="10"/>
      <c r="V116" s="11"/>
      <c r="W116" s="10"/>
      <c r="X116" s="11"/>
      <c r="Y116" s="10"/>
      <c r="Z116" s="11"/>
      <c r="AA116" s="10"/>
      <c r="AB116" s="11"/>
      <c r="AC116" s="10"/>
      <c r="AD116" s="11"/>
      <c r="AE116" s="10"/>
      <c r="AF116" s="11"/>
      <c r="AG116" s="11"/>
      <c r="AH116" s="11"/>
      <c r="AI116" s="10"/>
      <c r="AJ116" s="10"/>
    </row>
    <row r="117" customFormat="false" ht="39.55" hidden="false" customHeight="false" outlineLevel="0" collapsed="false">
      <c r="A117" s="7" t="n">
        <v>115</v>
      </c>
      <c r="B117" s="7" t="str">
        <f aca="false">IF(I117="Y",IF(COUNTIF(I$3:I117,"Y")&lt;=20,"pilot",IF(COUNTIF(I$3:I117,"Y")&lt;=40,"dev",IF(COUNTIF(I$3:I117,"Y")&lt;=200,"test","extra"))),"")</f>
        <v/>
      </c>
      <c r="C117" s="7" t="str">
        <f aca="false">IF(I117="Y",IF(COUNTA(K117,M117,O117,Q117,S117,U117,W117,Y117,AA117,AC117,AE117)=11,"done","in progress"),IF(I117="N","excluded",""))</f>
        <v/>
      </c>
      <c r="D117" s="7" t="s">
        <v>384</v>
      </c>
      <c r="E117" s="8" t="s">
        <v>96</v>
      </c>
      <c r="F117" s="9" t="s">
        <v>385</v>
      </c>
      <c r="G117" s="7" t="s">
        <v>386</v>
      </c>
      <c r="H117" s="7"/>
      <c r="I117" s="10"/>
      <c r="J117" s="10"/>
      <c r="K117" s="10"/>
      <c r="L117" s="11"/>
      <c r="M117" s="10"/>
      <c r="N117" s="11"/>
      <c r="O117" s="10"/>
      <c r="P117" s="11"/>
      <c r="Q117" s="10"/>
      <c r="R117" s="11"/>
      <c r="S117" s="10"/>
      <c r="T117" s="11"/>
      <c r="U117" s="10"/>
      <c r="V117" s="11"/>
      <c r="W117" s="10"/>
      <c r="X117" s="11"/>
      <c r="Y117" s="10"/>
      <c r="Z117" s="11"/>
      <c r="AA117" s="10"/>
      <c r="AB117" s="11"/>
      <c r="AC117" s="10"/>
      <c r="AD117" s="11"/>
      <c r="AE117" s="10"/>
      <c r="AF117" s="11"/>
      <c r="AG117" s="11"/>
      <c r="AH117" s="11"/>
      <c r="AI117" s="10"/>
      <c r="AJ117" s="10"/>
    </row>
    <row r="118" customFormat="false" ht="26.85" hidden="false" customHeight="false" outlineLevel="0" collapsed="false">
      <c r="A118" s="7" t="n">
        <v>116</v>
      </c>
      <c r="B118" s="7" t="str">
        <f aca="false">IF(I118="Y",IF(COUNTIF(I$3:I118,"Y")&lt;=20,"pilot",IF(COUNTIF(I$3:I118,"Y")&lt;=40,"dev",IF(COUNTIF(I$3:I118,"Y")&lt;=200,"test","extra"))),"")</f>
        <v/>
      </c>
      <c r="C118" s="7" t="str">
        <f aca="false">IF(I118="Y",IF(COUNTA(K118,M118,O118,Q118,S118,U118,W118,Y118,AA118,AC118,AE118)=11,"done","in progress"),IF(I118="N","excluded",""))</f>
        <v/>
      </c>
      <c r="D118" s="7" t="s">
        <v>387</v>
      </c>
      <c r="E118" s="8" t="s">
        <v>96</v>
      </c>
      <c r="F118" s="9" t="s">
        <v>388</v>
      </c>
      <c r="G118" s="7" t="s">
        <v>377</v>
      </c>
      <c r="H118" s="7"/>
      <c r="I118" s="10"/>
      <c r="J118" s="10"/>
      <c r="K118" s="10"/>
      <c r="L118" s="11"/>
      <c r="M118" s="10"/>
      <c r="N118" s="11"/>
      <c r="O118" s="10"/>
      <c r="P118" s="11"/>
      <c r="Q118" s="10"/>
      <c r="R118" s="11"/>
      <c r="S118" s="10"/>
      <c r="T118" s="11"/>
      <c r="U118" s="10"/>
      <c r="V118" s="11"/>
      <c r="W118" s="10"/>
      <c r="X118" s="11"/>
      <c r="Y118" s="10"/>
      <c r="Z118" s="11"/>
      <c r="AA118" s="10"/>
      <c r="AB118" s="11"/>
      <c r="AC118" s="10"/>
      <c r="AD118" s="11"/>
      <c r="AE118" s="10"/>
      <c r="AF118" s="11"/>
      <c r="AG118" s="11"/>
      <c r="AH118" s="11"/>
      <c r="AI118" s="10"/>
      <c r="AJ118" s="10"/>
    </row>
    <row r="119" customFormat="false" ht="39.55" hidden="false" customHeight="false" outlineLevel="0" collapsed="false">
      <c r="A119" s="7" t="n">
        <v>117</v>
      </c>
      <c r="B119" s="7" t="str">
        <f aca="false">IF(I119="Y",IF(COUNTIF(I$3:I119,"Y")&lt;=20,"pilot",IF(COUNTIF(I$3:I119,"Y")&lt;=40,"dev",IF(COUNTIF(I$3:I119,"Y")&lt;=200,"test","extra"))),"")</f>
        <v/>
      </c>
      <c r="C119" s="7" t="str">
        <f aca="false">IF(I119="Y",IF(COUNTA(K119,M119,O119,Q119,S119,U119,W119,Y119,AA119,AC119,AE119)=11,"done","in progress"),IF(I119="N","excluded",""))</f>
        <v/>
      </c>
      <c r="D119" s="7" t="s">
        <v>389</v>
      </c>
      <c r="E119" s="8" t="s">
        <v>96</v>
      </c>
      <c r="F119" s="9" t="s">
        <v>390</v>
      </c>
      <c r="G119" s="7" t="s">
        <v>125</v>
      </c>
      <c r="H119" s="7"/>
      <c r="I119" s="10"/>
      <c r="J119" s="10"/>
      <c r="K119" s="10"/>
      <c r="L119" s="11"/>
      <c r="M119" s="10"/>
      <c r="N119" s="11"/>
      <c r="O119" s="10"/>
      <c r="P119" s="11"/>
      <c r="Q119" s="10"/>
      <c r="R119" s="11"/>
      <c r="S119" s="10"/>
      <c r="T119" s="11"/>
      <c r="U119" s="10"/>
      <c r="V119" s="11"/>
      <c r="W119" s="10"/>
      <c r="X119" s="11"/>
      <c r="Y119" s="10"/>
      <c r="Z119" s="11"/>
      <c r="AA119" s="10"/>
      <c r="AB119" s="11"/>
      <c r="AC119" s="10"/>
      <c r="AD119" s="11"/>
      <c r="AE119" s="10"/>
      <c r="AF119" s="11"/>
      <c r="AG119" s="11"/>
      <c r="AH119" s="11"/>
      <c r="AI119" s="10"/>
      <c r="AJ119" s="10"/>
    </row>
    <row r="120" customFormat="false" ht="26.85" hidden="false" customHeight="false" outlineLevel="0" collapsed="false">
      <c r="A120" s="7" t="n">
        <v>118</v>
      </c>
      <c r="B120" s="7" t="str">
        <f aca="false">IF(I120="Y",IF(COUNTIF(I$3:I120,"Y")&lt;=20,"pilot",IF(COUNTIF(I$3:I120,"Y")&lt;=40,"dev",IF(COUNTIF(I$3:I120,"Y")&lt;=200,"test","extra"))),"")</f>
        <v/>
      </c>
      <c r="C120" s="7" t="str">
        <f aca="false">IF(I120="Y",IF(COUNTA(K120,M120,O120,Q120,S120,U120,W120,Y120,AA120,AC120,AE120)=11,"done","in progress"),IF(I120="N","excluded",""))</f>
        <v/>
      </c>
      <c r="D120" s="7" t="s">
        <v>391</v>
      </c>
      <c r="E120" s="8" t="s">
        <v>96</v>
      </c>
      <c r="F120" s="9" t="s">
        <v>392</v>
      </c>
      <c r="G120" s="7" t="s">
        <v>133</v>
      </c>
      <c r="H120" s="7"/>
      <c r="I120" s="10"/>
      <c r="J120" s="10"/>
      <c r="K120" s="10"/>
      <c r="L120" s="11"/>
      <c r="M120" s="10"/>
      <c r="N120" s="11"/>
      <c r="O120" s="10"/>
      <c r="P120" s="11"/>
      <c r="Q120" s="10"/>
      <c r="R120" s="11"/>
      <c r="S120" s="10"/>
      <c r="T120" s="11"/>
      <c r="U120" s="10"/>
      <c r="V120" s="11"/>
      <c r="W120" s="10"/>
      <c r="X120" s="11"/>
      <c r="Y120" s="10"/>
      <c r="Z120" s="11"/>
      <c r="AA120" s="10"/>
      <c r="AB120" s="11"/>
      <c r="AC120" s="10"/>
      <c r="AD120" s="11"/>
      <c r="AE120" s="10"/>
      <c r="AF120" s="11"/>
      <c r="AG120" s="11"/>
      <c r="AH120" s="11"/>
      <c r="AI120" s="10"/>
      <c r="AJ120" s="10"/>
    </row>
    <row r="121" customFormat="false" ht="39.55" hidden="false" customHeight="false" outlineLevel="0" collapsed="false">
      <c r="A121" s="7" t="n">
        <v>119</v>
      </c>
      <c r="B121" s="7" t="str">
        <f aca="false">IF(I121="Y",IF(COUNTIF(I$3:I121,"Y")&lt;=20,"pilot",IF(COUNTIF(I$3:I121,"Y")&lt;=40,"dev",IF(COUNTIF(I$3:I121,"Y")&lt;=200,"test","extra"))),"")</f>
        <v/>
      </c>
      <c r="C121" s="7" t="str">
        <f aca="false">IF(I121="Y",IF(COUNTA(K121,M121,O121,Q121,S121,U121,W121,Y121,AA121,AC121,AE121)=11,"done","in progress"),IF(I121="N","excluded",""))</f>
        <v/>
      </c>
      <c r="D121" s="7" t="s">
        <v>393</v>
      </c>
      <c r="E121" s="8" t="s">
        <v>96</v>
      </c>
      <c r="F121" s="9" t="s">
        <v>394</v>
      </c>
      <c r="G121" s="7" t="s">
        <v>154</v>
      </c>
      <c r="H121" s="7"/>
      <c r="I121" s="10"/>
      <c r="J121" s="10"/>
      <c r="K121" s="10"/>
      <c r="L121" s="11"/>
      <c r="M121" s="10"/>
      <c r="N121" s="11"/>
      <c r="O121" s="10"/>
      <c r="P121" s="11"/>
      <c r="Q121" s="10"/>
      <c r="R121" s="11"/>
      <c r="S121" s="10"/>
      <c r="T121" s="11"/>
      <c r="U121" s="10"/>
      <c r="V121" s="11"/>
      <c r="W121" s="10"/>
      <c r="X121" s="11"/>
      <c r="Y121" s="10"/>
      <c r="Z121" s="11"/>
      <c r="AA121" s="10"/>
      <c r="AB121" s="11"/>
      <c r="AC121" s="10"/>
      <c r="AD121" s="11"/>
      <c r="AE121" s="10"/>
      <c r="AF121" s="11"/>
      <c r="AG121" s="11"/>
      <c r="AH121" s="11"/>
      <c r="AI121" s="10"/>
      <c r="AJ121" s="10"/>
    </row>
    <row r="122" customFormat="false" ht="39.55" hidden="false" customHeight="false" outlineLevel="0" collapsed="false">
      <c r="A122" s="7" t="n">
        <v>120</v>
      </c>
      <c r="B122" s="7" t="str">
        <f aca="false">IF(I122="Y",IF(COUNTIF(I$3:I122,"Y")&lt;=20,"pilot",IF(COUNTIF(I$3:I122,"Y")&lt;=40,"dev",IF(COUNTIF(I$3:I122,"Y")&lt;=200,"test","extra"))),"")</f>
        <v/>
      </c>
      <c r="C122" s="7" t="str">
        <f aca="false">IF(I122="Y",IF(COUNTA(K122,M122,O122,Q122,S122,U122,W122,Y122,AA122,AC122,AE122)=11,"done","in progress"),IF(I122="N","excluded",""))</f>
        <v/>
      </c>
      <c r="D122" s="7" t="s">
        <v>395</v>
      </c>
      <c r="E122" s="8" t="s">
        <v>96</v>
      </c>
      <c r="F122" s="9" t="s">
        <v>396</v>
      </c>
      <c r="G122" s="7" t="s">
        <v>116</v>
      </c>
      <c r="H122" s="7"/>
      <c r="I122" s="10"/>
      <c r="J122" s="10"/>
      <c r="K122" s="10"/>
      <c r="L122" s="11"/>
      <c r="M122" s="10"/>
      <c r="N122" s="11"/>
      <c r="O122" s="10"/>
      <c r="P122" s="11"/>
      <c r="Q122" s="10"/>
      <c r="R122" s="11"/>
      <c r="S122" s="10"/>
      <c r="T122" s="11"/>
      <c r="U122" s="10"/>
      <c r="V122" s="11"/>
      <c r="W122" s="10"/>
      <c r="X122" s="11"/>
      <c r="Y122" s="10"/>
      <c r="Z122" s="11"/>
      <c r="AA122" s="10"/>
      <c r="AB122" s="11"/>
      <c r="AC122" s="10"/>
      <c r="AD122" s="11"/>
      <c r="AE122" s="10"/>
      <c r="AF122" s="11"/>
      <c r="AG122" s="11"/>
      <c r="AH122" s="11"/>
      <c r="AI122" s="10"/>
      <c r="AJ122" s="10"/>
    </row>
    <row r="123" customFormat="false" ht="39.55" hidden="false" customHeight="false" outlineLevel="0" collapsed="false">
      <c r="A123" s="7" t="n">
        <v>121</v>
      </c>
      <c r="B123" s="7" t="str">
        <f aca="false">IF(I123="Y",IF(COUNTIF(I$3:I123,"Y")&lt;=20,"pilot",IF(COUNTIF(I$3:I123,"Y")&lt;=40,"dev",IF(COUNTIF(I$3:I123,"Y")&lt;=200,"test","extra"))),"")</f>
        <v/>
      </c>
      <c r="C123" s="7" t="str">
        <f aca="false">IF(I123="Y",IF(COUNTA(K123,M123,O123,Q123,S123,U123,W123,Y123,AA123,AC123,AE123)=11,"done","in progress"),IF(I123="N","excluded",""))</f>
        <v/>
      </c>
      <c r="D123" s="7" t="s">
        <v>397</v>
      </c>
      <c r="E123" s="8" t="s">
        <v>96</v>
      </c>
      <c r="F123" s="9" t="s">
        <v>398</v>
      </c>
      <c r="G123" s="7" t="s">
        <v>107</v>
      </c>
      <c r="H123" s="7"/>
      <c r="I123" s="10"/>
      <c r="J123" s="10"/>
      <c r="K123" s="10"/>
      <c r="L123" s="11"/>
      <c r="M123" s="10"/>
      <c r="N123" s="11"/>
      <c r="O123" s="10"/>
      <c r="P123" s="11"/>
      <c r="Q123" s="10"/>
      <c r="R123" s="11"/>
      <c r="S123" s="10"/>
      <c r="T123" s="11"/>
      <c r="U123" s="10"/>
      <c r="V123" s="11"/>
      <c r="W123" s="10"/>
      <c r="X123" s="11"/>
      <c r="Y123" s="10"/>
      <c r="Z123" s="11"/>
      <c r="AA123" s="10"/>
      <c r="AB123" s="11"/>
      <c r="AC123" s="10"/>
      <c r="AD123" s="11"/>
      <c r="AE123" s="10"/>
      <c r="AF123" s="11"/>
      <c r="AG123" s="11"/>
      <c r="AH123" s="11"/>
      <c r="AI123" s="10"/>
      <c r="AJ123" s="10"/>
    </row>
    <row r="124" customFormat="false" ht="26.85" hidden="false" customHeight="false" outlineLevel="0" collapsed="false">
      <c r="A124" s="7" t="n">
        <v>122</v>
      </c>
      <c r="B124" s="7" t="str">
        <f aca="false">IF(I124="Y",IF(COUNTIF(I$3:I124,"Y")&lt;=20,"pilot",IF(COUNTIF(I$3:I124,"Y")&lt;=40,"dev",IF(COUNTIF(I$3:I124,"Y")&lt;=200,"test","extra"))),"")</f>
        <v/>
      </c>
      <c r="C124" s="7" t="str">
        <f aca="false">IF(I124="Y",IF(COUNTA(K124,M124,O124,Q124,S124,U124,W124,Y124,AA124,AC124,AE124)=11,"done","in progress"),IF(I124="N","excluded",""))</f>
        <v/>
      </c>
      <c r="D124" s="7" t="s">
        <v>399</v>
      </c>
      <c r="E124" s="8" t="s">
        <v>96</v>
      </c>
      <c r="F124" s="9" t="s">
        <v>400</v>
      </c>
      <c r="G124" s="7" t="s">
        <v>133</v>
      </c>
      <c r="H124" s="7"/>
      <c r="I124" s="10"/>
      <c r="J124" s="10"/>
      <c r="K124" s="10"/>
      <c r="L124" s="11"/>
      <c r="M124" s="10"/>
      <c r="N124" s="11"/>
      <c r="O124" s="10"/>
      <c r="P124" s="11"/>
      <c r="Q124" s="10"/>
      <c r="R124" s="11"/>
      <c r="S124" s="10"/>
      <c r="T124" s="11"/>
      <c r="U124" s="10"/>
      <c r="V124" s="11"/>
      <c r="W124" s="10"/>
      <c r="X124" s="11"/>
      <c r="Y124" s="10"/>
      <c r="Z124" s="11"/>
      <c r="AA124" s="10"/>
      <c r="AB124" s="11"/>
      <c r="AC124" s="10"/>
      <c r="AD124" s="11"/>
      <c r="AE124" s="10"/>
      <c r="AF124" s="11"/>
      <c r="AG124" s="11"/>
      <c r="AH124" s="11"/>
      <c r="AI124" s="10"/>
      <c r="AJ124" s="10"/>
    </row>
    <row r="125" customFormat="false" ht="39.55" hidden="false" customHeight="false" outlineLevel="0" collapsed="false">
      <c r="A125" s="7" t="n">
        <v>123</v>
      </c>
      <c r="B125" s="7" t="str">
        <f aca="false">IF(I125="Y",IF(COUNTIF(I$3:I125,"Y")&lt;=20,"pilot",IF(COUNTIF(I$3:I125,"Y")&lt;=40,"dev",IF(COUNTIF(I$3:I125,"Y")&lt;=200,"test","extra"))),"")</f>
        <v/>
      </c>
      <c r="C125" s="7" t="str">
        <f aca="false">IF(I125="Y",IF(COUNTA(K125,M125,O125,Q125,S125,U125,W125,Y125,AA125,AC125,AE125)=11,"done","in progress"),IF(I125="N","excluded",""))</f>
        <v/>
      </c>
      <c r="D125" s="7" t="s">
        <v>401</v>
      </c>
      <c r="E125" s="8" t="s">
        <v>96</v>
      </c>
      <c r="F125" s="9" t="s">
        <v>402</v>
      </c>
      <c r="G125" s="7" t="s">
        <v>116</v>
      </c>
      <c r="H125" s="7"/>
      <c r="I125" s="10"/>
      <c r="J125" s="10"/>
      <c r="K125" s="10"/>
      <c r="L125" s="11"/>
      <c r="M125" s="10"/>
      <c r="N125" s="11"/>
      <c r="O125" s="10"/>
      <c r="P125" s="11"/>
      <c r="Q125" s="10"/>
      <c r="R125" s="11"/>
      <c r="S125" s="10"/>
      <c r="T125" s="11"/>
      <c r="U125" s="10"/>
      <c r="V125" s="11"/>
      <c r="W125" s="10"/>
      <c r="X125" s="11"/>
      <c r="Y125" s="10"/>
      <c r="Z125" s="11"/>
      <c r="AA125" s="10"/>
      <c r="AB125" s="11"/>
      <c r="AC125" s="10"/>
      <c r="AD125" s="11"/>
      <c r="AE125" s="10"/>
      <c r="AF125" s="11"/>
      <c r="AG125" s="11"/>
      <c r="AH125" s="11"/>
      <c r="AI125" s="10"/>
      <c r="AJ125" s="10"/>
    </row>
    <row r="126" customFormat="false" ht="39.55" hidden="false" customHeight="false" outlineLevel="0" collapsed="false">
      <c r="A126" s="7" t="n">
        <v>124</v>
      </c>
      <c r="B126" s="7" t="str">
        <f aca="false">IF(I126="Y",IF(COUNTIF(I$3:I126,"Y")&lt;=20,"pilot",IF(COUNTIF(I$3:I126,"Y")&lt;=40,"dev",IF(COUNTIF(I$3:I126,"Y")&lt;=200,"test","extra"))),"")</f>
        <v/>
      </c>
      <c r="C126" s="7" t="str">
        <f aca="false">IF(I126="Y",IF(COUNTA(K126,M126,O126,Q126,S126,U126,W126,Y126,AA126,AC126,AE126)=11,"done","in progress"),IF(I126="N","excluded",""))</f>
        <v/>
      </c>
      <c r="D126" s="7" t="s">
        <v>403</v>
      </c>
      <c r="E126" s="8" t="s">
        <v>96</v>
      </c>
      <c r="F126" s="9" t="s">
        <v>404</v>
      </c>
      <c r="G126" s="7" t="s">
        <v>405</v>
      </c>
      <c r="H126" s="7"/>
      <c r="I126" s="10"/>
      <c r="J126" s="10"/>
      <c r="K126" s="10"/>
      <c r="L126" s="11"/>
      <c r="M126" s="10"/>
      <c r="N126" s="11"/>
      <c r="O126" s="10"/>
      <c r="P126" s="11"/>
      <c r="Q126" s="10"/>
      <c r="R126" s="11"/>
      <c r="S126" s="10"/>
      <c r="T126" s="11"/>
      <c r="U126" s="10"/>
      <c r="V126" s="11"/>
      <c r="W126" s="10"/>
      <c r="X126" s="11"/>
      <c r="Y126" s="10"/>
      <c r="Z126" s="11"/>
      <c r="AA126" s="10"/>
      <c r="AB126" s="11"/>
      <c r="AC126" s="10"/>
      <c r="AD126" s="11"/>
      <c r="AE126" s="10"/>
      <c r="AF126" s="11"/>
      <c r="AG126" s="11"/>
      <c r="AH126" s="11"/>
      <c r="AI126" s="10"/>
      <c r="AJ126" s="10"/>
    </row>
    <row r="127" customFormat="false" ht="39.55" hidden="false" customHeight="false" outlineLevel="0" collapsed="false">
      <c r="A127" s="7" t="n">
        <v>125</v>
      </c>
      <c r="B127" s="7" t="str">
        <f aca="false">IF(I127="Y",IF(COUNTIF(I$3:I127,"Y")&lt;=20,"pilot",IF(COUNTIF(I$3:I127,"Y")&lt;=40,"dev",IF(COUNTIF(I$3:I127,"Y")&lt;=200,"test","extra"))),"")</f>
        <v/>
      </c>
      <c r="C127" s="7" t="str">
        <f aca="false">IF(I127="Y",IF(COUNTA(K127,M127,O127,Q127,S127,U127,W127,Y127,AA127,AC127,AE127)=11,"done","in progress"),IF(I127="N","excluded",""))</f>
        <v/>
      </c>
      <c r="D127" s="7" t="s">
        <v>406</v>
      </c>
      <c r="E127" s="8" t="s">
        <v>96</v>
      </c>
      <c r="F127" s="9" t="s">
        <v>407</v>
      </c>
      <c r="G127" s="7" t="s">
        <v>408</v>
      </c>
      <c r="H127" s="7"/>
      <c r="I127" s="10"/>
      <c r="J127" s="10"/>
      <c r="K127" s="10"/>
      <c r="L127" s="11"/>
      <c r="M127" s="10"/>
      <c r="N127" s="11"/>
      <c r="O127" s="10"/>
      <c r="P127" s="11"/>
      <c r="Q127" s="10"/>
      <c r="R127" s="11"/>
      <c r="S127" s="10"/>
      <c r="T127" s="11"/>
      <c r="U127" s="10"/>
      <c r="V127" s="11"/>
      <c r="W127" s="10"/>
      <c r="X127" s="11"/>
      <c r="Y127" s="10"/>
      <c r="Z127" s="11"/>
      <c r="AA127" s="10"/>
      <c r="AB127" s="11"/>
      <c r="AC127" s="10"/>
      <c r="AD127" s="11"/>
      <c r="AE127" s="10"/>
      <c r="AF127" s="11"/>
      <c r="AG127" s="11"/>
      <c r="AH127" s="11"/>
      <c r="AI127" s="10"/>
      <c r="AJ127" s="10"/>
    </row>
    <row r="128" customFormat="false" ht="39.55" hidden="false" customHeight="false" outlineLevel="0" collapsed="false">
      <c r="A128" s="7" t="n">
        <v>126</v>
      </c>
      <c r="B128" s="7" t="str">
        <f aca="false">IF(I128="Y",IF(COUNTIF(I$3:I128,"Y")&lt;=20,"pilot",IF(COUNTIF(I$3:I128,"Y")&lt;=40,"dev",IF(COUNTIF(I$3:I128,"Y")&lt;=200,"test","extra"))),"")</f>
        <v/>
      </c>
      <c r="C128" s="7" t="str">
        <f aca="false">IF(I128="Y",IF(COUNTA(K128,M128,O128,Q128,S128,U128,W128,Y128,AA128,AC128,AE128)=11,"done","in progress"),IF(I128="N","excluded",""))</f>
        <v/>
      </c>
      <c r="D128" s="7" t="s">
        <v>409</v>
      </c>
      <c r="E128" s="8" t="s">
        <v>96</v>
      </c>
      <c r="F128" s="9" t="s">
        <v>410</v>
      </c>
      <c r="G128" s="7" t="s">
        <v>238</v>
      </c>
      <c r="H128" s="7"/>
      <c r="I128" s="10"/>
      <c r="J128" s="10"/>
      <c r="K128" s="10"/>
      <c r="L128" s="11"/>
      <c r="M128" s="10"/>
      <c r="N128" s="11"/>
      <c r="O128" s="10"/>
      <c r="P128" s="11"/>
      <c r="Q128" s="10"/>
      <c r="R128" s="11"/>
      <c r="S128" s="10"/>
      <c r="T128" s="11"/>
      <c r="U128" s="10"/>
      <c r="V128" s="11"/>
      <c r="W128" s="10"/>
      <c r="X128" s="11"/>
      <c r="Y128" s="10"/>
      <c r="Z128" s="11"/>
      <c r="AA128" s="10"/>
      <c r="AB128" s="11"/>
      <c r="AC128" s="10"/>
      <c r="AD128" s="11"/>
      <c r="AE128" s="10"/>
      <c r="AF128" s="11"/>
      <c r="AG128" s="11"/>
      <c r="AH128" s="11"/>
      <c r="AI128" s="10"/>
      <c r="AJ128" s="10"/>
    </row>
    <row r="129" customFormat="false" ht="39.55" hidden="false" customHeight="false" outlineLevel="0" collapsed="false">
      <c r="A129" s="7" t="n">
        <v>127</v>
      </c>
      <c r="B129" s="7" t="str">
        <f aca="false">IF(I129="Y",IF(COUNTIF(I$3:I129,"Y")&lt;=20,"pilot",IF(COUNTIF(I$3:I129,"Y")&lt;=40,"dev",IF(COUNTIF(I$3:I129,"Y")&lt;=200,"test","extra"))),"")</f>
        <v/>
      </c>
      <c r="C129" s="7" t="str">
        <f aca="false">IF(I129="Y",IF(COUNTA(K129,M129,O129,Q129,S129,U129,W129,Y129,AA129,AC129,AE129)=11,"done","in progress"),IF(I129="N","excluded",""))</f>
        <v/>
      </c>
      <c r="D129" s="7" t="s">
        <v>411</v>
      </c>
      <c r="E129" s="8" t="s">
        <v>96</v>
      </c>
      <c r="F129" s="9" t="s">
        <v>412</v>
      </c>
      <c r="G129" s="7" t="s">
        <v>413</v>
      </c>
      <c r="H129" s="7"/>
      <c r="I129" s="10"/>
      <c r="J129" s="10"/>
      <c r="K129" s="10"/>
      <c r="L129" s="11"/>
      <c r="M129" s="10"/>
      <c r="N129" s="11"/>
      <c r="O129" s="10"/>
      <c r="P129" s="11"/>
      <c r="Q129" s="10"/>
      <c r="R129" s="11"/>
      <c r="S129" s="10"/>
      <c r="T129" s="11"/>
      <c r="U129" s="10"/>
      <c r="V129" s="11"/>
      <c r="W129" s="10"/>
      <c r="X129" s="11"/>
      <c r="Y129" s="10"/>
      <c r="Z129" s="11"/>
      <c r="AA129" s="10"/>
      <c r="AB129" s="11"/>
      <c r="AC129" s="10"/>
      <c r="AD129" s="11"/>
      <c r="AE129" s="10"/>
      <c r="AF129" s="11"/>
      <c r="AG129" s="11"/>
      <c r="AH129" s="11"/>
      <c r="AI129" s="10"/>
      <c r="AJ129" s="10"/>
    </row>
    <row r="130" customFormat="false" ht="52.2" hidden="false" customHeight="false" outlineLevel="0" collapsed="false">
      <c r="A130" s="7" t="n">
        <v>128</v>
      </c>
      <c r="B130" s="7" t="str">
        <f aca="false">IF(I130="Y",IF(COUNTIF(I$3:I130,"Y")&lt;=20,"pilot",IF(COUNTIF(I$3:I130,"Y")&lt;=40,"dev",IF(COUNTIF(I$3:I130,"Y")&lt;=200,"test","extra"))),"")</f>
        <v/>
      </c>
      <c r="C130" s="7" t="str">
        <f aca="false">IF(I130="Y",IF(COUNTA(K130,M130,O130,Q130,S130,U130,W130,Y130,AA130,AC130,AE130)=11,"done","in progress"),IF(I130="N","excluded",""))</f>
        <v/>
      </c>
      <c r="D130" s="7" t="s">
        <v>414</v>
      </c>
      <c r="E130" s="8" t="s">
        <v>96</v>
      </c>
      <c r="F130" s="9" t="s">
        <v>415</v>
      </c>
      <c r="G130" s="7" t="s">
        <v>98</v>
      </c>
      <c r="H130" s="7"/>
      <c r="I130" s="10"/>
      <c r="J130" s="10"/>
      <c r="K130" s="10"/>
      <c r="L130" s="11"/>
      <c r="M130" s="10"/>
      <c r="N130" s="11"/>
      <c r="O130" s="10"/>
      <c r="P130" s="11"/>
      <c r="Q130" s="10"/>
      <c r="R130" s="11"/>
      <c r="S130" s="10"/>
      <c r="T130" s="11"/>
      <c r="U130" s="10"/>
      <c r="V130" s="11"/>
      <c r="W130" s="10"/>
      <c r="X130" s="11"/>
      <c r="Y130" s="10"/>
      <c r="Z130" s="11"/>
      <c r="AA130" s="10"/>
      <c r="AB130" s="11"/>
      <c r="AC130" s="10"/>
      <c r="AD130" s="11"/>
      <c r="AE130" s="10"/>
      <c r="AF130" s="11"/>
      <c r="AG130" s="11"/>
      <c r="AH130" s="11"/>
      <c r="AI130" s="10"/>
      <c r="AJ130" s="10"/>
    </row>
    <row r="131" customFormat="false" ht="52.2" hidden="false" customHeight="false" outlineLevel="0" collapsed="false">
      <c r="A131" s="7" t="n">
        <v>129</v>
      </c>
      <c r="B131" s="7" t="str">
        <f aca="false">IF(I131="Y",IF(COUNTIF(I$3:I131,"Y")&lt;=20,"pilot",IF(COUNTIF(I$3:I131,"Y")&lt;=40,"dev",IF(COUNTIF(I$3:I131,"Y")&lt;=200,"test","extra"))),"")</f>
        <v/>
      </c>
      <c r="C131" s="7" t="str">
        <f aca="false">IF(I131="Y",IF(COUNTA(K131,M131,O131,Q131,S131,U131,W131,Y131,AA131,AC131,AE131)=11,"done","in progress"),IF(I131="N","excluded",""))</f>
        <v/>
      </c>
      <c r="D131" s="7" t="s">
        <v>416</v>
      </c>
      <c r="E131" s="8" t="s">
        <v>96</v>
      </c>
      <c r="F131" s="9" t="s">
        <v>417</v>
      </c>
      <c r="G131" s="7" t="s">
        <v>113</v>
      </c>
      <c r="H131" s="7"/>
      <c r="I131" s="10"/>
      <c r="J131" s="10"/>
      <c r="K131" s="10"/>
      <c r="L131" s="11"/>
      <c r="M131" s="10"/>
      <c r="N131" s="11"/>
      <c r="O131" s="10"/>
      <c r="P131" s="11"/>
      <c r="Q131" s="10"/>
      <c r="R131" s="11"/>
      <c r="S131" s="10"/>
      <c r="T131" s="11"/>
      <c r="U131" s="10"/>
      <c r="V131" s="11"/>
      <c r="W131" s="10"/>
      <c r="X131" s="11"/>
      <c r="Y131" s="10"/>
      <c r="Z131" s="11"/>
      <c r="AA131" s="10"/>
      <c r="AB131" s="11"/>
      <c r="AC131" s="10"/>
      <c r="AD131" s="11"/>
      <c r="AE131" s="10"/>
      <c r="AF131" s="11"/>
      <c r="AG131" s="11"/>
      <c r="AH131" s="11"/>
      <c r="AI131" s="10"/>
      <c r="AJ131" s="10"/>
    </row>
    <row r="132" customFormat="false" ht="39.55" hidden="false" customHeight="false" outlineLevel="0" collapsed="false">
      <c r="A132" s="7" t="n">
        <v>130</v>
      </c>
      <c r="B132" s="7" t="str">
        <f aca="false">IF(I132="Y",IF(COUNTIF(I$3:I132,"Y")&lt;=20,"pilot",IF(COUNTIF(I$3:I132,"Y")&lt;=40,"dev",IF(COUNTIF(I$3:I132,"Y")&lt;=200,"test","extra"))),"")</f>
        <v/>
      </c>
      <c r="C132" s="7" t="str">
        <f aca="false">IF(I132="Y",IF(COUNTA(K132,M132,O132,Q132,S132,U132,W132,Y132,AA132,AC132,AE132)=11,"done","in progress"),IF(I132="N","excluded",""))</f>
        <v/>
      </c>
      <c r="D132" s="7" t="s">
        <v>418</v>
      </c>
      <c r="E132" s="8" t="s">
        <v>96</v>
      </c>
      <c r="F132" s="9" t="s">
        <v>419</v>
      </c>
      <c r="G132" s="7" t="s">
        <v>420</v>
      </c>
      <c r="H132" s="7"/>
      <c r="I132" s="10"/>
      <c r="J132" s="10"/>
      <c r="K132" s="10"/>
      <c r="L132" s="11"/>
      <c r="M132" s="10"/>
      <c r="N132" s="11"/>
      <c r="O132" s="10"/>
      <c r="P132" s="11"/>
      <c r="Q132" s="10"/>
      <c r="R132" s="11"/>
      <c r="S132" s="10"/>
      <c r="T132" s="11"/>
      <c r="U132" s="10"/>
      <c r="V132" s="11"/>
      <c r="W132" s="10"/>
      <c r="X132" s="11"/>
      <c r="Y132" s="10"/>
      <c r="Z132" s="11"/>
      <c r="AA132" s="10"/>
      <c r="AB132" s="11"/>
      <c r="AC132" s="10"/>
      <c r="AD132" s="11"/>
      <c r="AE132" s="10"/>
      <c r="AF132" s="11"/>
      <c r="AG132" s="11"/>
      <c r="AH132" s="11"/>
      <c r="AI132" s="10"/>
      <c r="AJ132" s="10"/>
    </row>
    <row r="133" customFormat="false" ht="39.55" hidden="false" customHeight="false" outlineLevel="0" collapsed="false">
      <c r="A133" s="7" t="n">
        <v>131</v>
      </c>
      <c r="B133" s="7" t="str">
        <f aca="false">IF(I133="Y",IF(COUNTIF(I$3:I133,"Y")&lt;=20,"pilot",IF(COUNTIF(I$3:I133,"Y")&lt;=40,"dev",IF(COUNTIF(I$3:I133,"Y")&lt;=200,"test","extra"))),"")</f>
        <v/>
      </c>
      <c r="C133" s="7" t="str">
        <f aca="false">IF(I133="Y",IF(COUNTA(K133,M133,O133,Q133,S133,U133,W133,Y133,AA133,AC133,AE133)=11,"done","in progress"),IF(I133="N","excluded",""))</f>
        <v/>
      </c>
      <c r="D133" s="7" t="s">
        <v>421</v>
      </c>
      <c r="E133" s="8" t="s">
        <v>96</v>
      </c>
      <c r="F133" s="9" t="s">
        <v>422</v>
      </c>
      <c r="G133" s="7" t="s">
        <v>423</v>
      </c>
      <c r="H133" s="7"/>
      <c r="I133" s="10"/>
      <c r="J133" s="10"/>
      <c r="K133" s="10"/>
      <c r="L133" s="11"/>
      <c r="M133" s="10"/>
      <c r="N133" s="11"/>
      <c r="O133" s="10"/>
      <c r="P133" s="11"/>
      <c r="Q133" s="10"/>
      <c r="R133" s="11"/>
      <c r="S133" s="10"/>
      <c r="T133" s="11"/>
      <c r="U133" s="10"/>
      <c r="V133" s="11"/>
      <c r="W133" s="10"/>
      <c r="X133" s="11"/>
      <c r="Y133" s="10"/>
      <c r="Z133" s="11"/>
      <c r="AA133" s="10"/>
      <c r="AB133" s="11"/>
      <c r="AC133" s="10"/>
      <c r="AD133" s="11"/>
      <c r="AE133" s="10"/>
      <c r="AF133" s="11"/>
      <c r="AG133" s="11"/>
      <c r="AH133" s="11"/>
      <c r="AI133" s="10"/>
      <c r="AJ133" s="10"/>
    </row>
    <row r="134" customFormat="false" ht="52.2" hidden="false" customHeight="false" outlineLevel="0" collapsed="false">
      <c r="A134" s="7" t="n">
        <v>132</v>
      </c>
      <c r="B134" s="7" t="str">
        <f aca="false">IF(I134="Y",IF(COUNTIF(I$3:I134,"Y")&lt;=20,"pilot",IF(COUNTIF(I$3:I134,"Y")&lt;=40,"dev",IF(COUNTIF(I$3:I134,"Y")&lt;=200,"test","extra"))),"")</f>
        <v/>
      </c>
      <c r="C134" s="7" t="str">
        <f aca="false">IF(I134="Y",IF(COUNTA(K134,M134,O134,Q134,S134,U134,W134,Y134,AA134,AC134,AE134)=11,"done","in progress"),IF(I134="N","excluded",""))</f>
        <v/>
      </c>
      <c r="D134" s="7" t="s">
        <v>424</v>
      </c>
      <c r="E134" s="8" t="s">
        <v>96</v>
      </c>
      <c r="F134" s="9" t="s">
        <v>425</v>
      </c>
      <c r="G134" s="7" t="s">
        <v>113</v>
      </c>
      <c r="H134" s="7"/>
      <c r="I134" s="10"/>
      <c r="J134" s="10"/>
      <c r="K134" s="10"/>
      <c r="L134" s="11"/>
      <c r="M134" s="10"/>
      <c r="N134" s="11"/>
      <c r="O134" s="10"/>
      <c r="P134" s="11"/>
      <c r="Q134" s="10"/>
      <c r="R134" s="11"/>
      <c r="S134" s="10"/>
      <c r="T134" s="11"/>
      <c r="U134" s="10"/>
      <c r="V134" s="11"/>
      <c r="W134" s="10"/>
      <c r="X134" s="11"/>
      <c r="Y134" s="10"/>
      <c r="Z134" s="11"/>
      <c r="AA134" s="10"/>
      <c r="AB134" s="11"/>
      <c r="AC134" s="10"/>
      <c r="AD134" s="11"/>
      <c r="AE134" s="10"/>
      <c r="AF134" s="11"/>
      <c r="AG134" s="11"/>
      <c r="AH134" s="11"/>
      <c r="AI134" s="10"/>
      <c r="AJ134" s="10"/>
    </row>
    <row r="135" customFormat="false" ht="39.55" hidden="false" customHeight="false" outlineLevel="0" collapsed="false">
      <c r="A135" s="7" t="n">
        <v>133</v>
      </c>
      <c r="B135" s="7" t="str">
        <f aca="false">IF(I135="Y",IF(COUNTIF(I$3:I135,"Y")&lt;=20,"pilot",IF(COUNTIF(I$3:I135,"Y")&lt;=40,"dev",IF(COUNTIF(I$3:I135,"Y")&lt;=200,"test","extra"))),"")</f>
        <v/>
      </c>
      <c r="C135" s="7" t="str">
        <f aca="false">IF(I135="Y",IF(COUNTA(K135,M135,O135,Q135,S135,U135,W135,Y135,AA135,AC135,AE135)=11,"done","in progress"),IF(I135="N","excluded",""))</f>
        <v/>
      </c>
      <c r="D135" s="7" t="s">
        <v>426</v>
      </c>
      <c r="E135" s="8" t="s">
        <v>96</v>
      </c>
      <c r="F135" s="9" t="s">
        <v>427</v>
      </c>
      <c r="G135" s="7" t="s">
        <v>116</v>
      </c>
      <c r="H135" s="7"/>
      <c r="I135" s="10"/>
      <c r="J135" s="10"/>
      <c r="K135" s="10"/>
      <c r="L135" s="11"/>
      <c r="M135" s="10"/>
      <c r="N135" s="11"/>
      <c r="O135" s="10"/>
      <c r="P135" s="11"/>
      <c r="Q135" s="10"/>
      <c r="R135" s="11"/>
      <c r="S135" s="10"/>
      <c r="T135" s="11"/>
      <c r="U135" s="10"/>
      <c r="V135" s="11"/>
      <c r="W135" s="10"/>
      <c r="X135" s="11"/>
      <c r="Y135" s="10"/>
      <c r="Z135" s="11"/>
      <c r="AA135" s="10"/>
      <c r="AB135" s="11"/>
      <c r="AC135" s="10"/>
      <c r="AD135" s="11"/>
      <c r="AE135" s="10"/>
      <c r="AF135" s="11"/>
      <c r="AG135" s="11"/>
      <c r="AH135" s="11"/>
      <c r="AI135" s="10"/>
      <c r="AJ135" s="10"/>
    </row>
    <row r="136" customFormat="false" ht="26.85" hidden="false" customHeight="false" outlineLevel="0" collapsed="false">
      <c r="A136" s="7" t="n">
        <v>134</v>
      </c>
      <c r="B136" s="7" t="str">
        <f aca="false">IF(I136="Y",IF(COUNTIF(I$3:I136,"Y")&lt;=20,"pilot",IF(COUNTIF(I$3:I136,"Y")&lt;=40,"dev",IF(COUNTIF(I$3:I136,"Y")&lt;=200,"test","extra"))),"")</f>
        <v/>
      </c>
      <c r="C136" s="7" t="str">
        <f aca="false">IF(I136="Y",IF(COUNTA(K136,M136,O136,Q136,S136,U136,W136,Y136,AA136,AC136,AE136)=11,"done","in progress"),IF(I136="N","excluded",""))</f>
        <v/>
      </c>
      <c r="D136" s="7" t="s">
        <v>428</v>
      </c>
      <c r="E136" s="8" t="s">
        <v>96</v>
      </c>
      <c r="F136" s="9" t="s">
        <v>429</v>
      </c>
      <c r="G136" s="7" t="s">
        <v>430</v>
      </c>
      <c r="H136" s="7"/>
      <c r="I136" s="10"/>
      <c r="J136" s="10"/>
      <c r="K136" s="10"/>
      <c r="L136" s="11"/>
      <c r="M136" s="10"/>
      <c r="N136" s="11"/>
      <c r="O136" s="10"/>
      <c r="P136" s="11"/>
      <c r="Q136" s="10"/>
      <c r="R136" s="11"/>
      <c r="S136" s="10"/>
      <c r="T136" s="11"/>
      <c r="U136" s="10"/>
      <c r="V136" s="11"/>
      <c r="W136" s="10"/>
      <c r="X136" s="11"/>
      <c r="Y136" s="10"/>
      <c r="Z136" s="11"/>
      <c r="AA136" s="10"/>
      <c r="AB136" s="11"/>
      <c r="AC136" s="10"/>
      <c r="AD136" s="11"/>
      <c r="AE136" s="10"/>
      <c r="AF136" s="11"/>
      <c r="AG136" s="11"/>
      <c r="AH136" s="11"/>
      <c r="AI136" s="10"/>
      <c r="AJ136" s="10"/>
    </row>
    <row r="137" customFormat="false" ht="52.2" hidden="false" customHeight="false" outlineLevel="0" collapsed="false">
      <c r="A137" s="7" t="n">
        <v>135</v>
      </c>
      <c r="B137" s="7" t="str">
        <f aca="false">IF(I137="Y",IF(COUNTIF(I$3:I137,"Y")&lt;=20,"pilot",IF(COUNTIF(I$3:I137,"Y")&lt;=40,"dev",IF(COUNTIF(I$3:I137,"Y")&lt;=200,"test","extra"))),"")</f>
        <v/>
      </c>
      <c r="C137" s="7" t="str">
        <f aca="false">IF(I137="Y",IF(COUNTA(K137,M137,O137,Q137,S137,U137,W137,Y137,AA137,AC137,AE137)=11,"done","in progress"),IF(I137="N","excluded",""))</f>
        <v/>
      </c>
      <c r="D137" s="7" t="s">
        <v>431</v>
      </c>
      <c r="E137" s="8" t="s">
        <v>96</v>
      </c>
      <c r="F137" s="9" t="s">
        <v>432</v>
      </c>
      <c r="G137" s="7" t="s">
        <v>148</v>
      </c>
      <c r="H137" s="7"/>
      <c r="I137" s="10"/>
      <c r="J137" s="10"/>
      <c r="K137" s="10"/>
      <c r="L137" s="11"/>
      <c r="M137" s="10"/>
      <c r="N137" s="11"/>
      <c r="O137" s="10"/>
      <c r="P137" s="11"/>
      <c r="Q137" s="10"/>
      <c r="R137" s="11"/>
      <c r="S137" s="10"/>
      <c r="T137" s="11"/>
      <c r="U137" s="10"/>
      <c r="V137" s="11"/>
      <c r="W137" s="10"/>
      <c r="X137" s="11"/>
      <c r="Y137" s="10"/>
      <c r="Z137" s="11"/>
      <c r="AA137" s="10"/>
      <c r="AB137" s="11"/>
      <c r="AC137" s="10"/>
      <c r="AD137" s="11"/>
      <c r="AE137" s="10"/>
      <c r="AF137" s="11"/>
      <c r="AG137" s="11"/>
      <c r="AH137" s="11"/>
      <c r="AI137" s="10"/>
      <c r="AJ137" s="10"/>
    </row>
    <row r="138" customFormat="false" ht="39.55" hidden="false" customHeight="false" outlineLevel="0" collapsed="false">
      <c r="A138" s="7" t="n">
        <v>136</v>
      </c>
      <c r="B138" s="7" t="str">
        <f aca="false">IF(I138="Y",IF(COUNTIF(I$3:I138,"Y")&lt;=20,"pilot",IF(COUNTIF(I$3:I138,"Y")&lt;=40,"dev",IF(COUNTIF(I$3:I138,"Y")&lt;=200,"test","extra"))),"")</f>
        <v/>
      </c>
      <c r="C138" s="7" t="str">
        <f aca="false">IF(I138="Y",IF(COUNTA(K138,M138,O138,Q138,S138,U138,W138,Y138,AA138,AC138,AE138)=11,"done","in progress"),IF(I138="N","excluded",""))</f>
        <v/>
      </c>
      <c r="D138" s="7" t="s">
        <v>433</v>
      </c>
      <c r="E138" s="8" t="s">
        <v>96</v>
      </c>
      <c r="F138" s="9" t="s">
        <v>434</v>
      </c>
      <c r="G138" s="7" t="s">
        <v>435</v>
      </c>
      <c r="H138" s="7"/>
      <c r="I138" s="10"/>
      <c r="J138" s="10"/>
      <c r="K138" s="10"/>
      <c r="L138" s="11"/>
      <c r="M138" s="10"/>
      <c r="N138" s="11"/>
      <c r="O138" s="10"/>
      <c r="P138" s="11"/>
      <c r="Q138" s="10"/>
      <c r="R138" s="11"/>
      <c r="S138" s="10"/>
      <c r="T138" s="11"/>
      <c r="U138" s="10"/>
      <c r="V138" s="11"/>
      <c r="W138" s="10"/>
      <c r="X138" s="11"/>
      <c r="Y138" s="10"/>
      <c r="Z138" s="11"/>
      <c r="AA138" s="10"/>
      <c r="AB138" s="11"/>
      <c r="AC138" s="10"/>
      <c r="AD138" s="11"/>
      <c r="AE138" s="10"/>
      <c r="AF138" s="11"/>
      <c r="AG138" s="11"/>
      <c r="AH138" s="11"/>
      <c r="AI138" s="10"/>
      <c r="AJ138" s="10"/>
    </row>
    <row r="139" customFormat="false" ht="39.55" hidden="false" customHeight="false" outlineLevel="0" collapsed="false">
      <c r="A139" s="7" t="n">
        <v>137</v>
      </c>
      <c r="B139" s="7" t="str">
        <f aca="false">IF(I139="Y",IF(COUNTIF(I$3:I139,"Y")&lt;=20,"pilot",IF(COUNTIF(I$3:I139,"Y")&lt;=40,"dev",IF(COUNTIF(I$3:I139,"Y")&lt;=200,"test","extra"))),"")</f>
        <v/>
      </c>
      <c r="C139" s="7" t="str">
        <f aca="false">IF(I139="Y",IF(COUNTA(K139,M139,O139,Q139,S139,U139,W139,Y139,AA139,AC139,AE139)=11,"done","in progress"),IF(I139="N","excluded",""))</f>
        <v/>
      </c>
      <c r="D139" s="7" t="s">
        <v>436</v>
      </c>
      <c r="E139" s="8" t="s">
        <v>96</v>
      </c>
      <c r="F139" s="9" t="s">
        <v>437</v>
      </c>
      <c r="G139" s="7" t="s">
        <v>438</v>
      </c>
      <c r="H139" s="7"/>
      <c r="I139" s="10"/>
      <c r="J139" s="10"/>
      <c r="K139" s="10"/>
      <c r="L139" s="11"/>
      <c r="M139" s="10"/>
      <c r="N139" s="11"/>
      <c r="O139" s="10"/>
      <c r="P139" s="11"/>
      <c r="Q139" s="10"/>
      <c r="R139" s="11"/>
      <c r="S139" s="10"/>
      <c r="T139" s="11"/>
      <c r="U139" s="10"/>
      <c r="V139" s="11"/>
      <c r="W139" s="10"/>
      <c r="X139" s="11"/>
      <c r="Y139" s="10"/>
      <c r="Z139" s="11"/>
      <c r="AA139" s="10"/>
      <c r="AB139" s="11"/>
      <c r="AC139" s="10"/>
      <c r="AD139" s="11"/>
      <c r="AE139" s="10"/>
      <c r="AF139" s="11"/>
      <c r="AG139" s="11"/>
      <c r="AH139" s="11"/>
      <c r="AI139" s="10"/>
      <c r="AJ139" s="10"/>
    </row>
    <row r="140" customFormat="false" ht="26.85" hidden="false" customHeight="false" outlineLevel="0" collapsed="false">
      <c r="A140" s="7" t="n">
        <v>138</v>
      </c>
      <c r="B140" s="7" t="str">
        <f aca="false">IF(I140="Y",IF(COUNTIF(I$3:I140,"Y")&lt;=20,"pilot",IF(COUNTIF(I$3:I140,"Y")&lt;=40,"dev",IF(COUNTIF(I$3:I140,"Y")&lt;=200,"test","extra"))),"")</f>
        <v/>
      </c>
      <c r="C140" s="7" t="str">
        <f aca="false">IF(I140="Y",IF(COUNTA(K140,M140,O140,Q140,S140,U140,W140,Y140,AA140,AC140,AE140)=11,"done","in progress"),IF(I140="N","excluded",""))</f>
        <v/>
      </c>
      <c r="D140" s="7" t="s">
        <v>439</v>
      </c>
      <c r="E140" s="8" t="s">
        <v>96</v>
      </c>
      <c r="F140" s="9" t="s">
        <v>440</v>
      </c>
      <c r="G140" s="7" t="s">
        <v>441</v>
      </c>
      <c r="H140" s="7"/>
      <c r="I140" s="10"/>
      <c r="J140" s="10"/>
      <c r="K140" s="10"/>
      <c r="L140" s="11"/>
      <c r="M140" s="10"/>
      <c r="N140" s="11"/>
      <c r="O140" s="10"/>
      <c r="P140" s="11"/>
      <c r="Q140" s="10"/>
      <c r="R140" s="11"/>
      <c r="S140" s="10"/>
      <c r="T140" s="11"/>
      <c r="U140" s="10"/>
      <c r="V140" s="11"/>
      <c r="W140" s="10"/>
      <c r="X140" s="11"/>
      <c r="Y140" s="10"/>
      <c r="Z140" s="11"/>
      <c r="AA140" s="10"/>
      <c r="AB140" s="11"/>
      <c r="AC140" s="10"/>
      <c r="AD140" s="11"/>
      <c r="AE140" s="10"/>
      <c r="AF140" s="11"/>
      <c r="AG140" s="11"/>
      <c r="AH140" s="11"/>
      <c r="AI140" s="10"/>
      <c r="AJ140" s="10"/>
    </row>
    <row r="141" customFormat="false" ht="39.55" hidden="false" customHeight="false" outlineLevel="0" collapsed="false">
      <c r="A141" s="7" t="n">
        <v>139</v>
      </c>
      <c r="B141" s="7" t="str">
        <f aca="false">IF(I141="Y",IF(COUNTIF(I$3:I141,"Y")&lt;=20,"pilot",IF(COUNTIF(I$3:I141,"Y")&lt;=40,"dev",IF(COUNTIF(I$3:I141,"Y")&lt;=200,"test","extra"))),"")</f>
        <v/>
      </c>
      <c r="C141" s="7" t="str">
        <f aca="false">IF(I141="Y",IF(COUNTA(K141,M141,O141,Q141,S141,U141,W141,Y141,AA141,AC141,AE141)=11,"done","in progress"),IF(I141="N","excluded",""))</f>
        <v/>
      </c>
      <c r="D141" s="7" t="s">
        <v>442</v>
      </c>
      <c r="E141" s="8" t="s">
        <v>96</v>
      </c>
      <c r="F141" s="9" t="s">
        <v>443</v>
      </c>
      <c r="G141" s="7" t="s">
        <v>444</v>
      </c>
      <c r="H141" s="7"/>
      <c r="I141" s="10"/>
      <c r="J141" s="10"/>
      <c r="K141" s="10"/>
      <c r="L141" s="11"/>
      <c r="M141" s="10"/>
      <c r="N141" s="11"/>
      <c r="O141" s="10"/>
      <c r="P141" s="11"/>
      <c r="Q141" s="10"/>
      <c r="R141" s="11"/>
      <c r="S141" s="10"/>
      <c r="T141" s="11"/>
      <c r="U141" s="10"/>
      <c r="V141" s="11"/>
      <c r="W141" s="10"/>
      <c r="X141" s="11"/>
      <c r="Y141" s="10"/>
      <c r="Z141" s="11"/>
      <c r="AA141" s="10"/>
      <c r="AB141" s="11"/>
      <c r="AC141" s="10"/>
      <c r="AD141" s="11"/>
      <c r="AE141" s="10"/>
      <c r="AF141" s="11"/>
      <c r="AG141" s="11"/>
      <c r="AH141" s="11"/>
      <c r="AI141" s="10"/>
      <c r="AJ141" s="10"/>
    </row>
    <row r="142" customFormat="false" ht="26.85" hidden="false" customHeight="false" outlineLevel="0" collapsed="false">
      <c r="A142" s="7" t="n">
        <v>140</v>
      </c>
      <c r="B142" s="7" t="str">
        <f aca="false">IF(I142="Y",IF(COUNTIF(I$3:I142,"Y")&lt;=20,"pilot",IF(COUNTIF(I$3:I142,"Y")&lt;=40,"dev",IF(COUNTIF(I$3:I142,"Y")&lt;=200,"test","extra"))),"")</f>
        <v/>
      </c>
      <c r="C142" s="7" t="str">
        <f aca="false">IF(I142="Y",IF(COUNTA(K142,M142,O142,Q142,S142,U142,W142,Y142,AA142,AC142,AE142)=11,"done","in progress"),IF(I142="N","excluded",""))</f>
        <v/>
      </c>
      <c r="D142" s="7" t="s">
        <v>445</v>
      </c>
      <c r="E142" s="8" t="s">
        <v>96</v>
      </c>
      <c r="F142" s="9" t="s">
        <v>446</v>
      </c>
      <c r="G142" s="7" t="s">
        <v>133</v>
      </c>
      <c r="H142" s="7"/>
      <c r="I142" s="10"/>
      <c r="J142" s="10"/>
      <c r="K142" s="10"/>
      <c r="L142" s="11"/>
      <c r="M142" s="10"/>
      <c r="N142" s="11"/>
      <c r="O142" s="10"/>
      <c r="P142" s="11"/>
      <c r="Q142" s="10"/>
      <c r="R142" s="11"/>
      <c r="S142" s="10"/>
      <c r="T142" s="11"/>
      <c r="U142" s="10"/>
      <c r="V142" s="11"/>
      <c r="W142" s="10"/>
      <c r="X142" s="11"/>
      <c r="Y142" s="10"/>
      <c r="Z142" s="11"/>
      <c r="AA142" s="10"/>
      <c r="AB142" s="11"/>
      <c r="AC142" s="10"/>
      <c r="AD142" s="11"/>
      <c r="AE142" s="10"/>
      <c r="AF142" s="11"/>
      <c r="AG142" s="11"/>
      <c r="AH142" s="11"/>
      <c r="AI142" s="10"/>
      <c r="AJ142" s="10"/>
    </row>
    <row r="143" customFormat="false" ht="39.55" hidden="false" customHeight="false" outlineLevel="0" collapsed="false">
      <c r="A143" s="7" t="n">
        <v>141</v>
      </c>
      <c r="B143" s="7" t="str">
        <f aca="false">IF(I143="Y",IF(COUNTIF(I$3:I143,"Y")&lt;=20,"pilot",IF(COUNTIF(I$3:I143,"Y")&lt;=40,"dev",IF(COUNTIF(I$3:I143,"Y")&lt;=200,"test","extra"))),"")</f>
        <v/>
      </c>
      <c r="C143" s="7" t="str">
        <f aca="false">IF(I143="Y",IF(COUNTA(K143,M143,O143,Q143,S143,U143,W143,Y143,AA143,AC143,AE143)=11,"done","in progress"),IF(I143="N","excluded",""))</f>
        <v/>
      </c>
      <c r="D143" s="7" t="s">
        <v>447</v>
      </c>
      <c r="E143" s="8" t="s">
        <v>96</v>
      </c>
      <c r="F143" s="9" t="s">
        <v>448</v>
      </c>
      <c r="G143" s="7" t="s">
        <v>449</v>
      </c>
      <c r="H143" s="7"/>
      <c r="I143" s="10"/>
      <c r="J143" s="10"/>
      <c r="K143" s="10"/>
      <c r="L143" s="11"/>
      <c r="M143" s="10"/>
      <c r="N143" s="11"/>
      <c r="O143" s="10"/>
      <c r="P143" s="11"/>
      <c r="Q143" s="10"/>
      <c r="R143" s="11"/>
      <c r="S143" s="10"/>
      <c r="T143" s="11"/>
      <c r="U143" s="10"/>
      <c r="V143" s="11"/>
      <c r="W143" s="10"/>
      <c r="X143" s="11"/>
      <c r="Y143" s="10"/>
      <c r="Z143" s="11"/>
      <c r="AA143" s="10"/>
      <c r="AB143" s="11"/>
      <c r="AC143" s="10"/>
      <c r="AD143" s="11"/>
      <c r="AE143" s="10"/>
      <c r="AF143" s="11"/>
      <c r="AG143" s="11"/>
      <c r="AH143" s="11"/>
      <c r="AI143" s="10"/>
      <c r="AJ143" s="10"/>
    </row>
    <row r="144" customFormat="false" ht="39.55" hidden="false" customHeight="false" outlineLevel="0" collapsed="false">
      <c r="A144" s="7" t="n">
        <v>142</v>
      </c>
      <c r="B144" s="7" t="str">
        <f aca="false">IF(I144="Y",IF(COUNTIF(I$3:I144,"Y")&lt;=20,"pilot",IF(COUNTIF(I$3:I144,"Y")&lt;=40,"dev",IF(COUNTIF(I$3:I144,"Y")&lt;=200,"test","extra"))),"")</f>
        <v/>
      </c>
      <c r="C144" s="7" t="str">
        <f aca="false">IF(I144="Y",IF(COUNTA(K144,M144,O144,Q144,S144,U144,W144,Y144,AA144,AC144,AE144)=11,"done","in progress"),IF(I144="N","excluded",""))</f>
        <v/>
      </c>
      <c r="D144" s="7" t="s">
        <v>450</v>
      </c>
      <c r="E144" s="8" t="s">
        <v>96</v>
      </c>
      <c r="F144" s="9" t="s">
        <v>451</v>
      </c>
      <c r="G144" s="7" t="s">
        <v>452</v>
      </c>
      <c r="H144" s="7"/>
      <c r="I144" s="10"/>
      <c r="J144" s="10"/>
      <c r="K144" s="10"/>
      <c r="L144" s="11"/>
      <c r="M144" s="10"/>
      <c r="N144" s="11"/>
      <c r="O144" s="10"/>
      <c r="P144" s="11"/>
      <c r="Q144" s="10"/>
      <c r="R144" s="11"/>
      <c r="S144" s="10"/>
      <c r="T144" s="11"/>
      <c r="U144" s="10"/>
      <c r="V144" s="11"/>
      <c r="W144" s="10"/>
      <c r="X144" s="11"/>
      <c r="Y144" s="10"/>
      <c r="Z144" s="11"/>
      <c r="AA144" s="10"/>
      <c r="AB144" s="11"/>
      <c r="AC144" s="10"/>
      <c r="AD144" s="11"/>
      <c r="AE144" s="10"/>
      <c r="AF144" s="11"/>
      <c r="AG144" s="11"/>
      <c r="AH144" s="11"/>
      <c r="AI144" s="10"/>
      <c r="AJ144" s="10"/>
    </row>
    <row r="145" customFormat="false" ht="39.55" hidden="false" customHeight="false" outlineLevel="0" collapsed="false">
      <c r="A145" s="7" t="n">
        <v>143</v>
      </c>
      <c r="B145" s="7" t="str">
        <f aca="false">IF(I145="Y",IF(COUNTIF(I$3:I145,"Y")&lt;=20,"pilot",IF(COUNTIF(I$3:I145,"Y")&lt;=40,"dev",IF(COUNTIF(I$3:I145,"Y")&lt;=200,"test","extra"))),"")</f>
        <v/>
      </c>
      <c r="C145" s="7" t="str">
        <f aca="false">IF(I145="Y",IF(COUNTA(K145,M145,O145,Q145,S145,U145,W145,Y145,AA145,AC145,AE145)=11,"done","in progress"),IF(I145="N","excluded",""))</f>
        <v/>
      </c>
      <c r="D145" s="7" t="s">
        <v>453</v>
      </c>
      <c r="E145" s="8" t="s">
        <v>96</v>
      </c>
      <c r="F145" s="9" t="s">
        <v>454</v>
      </c>
      <c r="G145" s="7" t="s">
        <v>455</v>
      </c>
      <c r="H145" s="7"/>
      <c r="I145" s="10"/>
      <c r="J145" s="10"/>
      <c r="K145" s="10"/>
      <c r="L145" s="11"/>
      <c r="M145" s="10"/>
      <c r="N145" s="11"/>
      <c r="O145" s="10"/>
      <c r="P145" s="11"/>
      <c r="Q145" s="10"/>
      <c r="R145" s="11"/>
      <c r="S145" s="10"/>
      <c r="T145" s="11"/>
      <c r="U145" s="10"/>
      <c r="V145" s="11"/>
      <c r="W145" s="10"/>
      <c r="X145" s="11"/>
      <c r="Y145" s="10"/>
      <c r="Z145" s="11"/>
      <c r="AA145" s="10"/>
      <c r="AB145" s="11"/>
      <c r="AC145" s="10"/>
      <c r="AD145" s="11"/>
      <c r="AE145" s="10"/>
      <c r="AF145" s="11"/>
      <c r="AG145" s="11"/>
      <c r="AH145" s="11"/>
      <c r="AI145" s="10"/>
      <c r="AJ145" s="10"/>
    </row>
    <row r="146" customFormat="false" ht="52.2" hidden="false" customHeight="false" outlineLevel="0" collapsed="false">
      <c r="A146" s="7" t="n">
        <v>144</v>
      </c>
      <c r="B146" s="7" t="str">
        <f aca="false">IF(I146="Y",IF(COUNTIF(I$3:I146,"Y")&lt;=20,"pilot",IF(COUNTIF(I$3:I146,"Y")&lt;=40,"dev",IF(COUNTIF(I$3:I146,"Y")&lt;=200,"test","extra"))),"")</f>
        <v/>
      </c>
      <c r="C146" s="7" t="str">
        <f aca="false">IF(I146="Y",IF(COUNTA(K146,M146,O146,Q146,S146,U146,W146,Y146,AA146,AC146,AE146)=11,"done","in progress"),IF(I146="N","excluded",""))</f>
        <v/>
      </c>
      <c r="D146" s="7" t="s">
        <v>456</v>
      </c>
      <c r="E146" s="8" t="s">
        <v>96</v>
      </c>
      <c r="F146" s="9" t="s">
        <v>457</v>
      </c>
      <c r="G146" s="7" t="s">
        <v>171</v>
      </c>
      <c r="H146" s="7"/>
      <c r="I146" s="10"/>
      <c r="J146" s="10"/>
      <c r="K146" s="10"/>
      <c r="L146" s="11"/>
      <c r="M146" s="10"/>
      <c r="N146" s="11"/>
      <c r="O146" s="10"/>
      <c r="P146" s="11"/>
      <c r="Q146" s="10"/>
      <c r="R146" s="11"/>
      <c r="S146" s="10"/>
      <c r="T146" s="11"/>
      <c r="U146" s="10"/>
      <c r="V146" s="11"/>
      <c r="W146" s="10"/>
      <c r="X146" s="11"/>
      <c r="Y146" s="10"/>
      <c r="Z146" s="11"/>
      <c r="AA146" s="10"/>
      <c r="AB146" s="11"/>
      <c r="AC146" s="10"/>
      <c r="AD146" s="11"/>
      <c r="AE146" s="10"/>
      <c r="AF146" s="11"/>
      <c r="AG146" s="11"/>
      <c r="AH146" s="11"/>
      <c r="AI146" s="10"/>
      <c r="AJ146" s="10"/>
    </row>
    <row r="147" customFormat="false" ht="39.55" hidden="false" customHeight="false" outlineLevel="0" collapsed="false">
      <c r="A147" s="7" t="n">
        <v>145</v>
      </c>
      <c r="B147" s="7" t="str">
        <f aca="false">IF(I147="Y",IF(COUNTIF(I$3:I147,"Y")&lt;=20,"pilot",IF(COUNTIF(I$3:I147,"Y")&lt;=40,"dev",IF(COUNTIF(I$3:I147,"Y")&lt;=200,"test","extra"))),"")</f>
        <v/>
      </c>
      <c r="C147" s="7" t="str">
        <f aca="false">IF(I147="Y",IF(COUNTA(K147,M147,O147,Q147,S147,U147,W147,Y147,AA147,AC147,AE147)=11,"done","in progress"),IF(I147="N","excluded",""))</f>
        <v/>
      </c>
      <c r="D147" s="7" t="s">
        <v>458</v>
      </c>
      <c r="E147" s="8" t="s">
        <v>96</v>
      </c>
      <c r="F147" s="9" t="s">
        <v>459</v>
      </c>
      <c r="G147" s="7" t="s">
        <v>171</v>
      </c>
      <c r="H147" s="7"/>
      <c r="I147" s="10"/>
      <c r="J147" s="10"/>
      <c r="K147" s="10"/>
      <c r="L147" s="11"/>
      <c r="M147" s="10"/>
      <c r="N147" s="11"/>
      <c r="O147" s="10"/>
      <c r="P147" s="11"/>
      <c r="Q147" s="10"/>
      <c r="R147" s="11"/>
      <c r="S147" s="10"/>
      <c r="T147" s="11"/>
      <c r="U147" s="10"/>
      <c r="V147" s="11"/>
      <c r="W147" s="10"/>
      <c r="X147" s="11"/>
      <c r="Y147" s="10"/>
      <c r="Z147" s="11"/>
      <c r="AA147" s="10"/>
      <c r="AB147" s="11"/>
      <c r="AC147" s="10"/>
      <c r="AD147" s="11"/>
      <c r="AE147" s="10"/>
      <c r="AF147" s="11"/>
      <c r="AG147" s="11"/>
      <c r="AH147" s="11"/>
      <c r="AI147" s="10"/>
      <c r="AJ147" s="10"/>
    </row>
    <row r="148" customFormat="false" ht="26.85" hidden="false" customHeight="false" outlineLevel="0" collapsed="false">
      <c r="A148" s="7" t="n">
        <v>146</v>
      </c>
      <c r="B148" s="7" t="str">
        <f aca="false">IF(I148="Y",IF(COUNTIF(I$3:I148,"Y")&lt;=20,"pilot",IF(COUNTIF(I$3:I148,"Y")&lt;=40,"dev",IF(COUNTIF(I$3:I148,"Y")&lt;=200,"test","extra"))),"")</f>
        <v/>
      </c>
      <c r="C148" s="7" t="str">
        <f aca="false">IF(I148="Y",IF(COUNTA(K148,M148,O148,Q148,S148,U148,W148,Y148,AA148,AC148,AE148)=11,"done","in progress"),IF(I148="N","excluded",""))</f>
        <v/>
      </c>
      <c r="D148" s="7" t="s">
        <v>460</v>
      </c>
      <c r="E148" s="8" t="s">
        <v>96</v>
      </c>
      <c r="F148" s="9" t="s">
        <v>461</v>
      </c>
      <c r="G148" s="7" t="s">
        <v>462</v>
      </c>
      <c r="H148" s="7"/>
      <c r="I148" s="10"/>
      <c r="J148" s="10"/>
      <c r="K148" s="10"/>
      <c r="L148" s="11"/>
      <c r="M148" s="10"/>
      <c r="N148" s="11"/>
      <c r="O148" s="10"/>
      <c r="P148" s="11"/>
      <c r="Q148" s="10"/>
      <c r="R148" s="11"/>
      <c r="S148" s="10"/>
      <c r="T148" s="11"/>
      <c r="U148" s="10"/>
      <c r="V148" s="11"/>
      <c r="W148" s="10"/>
      <c r="X148" s="11"/>
      <c r="Y148" s="10"/>
      <c r="Z148" s="11"/>
      <c r="AA148" s="10"/>
      <c r="AB148" s="11"/>
      <c r="AC148" s="10"/>
      <c r="AD148" s="11"/>
      <c r="AE148" s="10"/>
      <c r="AF148" s="11"/>
      <c r="AG148" s="11"/>
      <c r="AH148" s="11"/>
      <c r="AI148" s="10"/>
      <c r="AJ148" s="10"/>
    </row>
    <row r="149" customFormat="false" ht="52.2" hidden="false" customHeight="false" outlineLevel="0" collapsed="false">
      <c r="A149" s="7" t="n">
        <v>147</v>
      </c>
      <c r="B149" s="7" t="str">
        <f aca="false">IF(I149="Y",IF(COUNTIF(I$3:I149,"Y")&lt;=20,"pilot",IF(COUNTIF(I$3:I149,"Y")&lt;=40,"dev",IF(COUNTIF(I$3:I149,"Y")&lt;=200,"test","extra"))),"")</f>
        <v/>
      </c>
      <c r="C149" s="7" t="str">
        <f aca="false">IF(I149="Y",IF(COUNTA(K149,M149,O149,Q149,S149,U149,W149,Y149,AA149,AC149,AE149)=11,"done","in progress"),IF(I149="N","excluded",""))</f>
        <v/>
      </c>
      <c r="D149" s="7" t="s">
        <v>463</v>
      </c>
      <c r="E149" s="8" t="s">
        <v>96</v>
      </c>
      <c r="F149" s="9" t="s">
        <v>464</v>
      </c>
      <c r="G149" s="7" t="s">
        <v>465</v>
      </c>
      <c r="H149" s="7"/>
      <c r="I149" s="10"/>
      <c r="J149" s="10"/>
      <c r="K149" s="10"/>
      <c r="L149" s="11"/>
      <c r="M149" s="10"/>
      <c r="N149" s="11"/>
      <c r="O149" s="10"/>
      <c r="P149" s="11"/>
      <c r="Q149" s="10"/>
      <c r="R149" s="11"/>
      <c r="S149" s="10"/>
      <c r="T149" s="11"/>
      <c r="U149" s="10"/>
      <c r="V149" s="11"/>
      <c r="W149" s="10"/>
      <c r="X149" s="11"/>
      <c r="Y149" s="10"/>
      <c r="Z149" s="11"/>
      <c r="AA149" s="10"/>
      <c r="AB149" s="11"/>
      <c r="AC149" s="10"/>
      <c r="AD149" s="11"/>
      <c r="AE149" s="10"/>
      <c r="AF149" s="11"/>
      <c r="AG149" s="11"/>
      <c r="AH149" s="11"/>
      <c r="AI149" s="10"/>
      <c r="AJ149" s="10"/>
    </row>
    <row r="150" customFormat="false" ht="39.55" hidden="false" customHeight="false" outlineLevel="0" collapsed="false">
      <c r="A150" s="7" t="n">
        <v>148</v>
      </c>
      <c r="B150" s="7" t="str">
        <f aca="false">IF(I150="Y",IF(COUNTIF(I$3:I150,"Y")&lt;=20,"pilot",IF(COUNTIF(I$3:I150,"Y")&lt;=40,"dev",IF(COUNTIF(I$3:I150,"Y")&lt;=200,"test","extra"))),"")</f>
        <v/>
      </c>
      <c r="C150" s="7" t="str">
        <f aca="false">IF(I150="Y",IF(COUNTA(K150,M150,O150,Q150,S150,U150,W150,Y150,AA150,AC150,AE150)=11,"done","in progress"),IF(I150="N","excluded",""))</f>
        <v/>
      </c>
      <c r="D150" s="7" t="s">
        <v>466</v>
      </c>
      <c r="E150" s="8" t="s">
        <v>96</v>
      </c>
      <c r="F150" s="9" t="s">
        <v>467</v>
      </c>
      <c r="G150" s="7" t="s">
        <v>125</v>
      </c>
      <c r="H150" s="7"/>
      <c r="I150" s="10"/>
      <c r="J150" s="10"/>
      <c r="K150" s="10"/>
      <c r="L150" s="11"/>
      <c r="M150" s="10"/>
      <c r="N150" s="11"/>
      <c r="O150" s="10"/>
      <c r="P150" s="11"/>
      <c r="Q150" s="10"/>
      <c r="R150" s="11"/>
      <c r="S150" s="10"/>
      <c r="T150" s="11"/>
      <c r="U150" s="10"/>
      <c r="V150" s="11"/>
      <c r="W150" s="10"/>
      <c r="X150" s="11"/>
      <c r="Y150" s="10"/>
      <c r="Z150" s="11"/>
      <c r="AA150" s="10"/>
      <c r="AB150" s="11"/>
      <c r="AC150" s="10"/>
      <c r="AD150" s="11"/>
      <c r="AE150" s="10"/>
      <c r="AF150" s="11"/>
      <c r="AG150" s="11"/>
      <c r="AH150" s="11"/>
      <c r="AI150" s="10"/>
      <c r="AJ150" s="10"/>
    </row>
    <row r="151" customFormat="false" ht="39.55" hidden="false" customHeight="false" outlineLevel="0" collapsed="false">
      <c r="A151" s="7" t="n">
        <v>149</v>
      </c>
      <c r="B151" s="7" t="str">
        <f aca="false">IF(I151="Y",IF(COUNTIF(I$3:I151,"Y")&lt;=20,"pilot",IF(COUNTIF(I$3:I151,"Y")&lt;=40,"dev",IF(COUNTIF(I$3:I151,"Y")&lt;=200,"test","extra"))),"")</f>
        <v/>
      </c>
      <c r="C151" s="7" t="str">
        <f aca="false">IF(I151="Y",IF(COUNTA(K151,M151,O151,Q151,S151,U151,W151,Y151,AA151,AC151,AE151)=11,"done","in progress"),IF(I151="N","excluded",""))</f>
        <v/>
      </c>
      <c r="D151" s="7" t="s">
        <v>468</v>
      </c>
      <c r="E151" s="8" t="s">
        <v>96</v>
      </c>
      <c r="F151" s="9" t="s">
        <v>469</v>
      </c>
      <c r="G151" s="7" t="s">
        <v>171</v>
      </c>
      <c r="H151" s="7"/>
      <c r="I151" s="10"/>
      <c r="J151" s="10"/>
      <c r="K151" s="10"/>
      <c r="L151" s="11"/>
      <c r="M151" s="10"/>
      <c r="N151" s="11"/>
      <c r="O151" s="10"/>
      <c r="P151" s="11"/>
      <c r="Q151" s="10"/>
      <c r="R151" s="11"/>
      <c r="S151" s="10"/>
      <c r="T151" s="11"/>
      <c r="U151" s="10"/>
      <c r="V151" s="11"/>
      <c r="W151" s="10"/>
      <c r="X151" s="11"/>
      <c r="Y151" s="10"/>
      <c r="Z151" s="11"/>
      <c r="AA151" s="10"/>
      <c r="AB151" s="11"/>
      <c r="AC151" s="10"/>
      <c r="AD151" s="11"/>
      <c r="AE151" s="10"/>
      <c r="AF151" s="11"/>
      <c r="AG151" s="11"/>
      <c r="AH151" s="11"/>
      <c r="AI151" s="10"/>
      <c r="AJ151" s="10"/>
    </row>
    <row r="152" customFormat="false" ht="39.55" hidden="false" customHeight="false" outlineLevel="0" collapsed="false">
      <c r="A152" s="7" t="n">
        <v>150</v>
      </c>
      <c r="B152" s="7" t="str">
        <f aca="false">IF(I152="Y",IF(COUNTIF(I$3:I152,"Y")&lt;=20,"pilot",IF(COUNTIF(I$3:I152,"Y")&lt;=40,"dev",IF(COUNTIF(I$3:I152,"Y")&lt;=200,"test","extra"))),"")</f>
        <v/>
      </c>
      <c r="C152" s="7" t="str">
        <f aca="false">IF(I152="Y",IF(COUNTA(K152,M152,O152,Q152,S152,U152,W152,Y152,AA152,AC152,AE152)=11,"done","in progress"),IF(I152="N","excluded",""))</f>
        <v/>
      </c>
      <c r="D152" s="7" t="s">
        <v>470</v>
      </c>
      <c r="E152" s="8" t="s">
        <v>96</v>
      </c>
      <c r="F152" s="9" t="s">
        <v>471</v>
      </c>
      <c r="G152" s="7" t="s">
        <v>472</v>
      </c>
      <c r="H152" s="7"/>
      <c r="I152" s="10"/>
      <c r="J152" s="10"/>
      <c r="K152" s="10"/>
      <c r="L152" s="11"/>
      <c r="M152" s="10"/>
      <c r="N152" s="11"/>
      <c r="O152" s="10"/>
      <c r="P152" s="11"/>
      <c r="Q152" s="10"/>
      <c r="R152" s="11"/>
      <c r="S152" s="10"/>
      <c r="T152" s="11"/>
      <c r="U152" s="10"/>
      <c r="V152" s="11"/>
      <c r="W152" s="10"/>
      <c r="X152" s="11"/>
      <c r="Y152" s="10"/>
      <c r="Z152" s="11"/>
      <c r="AA152" s="10"/>
      <c r="AB152" s="11"/>
      <c r="AC152" s="10"/>
      <c r="AD152" s="11"/>
      <c r="AE152" s="10"/>
      <c r="AF152" s="11"/>
      <c r="AG152" s="11"/>
      <c r="AH152" s="11"/>
      <c r="AI152" s="10"/>
      <c r="AJ152" s="10"/>
    </row>
    <row r="153" customFormat="false" ht="26.85" hidden="false" customHeight="false" outlineLevel="0" collapsed="false">
      <c r="A153" s="7" t="n">
        <v>151</v>
      </c>
      <c r="B153" s="7" t="str">
        <f aca="false">IF(I153="Y",IF(COUNTIF(I$3:I153,"Y")&lt;=20,"pilot",IF(COUNTIF(I$3:I153,"Y")&lt;=40,"dev",IF(COUNTIF(I$3:I153,"Y")&lt;=200,"test","extra"))),"")</f>
        <v/>
      </c>
      <c r="C153" s="7" t="str">
        <f aca="false">IF(I153="Y",IF(COUNTA(K153,M153,O153,Q153,S153,U153,W153,Y153,AA153,AC153,AE153)=11,"done","in progress"),IF(I153="N","excluded",""))</f>
        <v/>
      </c>
      <c r="D153" s="7" t="s">
        <v>473</v>
      </c>
      <c r="E153" s="8" t="s">
        <v>96</v>
      </c>
      <c r="F153" s="9" t="s">
        <v>474</v>
      </c>
      <c r="G153" s="7" t="s">
        <v>475</v>
      </c>
      <c r="H153" s="7"/>
      <c r="I153" s="10"/>
      <c r="J153" s="10"/>
      <c r="K153" s="10"/>
      <c r="L153" s="11"/>
      <c r="M153" s="10"/>
      <c r="N153" s="11"/>
      <c r="O153" s="10"/>
      <c r="P153" s="11"/>
      <c r="Q153" s="10"/>
      <c r="R153" s="11"/>
      <c r="S153" s="10"/>
      <c r="T153" s="11"/>
      <c r="U153" s="10"/>
      <c r="V153" s="11"/>
      <c r="W153" s="10"/>
      <c r="X153" s="11"/>
      <c r="Y153" s="10"/>
      <c r="Z153" s="11"/>
      <c r="AA153" s="10"/>
      <c r="AB153" s="11"/>
      <c r="AC153" s="10"/>
      <c r="AD153" s="11"/>
      <c r="AE153" s="10"/>
      <c r="AF153" s="11"/>
      <c r="AG153" s="11"/>
      <c r="AH153" s="11"/>
      <c r="AI153" s="10"/>
      <c r="AJ153" s="10"/>
    </row>
    <row r="154" customFormat="false" ht="39.55" hidden="false" customHeight="false" outlineLevel="0" collapsed="false">
      <c r="A154" s="7" t="n">
        <v>152</v>
      </c>
      <c r="B154" s="7" t="str">
        <f aca="false">IF(I154="Y",IF(COUNTIF(I$3:I154,"Y")&lt;=20,"pilot",IF(COUNTIF(I$3:I154,"Y")&lt;=40,"dev",IF(COUNTIF(I$3:I154,"Y")&lt;=200,"test","extra"))),"")</f>
        <v/>
      </c>
      <c r="C154" s="7" t="str">
        <f aca="false">IF(I154="Y",IF(COUNTA(K154,M154,O154,Q154,S154,U154,W154,Y154,AA154,AC154,AE154)=11,"done","in progress"),IF(I154="N","excluded",""))</f>
        <v/>
      </c>
      <c r="D154" s="7" t="s">
        <v>476</v>
      </c>
      <c r="E154" s="8" t="s">
        <v>96</v>
      </c>
      <c r="F154" s="9" t="s">
        <v>477</v>
      </c>
      <c r="G154" s="7" t="s">
        <v>116</v>
      </c>
      <c r="H154" s="7"/>
      <c r="I154" s="10"/>
      <c r="J154" s="10"/>
      <c r="K154" s="10"/>
      <c r="L154" s="11"/>
      <c r="M154" s="10"/>
      <c r="N154" s="11"/>
      <c r="O154" s="10"/>
      <c r="P154" s="11"/>
      <c r="Q154" s="10"/>
      <c r="R154" s="11"/>
      <c r="S154" s="10"/>
      <c r="T154" s="11"/>
      <c r="U154" s="10"/>
      <c r="V154" s="11"/>
      <c r="W154" s="10"/>
      <c r="X154" s="11"/>
      <c r="Y154" s="10"/>
      <c r="Z154" s="11"/>
      <c r="AA154" s="10"/>
      <c r="AB154" s="11"/>
      <c r="AC154" s="10"/>
      <c r="AD154" s="11"/>
      <c r="AE154" s="10"/>
      <c r="AF154" s="11"/>
      <c r="AG154" s="11"/>
      <c r="AH154" s="11"/>
      <c r="AI154" s="10"/>
      <c r="AJ154" s="10"/>
    </row>
    <row r="155" customFormat="false" ht="39.55" hidden="false" customHeight="false" outlineLevel="0" collapsed="false">
      <c r="A155" s="7" t="n">
        <v>153</v>
      </c>
      <c r="B155" s="7" t="str">
        <f aca="false">IF(I155="Y",IF(COUNTIF(I$3:I155,"Y")&lt;=20,"pilot",IF(COUNTIF(I$3:I155,"Y")&lt;=40,"dev",IF(COUNTIF(I$3:I155,"Y")&lt;=200,"test","extra"))),"")</f>
        <v/>
      </c>
      <c r="C155" s="7" t="str">
        <f aca="false">IF(I155="Y",IF(COUNTA(K155,M155,O155,Q155,S155,U155,W155,Y155,AA155,AC155,AE155)=11,"done","in progress"),IF(I155="N","excluded",""))</f>
        <v/>
      </c>
      <c r="D155" s="7" t="s">
        <v>478</v>
      </c>
      <c r="E155" s="8" t="s">
        <v>96</v>
      </c>
      <c r="F155" s="9" t="s">
        <v>479</v>
      </c>
      <c r="G155" s="7" t="s">
        <v>251</v>
      </c>
      <c r="H155" s="7"/>
      <c r="I155" s="10"/>
      <c r="J155" s="10"/>
      <c r="K155" s="10"/>
      <c r="L155" s="11"/>
      <c r="M155" s="10"/>
      <c r="N155" s="11"/>
      <c r="O155" s="10"/>
      <c r="P155" s="11"/>
      <c r="Q155" s="10"/>
      <c r="R155" s="11"/>
      <c r="S155" s="10"/>
      <c r="T155" s="11"/>
      <c r="U155" s="10"/>
      <c r="V155" s="11"/>
      <c r="W155" s="10"/>
      <c r="X155" s="11"/>
      <c r="Y155" s="10"/>
      <c r="Z155" s="11"/>
      <c r="AA155" s="10"/>
      <c r="AB155" s="11"/>
      <c r="AC155" s="10"/>
      <c r="AD155" s="11"/>
      <c r="AE155" s="10"/>
      <c r="AF155" s="11"/>
      <c r="AG155" s="11"/>
      <c r="AH155" s="11"/>
      <c r="AI155" s="10"/>
      <c r="AJ155" s="10"/>
    </row>
    <row r="156" customFormat="false" ht="39.55" hidden="false" customHeight="false" outlineLevel="0" collapsed="false">
      <c r="A156" s="7" t="n">
        <v>154</v>
      </c>
      <c r="B156" s="7" t="str">
        <f aca="false">IF(I156="Y",IF(COUNTIF(I$3:I156,"Y")&lt;=20,"pilot",IF(COUNTIF(I$3:I156,"Y")&lt;=40,"dev",IF(COUNTIF(I$3:I156,"Y")&lt;=200,"test","extra"))),"")</f>
        <v/>
      </c>
      <c r="C156" s="7" t="str">
        <f aca="false">IF(I156="Y",IF(COUNTA(K156,M156,O156,Q156,S156,U156,W156,Y156,AA156,AC156,AE156)=11,"done","in progress"),IF(I156="N","excluded",""))</f>
        <v/>
      </c>
      <c r="D156" s="7" t="s">
        <v>480</v>
      </c>
      <c r="E156" s="8" t="s">
        <v>96</v>
      </c>
      <c r="F156" s="9" t="s">
        <v>481</v>
      </c>
      <c r="G156" s="7" t="s">
        <v>113</v>
      </c>
      <c r="H156" s="7"/>
      <c r="I156" s="10"/>
      <c r="J156" s="10"/>
      <c r="K156" s="10"/>
      <c r="L156" s="11"/>
      <c r="M156" s="10"/>
      <c r="N156" s="11"/>
      <c r="O156" s="10"/>
      <c r="P156" s="11"/>
      <c r="Q156" s="10"/>
      <c r="R156" s="11"/>
      <c r="S156" s="10"/>
      <c r="T156" s="11"/>
      <c r="U156" s="10"/>
      <c r="V156" s="11"/>
      <c r="W156" s="10"/>
      <c r="X156" s="11"/>
      <c r="Y156" s="10"/>
      <c r="Z156" s="11"/>
      <c r="AA156" s="10"/>
      <c r="AB156" s="11"/>
      <c r="AC156" s="10"/>
      <c r="AD156" s="11"/>
      <c r="AE156" s="10"/>
      <c r="AF156" s="11"/>
      <c r="AG156" s="11"/>
      <c r="AH156" s="11"/>
      <c r="AI156" s="10"/>
      <c r="AJ156" s="10"/>
    </row>
    <row r="157" customFormat="false" ht="26.85" hidden="false" customHeight="false" outlineLevel="0" collapsed="false">
      <c r="A157" s="7" t="n">
        <v>155</v>
      </c>
      <c r="B157" s="7" t="str">
        <f aca="false">IF(I157="Y",IF(COUNTIF(I$3:I157,"Y")&lt;=20,"pilot",IF(COUNTIF(I$3:I157,"Y")&lt;=40,"dev",IF(COUNTIF(I$3:I157,"Y")&lt;=200,"test","extra"))),"")</f>
        <v/>
      </c>
      <c r="C157" s="7" t="str">
        <f aca="false">IF(I157="Y",IF(COUNTA(K157,M157,O157,Q157,S157,U157,W157,Y157,AA157,AC157,AE157)=11,"done","in progress"),IF(I157="N","excluded",""))</f>
        <v/>
      </c>
      <c r="D157" s="7" t="s">
        <v>482</v>
      </c>
      <c r="E157" s="8" t="s">
        <v>96</v>
      </c>
      <c r="F157" s="9" t="s">
        <v>483</v>
      </c>
      <c r="G157" s="7" t="s">
        <v>484</v>
      </c>
      <c r="H157" s="7"/>
      <c r="I157" s="10"/>
      <c r="J157" s="10"/>
      <c r="K157" s="10"/>
      <c r="L157" s="11"/>
      <c r="M157" s="10"/>
      <c r="N157" s="11"/>
      <c r="O157" s="10"/>
      <c r="P157" s="11"/>
      <c r="Q157" s="10"/>
      <c r="R157" s="11"/>
      <c r="S157" s="10"/>
      <c r="T157" s="11"/>
      <c r="U157" s="10"/>
      <c r="V157" s="11"/>
      <c r="W157" s="10"/>
      <c r="X157" s="11"/>
      <c r="Y157" s="10"/>
      <c r="Z157" s="11"/>
      <c r="AA157" s="10"/>
      <c r="AB157" s="11"/>
      <c r="AC157" s="10"/>
      <c r="AD157" s="11"/>
      <c r="AE157" s="10"/>
      <c r="AF157" s="11"/>
      <c r="AG157" s="11"/>
      <c r="AH157" s="11"/>
      <c r="AI157" s="10"/>
      <c r="AJ157" s="10"/>
    </row>
    <row r="158" customFormat="false" ht="26.85" hidden="false" customHeight="false" outlineLevel="0" collapsed="false">
      <c r="A158" s="7" t="n">
        <v>156</v>
      </c>
      <c r="B158" s="7" t="str">
        <f aca="false">IF(I158="Y",IF(COUNTIF(I$3:I158,"Y")&lt;=20,"pilot",IF(COUNTIF(I$3:I158,"Y")&lt;=40,"dev",IF(COUNTIF(I$3:I158,"Y")&lt;=200,"test","extra"))),"")</f>
        <v/>
      </c>
      <c r="C158" s="7" t="str">
        <f aca="false">IF(I158="Y",IF(COUNTA(K158,M158,O158,Q158,S158,U158,W158,Y158,AA158,AC158,AE158)=11,"done","in progress"),IF(I158="N","excluded",""))</f>
        <v/>
      </c>
      <c r="D158" s="7" t="s">
        <v>485</v>
      </c>
      <c r="E158" s="8" t="s">
        <v>96</v>
      </c>
      <c r="F158" s="9" t="s">
        <v>486</v>
      </c>
      <c r="G158" s="7" t="s">
        <v>133</v>
      </c>
      <c r="H158" s="7"/>
      <c r="I158" s="10"/>
      <c r="J158" s="10"/>
      <c r="K158" s="10"/>
      <c r="L158" s="11"/>
      <c r="M158" s="10"/>
      <c r="N158" s="11"/>
      <c r="O158" s="10"/>
      <c r="P158" s="11"/>
      <c r="Q158" s="10"/>
      <c r="R158" s="11"/>
      <c r="S158" s="10"/>
      <c r="T158" s="11"/>
      <c r="U158" s="10"/>
      <c r="V158" s="11"/>
      <c r="W158" s="10"/>
      <c r="X158" s="11"/>
      <c r="Y158" s="10"/>
      <c r="Z158" s="11"/>
      <c r="AA158" s="10"/>
      <c r="AB158" s="11"/>
      <c r="AC158" s="10"/>
      <c r="AD158" s="11"/>
      <c r="AE158" s="10"/>
      <c r="AF158" s="11"/>
      <c r="AG158" s="11"/>
      <c r="AH158" s="11"/>
      <c r="AI158" s="10"/>
      <c r="AJ158" s="10"/>
    </row>
    <row r="159" customFormat="false" ht="39.55" hidden="false" customHeight="false" outlineLevel="0" collapsed="false">
      <c r="A159" s="7" t="n">
        <v>157</v>
      </c>
      <c r="B159" s="7" t="str">
        <f aca="false">IF(I159="Y",IF(COUNTIF(I$3:I159,"Y")&lt;=20,"pilot",IF(COUNTIF(I$3:I159,"Y")&lt;=40,"dev",IF(COUNTIF(I$3:I159,"Y")&lt;=200,"test","extra"))),"")</f>
        <v/>
      </c>
      <c r="C159" s="7" t="str">
        <f aca="false">IF(I159="Y",IF(COUNTA(K159,M159,O159,Q159,S159,U159,W159,Y159,AA159,AC159,AE159)=11,"done","in progress"),IF(I159="N","excluded",""))</f>
        <v/>
      </c>
      <c r="D159" s="7" t="s">
        <v>487</v>
      </c>
      <c r="E159" s="8" t="s">
        <v>96</v>
      </c>
      <c r="F159" s="9" t="s">
        <v>488</v>
      </c>
      <c r="G159" s="7" t="s">
        <v>489</v>
      </c>
      <c r="H159" s="7"/>
      <c r="I159" s="10"/>
      <c r="J159" s="10"/>
      <c r="K159" s="10"/>
      <c r="L159" s="11"/>
      <c r="M159" s="10"/>
      <c r="N159" s="11"/>
      <c r="O159" s="10"/>
      <c r="P159" s="11"/>
      <c r="Q159" s="10"/>
      <c r="R159" s="11"/>
      <c r="S159" s="10"/>
      <c r="T159" s="11"/>
      <c r="U159" s="10"/>
      <c r="V159" s="11"/>
      <c r="W159" s="10"/>
      <c r="X159" s="11"/>
      <c r="Y159" s="10"/>
      <c r="Z159" s="11"/>
      <c r="AA159" s="10"/>
      <c r="AB159" s="11"/>
      <c r="AC159" s="10"/>
      <c r="AD159" s="11"/>
      <c r="AE159" s="10"/>
      <c r="AF159" s="11"/>
      <c r="AG159" s="11"/>
      <c r="AH159" s="11"/>
      <c r="AI159" s="10"/>
      <c r="AJ159" s="10"/>
    </row>
    <row r="160" customFormat="false" ht="39.55" hidden="false" customHeight="false" outlineLevel="0" collapsed="false">
      <c r="A160" s="7" t="n">
        <v>158</v>
      </c>
      <c r="B160" s="7" t="str">
        <f aca="false">IF(I160="Y",IF(COUNTIF(I$3:I160,"Y")&lt;=20,"pilot",IF(COUNTIF(I$3:I160,"Y")&lt;=40,"dev",IF(COUNTIF(I$3:I160,"Y")&lt;=200,"test","extra"))),"")</f>
        <v/>
      </c>
      <c r="C160" s="7" t="str">
        <f aca="false">IF(I160="Y",IF(COUNTA(K160,M160,O160,Q160,S160,U160,W160,Y160,AA160,AC160,AE160)=11,"done","in progress"),IF(I160="N","excluded",""))</f>
        <v/>
      </c>
      <c r="D160" s="7" t="s">
        <v>490</v>
      </c>
      <c r="E160" s="8" t="s">
        <v>96</v>
      </c>
      <c r="F160" s="9" t="s">
        <v>491</v>
      </c>
      <c r="G160" s="7" t="s">
        <v>171</v>
      </c>
      <c r="H160" s="7"/>
      <c r="I160" s="10"/>
      <c r="J160" s="10"/>
      <c r="K160" s="10"/>
      <c r="L160" s="11"/>
      <c r="M160" s="10"/>
      <c r="N160" s="11"/>
      <c r="O160" s="10"/>
      <c r="P160" s="11"/>
      <c r="Q160" s="10"/>
      <c r="R160" s="11"/>
      <c r="S160" s="10"/>
      <c r="T160" s="11"/>
      <c r="U160" s="10"/>
      <c r="V160" s="11"/>
      <c r="W160" s="10"/>
      <c r="X160" s="11"/>
      <c r="Y160" s="10"/>
      <c r="Z160" s="11"/>
      <c r="AA160" s="10"/>
      <c r="AB160" s="11"/>
      <c r="AC160" s="10"/>
      <c r="AD160" s="11"/>
      <c r="AE160" s="10"/>
      <c r="AF160" s="11"/>
      <c r="AG160" s="11"/>
      <c r="AH160" s="11"/>
      <c r="AI160" s="10"/>
      <c r="AJ160" s="10"/>
    </row>
    <row r="161" customFormat="false" ht="26.85" hidden="false" customHeight="false" outlineLevel="0" collapsed="false">
      <c r="A161" s="7" t="n">
        <v>159</v>
      </c>
      <c r="B161" s="7" t="str">
        <f aca="false">IF(I161="Y",IF(COUNTIF(I$3:I161,"Y")&lt;=20,"pilot",IF(COUNTIF(I$3:I161,"Y")&lt;=40,"dev",IF(COUNTIF(I$3:I161,"Y")&lt;=200,"test","extra"))),"")</f>
        <v/>
      </c>
      <c r="C161" s="7" t="str">
        <f aca="false">IF(I161="Y",IF(COUNTA(K161,M161,O161,Q161,S161,U161,W161,Y161,AA161,AC161,AE161)=11,"done","in progress"),IF(I161="N","excluded",""))</f>
        <v/>
      </c>
      <c r="D161" s="7" t="s">
        <v>492</v>
      </c>
      <c r="E161" s="8" t="s">
        <v>96</v>
      </c>
      <c r="F161" s="9" t="s">
        <v>493</v>
      </c>
      <c r="G161" s="7" t="s">
        <v>494</v>
      </c>
      <c r="H161" s="7" t="s">
        <v>495</v>
      </c>
      <c r="I161" s="10"/>
      <c r="J161" s="10"/>
      <c r="K161" s="10"/>
      <c r="L161" s="11"/>
      <c r="M161" s="10"/>
      <c r="N161" s="11"/>
      <c r="O161" s="10"/>
      <c r="P161" s="11"/>
      <c r="Q161" s="10"/>
      <c r="R161" s="11"/>
      <c r="S161" s="10"/>
      <c r="T161" s="11"/>
      <c r="U161" s="10"/>
      <c r="V161" s="11"/>
      <c r="W161" s="10"/>
      <c r="X161" s="11"/>
      <c r="Y161" s="10"/>
      <c r="Z161" s="11"/>
      <c r="AA161" s="10"/>
      <c r="AB161" s="11"/>
      <c r="AC161" s="10"/>
      <c r="AD161" s="11"/>
      <c r="AE161" s="10"/>
      <c r="AF161" s="11"/>
      <c r="AG161" s="11"/>
      <c r="AH161" s="11"/>
      <c r="AI161" s="10"/>
      <c r="AJ161" s="10"/>
    </row>
    <row r="162" customFormat="false" ht="39.55" hidden="false" customHeight="false" outlineLevel="0" collapsed="false">
      <c r="A162" s="7" t="n">
        <v>160</v>
      </c>
      <c r="B162" s="7" t="str">
        <f aca="false">IF(I162="Y",IF(COUNTIF(I$3:I162,"Y")&lt;=20,"pilot",IF(COUNTIF(I$3:I162,"Y")&lt;=40,"dev",IF(COUNTIF(I$3:I162,"Y")&lt;=200,"test","extra"))),"")</f>
        <v/>
      </c>
      <c r="C162" s="7" t="str">
        <f aca="false">IF(I162="Y",IF(COUNTA(K162,M162,O162,Q162,S162,U162,W162,Y162,AA162,AC162,AE162)=11,"done","in progress"),IF(I162="N","excluded",""))</f>
        <v/>
      </c>
      <c r="D162" s="7" t="s">
        <v>496</v>
      </c>
      <c r="E162" s="8" t="s">
        <v>96</v>
      </c>
      <c r="F162" s="9" t="s">
        <v>497</v>
      </c>
      <c r="G162" s="7" t="s">
        <v>113</v>
      </c>
      <c r="H162" s="7"/>
      <c r="I162" s="10"/>
      <c r="J162" s="10"/>
      <c r="K162" s="10"/>
      <c r="L162" s="11"/>
      <c r="M162" s="10"/>
      <c r="N162" s="11"/>
      <c r="O162" s="10"/>
      <c r="P162" s="11"/>
      <c r="Q162" s="10"/>
      <c r="R162" s="11"/>
      <c r="S162" s="10"/>
      <c r="T162" s="11"/>
      <c r="U162" s="10"/>
      <c r="V162" s="11"/>
      <c r="W162" s="10"/>
      <c r="X162" s="11"/>
      <c r="Y162" s="10"/>
      <c r="Z162" s="11"/>
      <c r="AA162" s="10"/>
      <c r="AB162" s="11"/>
      <c r="AC162" s="10"/>
      <c r="AD162" s="11"/>
      <c r="AE162" s="10"/>
      <c r="AF162" s="11"/>
      <c r="AG162" s="11"/>
      <c r="AH162" s="11"/>
      <c r="AI162" s="10"/>
      <c r="AJ162" s="10"/>
    </row>
    <row r="163" customFormat="false" ht="26.85" hidden="false" customHeight="false" outlineLevel="0" collapsed="false">
      <c r="A163" s="7" t="n">
        <v>161</v>
      </c>
      <c r="B163" s="7" t="str">
        <f aca="false">IF(I163="Y",IF(COUNTIF(I$3:I163,"Y")&lt;=20,"pilot",IF(COUNTIF(I$3:I163,"Y")&lt;=40,"dev",IF(COUNTIF(I$3:I163,"Y")&lt;=200,"test","extra"))),"")</f>
        <v/>
      </c>
      <c r="C163" s="7" t="str">
        <f aca="false">IF(I163="Y",IF(COUNTA(K163,M163,O163,Q163,S163,U163,W163,Y163,AA163,AC163,AE163)=11,"done","in progress"),IF(I163="N","excluded",""))</f>
        <v/>
      </c>
      <c r="D163" s="7" t="s">
        <v>498</v>
      </c>
      <c r="E163" s="8" t="s">
        <v>96</v>
      </c>
      <c r="F163" s="9" t="s">
        <v>499</v>
      </c>
      <c r="G163" s="7" t="s">
        <v>500</v>
      </c>
      <c r="H163" s="7"/>
      <c r="I163" s="10"/>
      <c r="J163" s="10"/>
      <c r="K163" s="10"/>
      <c r="L163" s="11"/>
      <c r="M163" s="10"/>
      <c r="N163" s="11"/>
      <c r="O163" s="10"/>
      <c r="P163" s="11"/>
      <c r="Q163" s="10"/>
      <c r="R163" s="11"/>
      <c r="S163" s="10"/>
      <c r="T163" s="11"/>
      <c r="U163" s="10"/>
      <c r="V163" s="11"/>
      <c r="W163" s="10"/>
      <c r="X163" s="11"/>
      <c r="Y163" s="10"/>
      <c r="Z163" s="11"/>
      <c r="AA163" s="10"/>
      <c r="AB163" s="11"/>
      <c r="AC163" s="10"/>
      <c r="AD163" s="11"/>
      <c r="AE163" s="10"/>
      <c r="AF163" s="11"/>
      <c r="AG163" s="11"/>
      <c r="AH163" s="11"/>
      <c r="AI163" s="10"/>
      <c r="AJ163" s="10"/>
    </row>
    <row r="164" customFormat="false" ht="39.55" hidden="false" customHeight="false" outlineLevel="0" collapsed="false">
      <c r="A164" s="7" t="n">
        <v>162</v>
      </c>
      <c r="B164" s="7" t="str">
        <f aca="false">IF(I164="Y",IF(COUNTIF(I$3:I164,"Y")&lt;=20,"pilot",IF(COUNTIF(I$3:I164,"Y")&lt;=40,"dev",IF(COUNTIF(I$3:I164,"Y")&lt;=200,"test","extra"))),"")</f>
        <v/>
      </c>
      <c r="C164" s="7" t="str">
        <f aca="false">IF(I164="Y",IF(COUNTA(K164,M164,O164,Q164,S164,U164,W164,Y164,AA164,AC164,AE164)=11,"done","in progress"),IF(I164="N","excluded",""))</f>
        <v/>
      </c>
      <c r="D164" s="7" t="s">
        <v>501</v>
      </c>
      <c r="E164" s="8" t="s">
        <v>96</v>
      </c>
      <c r="F164" s="9" t="s">
        <v>502</v>
      </c>
      <c r="G164" s="7" t="s">
        <v>116</v>
      </c>
      <c r="H164" s="7"/>
      <c r="I164" s="10"/>
      <c r="J164" s="10"/>
      <c r="K164" s="10"/>
      <c r="L164" s="11"/>
      <c r="M164" s="10"/>
      <c r="N164" s="11"/>
      <c r="O164" s="10"/>
      <c r="P164" s="11"/>
      <c r="Q164" s="10"/>
      <c r="R164" s="11"/>
      <c r="S164" s="10"/>
      <c r="T164" s="11"/>
      <c r="U164" s="10"/>
      <c r="V164" s="11"/>
      <c r="W164" s="10"/>
      <c r="X164" s="11"/>
      <c r="Y164" s="10"/>
      <c r="Z164" s="11"/>
      <c r="AA164" s="10"/>
      <c r="AB164" s="11"/>
      <c r="AC164" s="10"/>
      <c r="AD164" s="11"/>
      <c r="AE164" s="10"/>
      <c r="AF164" s="11"/>
      <c r="AG164" s="11"/>
      <c r="AH164" s="11"/>
      <c r="AI164" s="10"/>
      <c r="AJ164" s="10"/>
    </row>
    <row r="165" customFormat="false" ht="26.85" hidden="false" customHeight="false" outlineLevel="0" collapsed="false">
      <c r="A165" s="7" t="n">
        <v>163</v>
      </c>
      <c r="B165" s="7" t="str">
        <f aca="false">IF(I165="Y",IF(COUNTIF(I$3:I165,"Y")&lt;=20,"pilot",IF(COUNTIF(I$3:I165,"Y")&lt;=40,"dev",IF(COUNTIF(I$3:I165,"Y")&lt;=200,"test","extra"))),"")</f>
        <v/>
      </c>
      <c r="C165" s="7" t="str">
        <f aca="false">IF(I165="Y",IF(COUNTA(K165,M165,O165,Q165,S165,U165,W165,Y165,AA165,AC165,AE165)=11,"done","in progress"),IF(I165="N","excluded",""))</f>
        <v/>
      </c>
      <c r="D165" s="7" t="s">
        <v>503</v>
      </c>
      <c r="E165" s="8" t="s">
        <v>96</v>
      </c>
      <c r="F165" s="9" t="s">
        <v>504</v>
      </c>
      <c r="G165" s="7" t="s">
        <v>296</v>
      </c>
      <c r="H165" s="7"/>
      <c r="I165" s="10"/>
      <c r="J165" s="10"/>
      <c r="K165" s="10"/>
      <c r="L165" s="11"/>
      <c r="M165" s="10"/>
      <c r="N165" s="11"/>
      <c r="O165" s="10"/>
      <c r="P165" s="11"/>
      <c r="Q165" s="10"/>
      <c r="R165" s="11"/>
      <c r="S165" s="10"/>
      <c r="T165" s="11"/>
      <c r="U165" s="10"/>
      <c r="V165" s="11"/>
      <c r="W165" s="10"/>
      <c r="X165" s="11"/>
      <c r="Y165" s="10"/>
      <c r="Z165" s="11"/>
      <c r="AA165" s="10"/>
      <c r="AB165" s="11"/>
      <c r="AC165" s="10"/>
      <c r="AD165" s="11"/>
      <c r="AE165" s="10"/>
      <c r="AF165" s="11"/>
      <c r="AG165" s="11"/>
      <c r="AH165" s="11"/>
      <c r="AI165" s="10"/>
      <c r="AJ165" s="10"/>
    </row>
    <row r="166" customFormat="false" ht="39.55" hidden="false" customHeight="false" outlineLevel="0" collapsed="false">
      <c r="A166" s="7" t="n">
        <v>164</v>
      </c>
      <c r="B166" s="7" t="str">
        <f aca="false">IF(I166="Y",IF(COUNTIF(I$3:I166,"Y")&lt;=20,"pilot",IF(COUNTIF(I$3:I166,"Y")&lt;=40,"dev",IF(COUNTIF(I$3:I166,"Y")&lt;=200,"test","extra"))),"")</f>
        <v/>
      </c>
      <c r="C166" s="7" t="str">
        <f aca="false">IF(I166="Y",IF(COUNTA(K166,M166,O166,Q166,S166,U166,W166,Y166,AA166,AC166,AE166)=11,"done","in progress"),IF(I166="N","excluded",""))</f>
        <v/>
      </c>
      <c r="D166" s="7" t="s">
        <v>505</v>
      </c>
      <c r="E166" s="8" t="s">
        <v>96</v>
      </c>
      <c r="F166" s="9" t="s">
        <v>506</v>
      </c>
      <c r="G166" s="7" t="s">
        <v>116</v>
      </c>
      <c r="H166" s="7"/>
      <c r="I166" s="10"/>
      <c r="J166" s="10"/>
      <c r="K166" s="10"/>
      <c r="L166" s="11"/>
      <c r="M166" s="10"/>
      <c r="N166" s="11"/>
      <c r="O166" s="10"/>
      <c r="P166" s="11"/>
      <c r="Q166" s="10"/>
      <c r="R166" s="11"/>
      <c r="S166" s="10"/>
      <c r="T166" s="11"/>
      <c r="U166" s="10"/>
      <c r="V166" s="11"/>
      <c r="W166" s="10"/>
      <c r="X166" s="11"/>
      <c r="Y166" s="10"/>
      <c r="Z166" s="11"/>
      <c r="AA166" s="10"/>
      <c r="AB166" s="11"/>
      <c r="AC166" s="10"/>
      <c r="AD166" s="11"/>
      <c r="AE166" s="10"/>
      <c r="AF166" s="11"/>
      <c r="AG166" s="11"/>
      <c r="AH166" s="11"/>
      <c r="AI166" s="10"/>
      <c r="AJ166" s="10"/>
    </row>
    <row r="167" customFormat="false" ht="39.55" hidden="false" customHeight="false" outlineLevel="0" collapsed="false">
      <c r="A167" s="7" t="n">
        <v>165</v>
      </c>
      <c r="B167" s="7" t="str">
        <f aca="false">IF(I167="Y",IF(COUNTIF(I$3:I167,"Y")&lt;=20,"pilot",IF(COUNTIF(I$3:I167,"Y")&lt;=40,"dev",IF(COUNTIF(I$3:I167,"Y")&lt;=200,"test","extra"))),"")</f>
        <v/>
      </c>
      <c r="C167" s="7" t="str">
        <f aca="false">IF(I167="Y",IF(COUNTA(K167,M167,O167,Q167,S167,U167,W167,Y167,AA167,AC167,AE167)=11,"done","in progress"),IF(I167="N","excluded",""))</f>
        <v/>
      </c>
      <c r="D167" s="7" t="s">
        <v>507</v>
      </c>
      <c r="E167" s="8" t="s">
        <v>96</v>
      </c>
      <c r="F167" s="9" t="s">
        <v>508</v>
      </c>
      <c r="G167" s="7" t="s">
        <v>509</v>
      </c>
      <c r="H167" s="7"/>
      <c r="I167" s="10"/>
      <c r="J167" s="10"/>
      <c r="K167" s="10"/>
      <c r="L167" s="11"/>
      <c r="M167" s="10"/>
      <c r="N167" s="11"/>
      <c r="O167" s="10"/>
      <c r="P167" s="11"/>
      <c r="Q167" s="10"/>
      <c r="R167" s="11"/>
      <c r="S167" s="10"/>
      <c r="T167" s="11"/>
      <c r="U167" s="10"/>
      <c r="V167" s="11"/>
      <c r="W167" s="10"/>
      <c r="X167" s="11"/>
      <c r="Y167" s="10"/>
      <c r="Z167" s="11"/>
      <c r="AA167" s="10"/>
      <c r="AB167" s="11"/>
      <c r="AC167" s="10"/>
      <c r="AD167" s="11"/>
      <c r="AE167" s="10"/>
      <c r="AF167" s="11"/>
      <c r="AG167" s="11"/>
      <c r="AH167" s="11"/>
      <c r="AI167" s="10"/>
      <c r="AJ167" s="10"/>
    </row>
    <row r="168" customFormat="false" ht="39.55" hidden="false" customHeight="false" outlineLevel="0" collapsed="false">
      <c r="A168" s="7" t="n">
        <v>166</v>
      </c>
      <c r="B168" s="7" t="str">
        <f aca="false">IF(I168="Y",IF(COUNTIF(I$3:I168,"Y")&lt;=20,"pilot",IF(COUNTIF(I$3:I168,"Y")&lt;=40,"dev",IF(COUNTIF(I$3:I168,"Y")&lt;=200,"test","extra"))),"")</f>
        <v/>
      </c>
      <c r="C168" s="7" t="str">
        <f aca="false">IF(I168="Y",IF(COUNTA(K168,M168,O168,Q168,S168,U168,W168,Y168,AA168,AC168,AE168)=11,"done","in progress"),IF(I168="N","excluded",""))</f>
        <v/>
      </c>
      <c r="D168" s="7" t="s">
        <v>510</v>
      </c>
      <c r="E168" s="8" t="s">
        <v>96</v>
      </c>
      <c r="F168" s="9" t="s">
        <v>511</v>
      </c>
      <c r="G168" s="7" t="s">
        <v>104</v>
      </c>
      <c r="H168" s="7"/>
      <c r="I168" s="10"/>
      <c r="J168" s="10"/>
      <c r="K168" s="10"/>
      <c r="L168" s="11"/>
      <c r="M168" s="10"/>
      <c r="N168" s="11"/>
      <c r="O168" s="10"/>
      <c r="P168" s="11"/>
      <c r="Q168" s="10"/>
      <c r="R168" s="11"/>
      <c r="S168" s="10"/>
      <c r="T168" s="11"/>
      <c r="U168" s="10"/>
      <c r="V168" s="11"/>
      <c r="W168" s="10"/>
      <c r="X168" s="11"/>
      <c r="Y168" s="10"/>
      <c r="Z168" s="11"/>
      <c r="AA168" s="10"/>
      <c r="AB168" s="11"/>
      <c r="AC168" s="10"/>
      <c r="AD168" s="11"/>
      <c r="AE168" s="10"/>
      <c r="AF168" s="11"/>
      <c r="AG168" s="11"/>
      <c r="AH168" s="11"/>
      <c r="AI168" s="10"/>
      <c r="AJ168" s="10"/>
    </row>
    <row r="169" customFormat="false" ht="39.55" hidden="false" customHeight="false" outlineLevel="0" collapsed="false">
      <c r="A169" s="7" t="n">
        <v>167</v>
      </c>
      <c r="B169" s="7" t="str">
        <f aca="false">IF(I169="Y",IF(COUNTIF(I$3:I169,"Y")&lt;=20,"pilot",IF(COUNTIF(I$3:I169,"Y")&lt;=40,"dev",IF(COUNTIF(I$3:I169,"Y")&lt;=200,"test","extra"))),"")</f>
        <v/>
      </c>
      <c r="C169" s="7" t="str">
        <f aca="false">IF(I169="Y",IF(COUNTA(K169,M169,O169,Q169,S169,U169,W169,Y169,AA169,AC169,AE169)=11,"done","in progress"),IF(I169="N","excluded",""))</f>
        <v/>
      </c>
      <c r="D169" s="7" t="s">
        <v>512</v>
      </c>
      <c r="E169" s="8" t="s">
        <v>96</v>
      </c>
      <c r="F169" s="9" t="s">
        <v>513</v>
      </c>
      <c r="G169" s="7" t="s">
        <v>104</v>
      </c>
      <c r="H169" s="7"/>
      <c r="I169" s="10"/>
      <c r="J169" s="10"/>
      <c r="K169" s="10"/>
      <c r="L169" s="11"/>
      <c r="M169" s="10"/>
      <c r="N169" s="11"/>
      <c r="O169" s="10"/>
      <c r="P169" s="11"/>
      <c r="Q169" s="10"/>
      <c r="R169" s="11"/>
      <c r="S169" s="10"/>
      <c r="T169" s="11"/>
      <c r="U169" s="10"/>
      <c r="V169" s="11"/>
      <c r="W169" s="10"/>
      <c r="X169" s="11"/>
      <c r="Y169" s="10"/>
      <c r="Z169" s="11"/>
      <c r="AA169" s="10"/>
      <c r="AB169" s="11"/>
      <c r="AC169" s="10"/>
      <c r="AD169" s="11"/>
      <c r="AE169" s="10"/>
      <c r="AF169" s="11"/>
      <c r="AG169" s="11"/>
      <c r="AH169" s="11"/>
      <c r="AI169" s="10"/>
      <c r="AJ169" s="10"/>
    </row>
    <row r="170" customFormat="false" ht="52.2" hidden="false" customHeight="false" outlineLevel="0" collapsed="false">
      <c r="A170" s="7" t="n">
        <v>168</v>
      </c>
      <c r="B170" s="7" t="str">
        <f aca="false">IF(I170="Y",IF(COUNTIF(I$3:I170,"Y")&lt;=20,"pilot",IF(COUNTIF(I$3:I170,"Y")&lt;=40,"dev",IF(COUNTIF(I$3:I170,"Y")&lt;=200,"test","extra"))),"")</f>
        <v/>
      </c>
      <c r="C170" s="7" t="str">
        <f aca="false">IF(I170="Y",IF(COUNTA(K170,M170,O170,Q170,S170,U170,W170,Y170,AA170,AC170,AE170)=11,"done","in progress"),IF(I170="N","excluded",""))</f>
        <v/>
      </c>
      <c r="D170" s="7" t="s">
        <v>514</v>
      </c>
      <c r="E170" s="8" t="s">
        <v>96</v>
      </c>
      <c r="F170" s="9" t="s">
        <v>515</v>
      </c>
      <c r="G170" s="7" t="s">
        <v>516</v>
      </c>
      <c r="H170" s="7"/>
      <c r="I170" s="10"/>
      <c r="J170" s="10"/>
      <c r="K170" s="10"/>
      <c r="L170" s="11"/>
      <c r="M170" s="10"/>
      <c r="N170" s="11"/>
      <c r="O170" s="10"/>
      <c r="P170" s="11"/>
      <c r="Q170" s="10"/>
      <c r="R170" s="11"/>
      <c r="S170" s="10"/>
      <c r="T170" s="11"/>
      <c r="U170" s="10"/>
      <c r="V170" s="11"/>
      <c r="W170" s="10"/>
      <c r="X170" s="11"/>
      <c r="Y170" s="10"/>
      <c r="Z170" s="11"/>
      <c r="AA170" s="10"/>
      <c r="AB170" s="11"/>
      <c r="AC170" s="10"/>
      <c r="AD170" s="11"/>
      <c r="AE170" s="10"/>
      <c r="AF170" s="11"/>
      <c r="AG170" s="11"/>
      <c r="AH170" s="11"/>
      <c r="AI170" s="10"/>
      <c r="AJ170" s="10"/>
    </row>
    <row r="171" customFormat="false" ht="39.55" hidden="false" customHeight="false" outlineLevel="0" collapsed="false">
      <c r="A171" s="7" t="n">
        <v>169</v>
      </c>
      <c r="B171" s="7" t="str">
        <f aca="false">IF(I171="Y",IF(COUNTIF(I$3:I171,"Y")&lt;=20,"pilot",IF(COUNTIF(I$3:I171,"Y")&lt;=40,"dev",IF(COUNTIF(I$3:I171,"Y")&lt;=200,"test","extra"))),"")</f>
        <v/>
      </c>
      <c r="C171" s="7" t="str">
        <f aca="false">IF(I171="Y",IF(COUNTA(K171,M171,O171,Q171,S171,U171,W171,Y171,AA171,AC171,AE171)=11,"done","in progress"),IF(I171="N","excluded",""))</f>
        <v/>
      </c>
      <c r="D171" s="7" t="s">
        <v>517</v>
      </c>
      <c r="E171" s="8" t="s">
        <v>96</v>
      </c>
      <c r="F171" s="9" t="s">
        <v>518</v>
      </c>
      <c r="G171" s="7" t="s">
        <v>449</v>
      </c>
      <c r="H171" s="7"/>
      <c r="I171" s="10"/>
      <c r="J171" s="10"/>
      <c r="K171" s="10"/>
      <c r="L171" s="11"/>
      <c r="M171" s="10"/>
      <c r="N171" s="11"/>
      <c r="O171" s="10"/>
      <c r="P171" s="11"/>
      <c r="Q171" s="10"/>
      <c r="R171" s="11"/>
      <c r="S171" s="10"/>
      <c r="T171" s="11"/>
      <c r="U171" s="10"/>
      <c r="V171" s="11"/>
      <c r="W171" s="10"/>
      <c r="X171" s="11"/>
      <c r="Y171" s="10"/>
      <c r="Z171" s="11"/>
      <c r="AA171" s="10"/>
      <c r="AB171" s="11"/>
      <c r="AC171" s="10"/>
      <c r="AD171" s="11"/>
      <c r="AE171" s="10"/>
      <c r="AF171" s="11"/>
      <c r="AG171" s="11"/>
      <c r="AH171" s="11"/>
      <c r="AI171" s="10"/>
      <c r="AJ171" s="10"/>
    </row>
    <row r="172" customFormat="false" ht="26.85" hidden="false" customHeight="false" outlineLevel="0" collapsed="false">
      <c r="A172" s="7" t="n">
        <v>170</v>
      </c>
      <c r="B172" s="7" t="str">
        <f aca="false">IF(I172="Y",IF(COUNTIF(I$3:I172,"Y")&lt;=20,"pilot",IF(COUNTIF(I$3:I172,"Y")&lt;=40,"dev",IF(COUNTIF(I$3:I172,"Y")&lt;=200,"test","extra"))),"")</f>
        <v/>
      </c>
      <c r="C172" s="7" t="str">
        <f aca="false">IF(I172="Y",IF(COUNTA(K172,M172,O172,Q172,S172,U172,W172,Y172,AA172,AC172,AE172)=11,"done","in progress"),IF(I172="N","excluded",""))</f>
        <v/>
      </c>
      <c r="D172" s="7" t="s">
        <v>519</v>
      </c>
      <c r="E172" s="8" t="s">
        <v>96</v>
      </c>
      <c r="F172" s="9" t="s">
        <v>520</v>
      </c>
      <c r="G172" s="7" t="s">
        <v>125</v>
      </c>
      <c r="H172" s="7"/>
      <c r="I172" s="10"/>
      <c r="J172" s="10"/>
      <c r="K172" s="10"/>
      <c r="L172" s="11"/>
      <c r="M172" s="10"/>
      <c r="N172" s="11"/>
      <c r="O172" s="10"/>
      <c r="P172" s="11"/>
      <c r="Q172" s="10"/>
      <c r="R172" s="11"/>
      <c r="S172" s="10"/>
      <c r="T172" s="11"/>
      <c r="U172" s="10"/>
      <c r="V172" s="11"/>
      <c r="W172" s="10"/>
      <c r="X172" s="11"/>
      <c r="Y172" s="10"/>
      <c r="Z172" s="11"/>
      <c r="AA172" s="10"/>
      <c r="AB172" s="11"/>
      <c r="AC172" s="10"/>
      <c r="AD172" s="11"/>
      <c r="AE172" s="10"/>
      <c r="AF172" s="11"/>
      <c r="AG172" s="11"/>
      <c r="AH172" s="11"/>
      <c r="AI172" s="10"/>
      <c r="AJ172" s="10"/>
    </row>
    <row r="173" customFormat="false" ht="39.55" hidden="false" customHeight="false" outlineLevel="0" collapsed="false">
      <c r="A173" s="7" t="n">
        <v>171</v>
      </c>
      <c r="B173" s="7" t="str">
        <f aca="false">IF(I173="Y",IF(COUNTIF(I$3:I173,"Y")&lt;=20,"pilot",IF(COUNTIF(I$3:I173,"Y")&lt;=40,"dev",IF(COUNTIF(I$3:I173,"Y")&lt;=200,"test","extra"))),"")</f>
        <v/>
      </c>
      <c r="C173" s="7" t="str">
        <f aca="false">IF(I173="Y",IF(COUNTA(K173,M173,O173,Q173,S173,U173,W173,Y173,AA173,AC173,AE173)=11,"done","in progress"),IF(I173="N","excluded",""))</f>
        <v/>
      </c>
      <c r="D173" s="7" t="s">
        <v>521</v>
      </c>
      <c r="E173" s="8" t="s">
        <v>96</v>
      </c>
      <c r="F173" s="9" t="s">
        <v>522</v>
      </c>
      <c r="G173" s="7" t="s">
        <v>523</v>
      </c>
      <c r="H173" s="7"/>
      <c r="I173" s="10"/>
      <c r="J173" s="10"/>
      <c r="K173" s="10"/>
      <c r="L173" s="11"/>
      <c r="M173" s="10"/>
      <c r="N173" s="11"/>
      <c r="O173" s="10"/>
      <c r="P173" s="11"/>
      <c r="Q173" s="10"/>
      <c r="R173" s="11"/>
      <c r="S173" s="10"/>
      <c r="T173" s="11"/>
      <c r="U173" s="10"/>
      <c r="V173" s="11"/>
      <c r="W173" s="10"/>
      <c r="X173" s="11"/>
      <c r="Y173" s="10"/>
      <c r="Z173" s="11"/>
      <c r="AA173" s="10"/>
      <c r="AB173" s="11"/>
      <c r="AC173" s="10"/>
      <c r="AD173" s="11"/>
      <c r="AE173" s="10"/>
      <c r="AF173" s="11"/>
      <c r="AG173" s="11"/>
      <c r="AH173" s="11"/>
      <c r="AI173" s="10"/>
      <c r="AJ173" s="10"/>
    </row>
    <row r="174" customFormat="false" ht="39.55" hidden="false" customHeight="false" outlineLevel="0" collapsed="false">
      <c r="A174" s="7" t="n">
        <v>172</v>
      </c>
      <c r="B174" s="7" t="str">
        <f aca="false">IF(I174="Y",IF(COUNTIF(I$3:I174,"Y")&lt;=20,"pilot",IF(COUNTIF(I$3:I174,"Y")&lt;=40,"dev",IF(COUNTIF(I$3:I174,"Y")&lt;=200,"test","extra"))),"")</f>
        <v/>
      </c>
      <c r="C174" s="7" t="str">
        <f aca="false">IF(I174="Y",IF(COUNTA(K174,M174,O174,Q174,S174,U174,W174,Y174,AA174,AC174,AE174)=11,"done","in progress"),IF(I174="N","excluded",""))</f>
        <v/>
      </c>
      <c r="D174" s="7" t="s">
        <v>524</v>
      </c>
      <c r="E174" s="8" t="s">
        <v>96</v>
      </c>
      <c r="F174" s="9" t="s">
        <v>525</v>
      </c>
      <c r="G174" s="7" t="s">
        <v>526</v>
      </c>
      <c r="H174" s="7"/>
      <c r="I174" s="10"/>
      <c r="J174" s="10"/>
      <c r="K174" s="10"/>
      <c r="L174" s="11"/>
      <c r="M174" s="10"/>
      <c r="N174" s="11"/>
      <c r="O174" s="10"/>
      <c r="P174" s="11"/>
      <c r="Q174" s="10"/>
      <c r="R174" s="11"/>
      <c r="S174" s="10"/>
      <c r="T174" s="11"/>
      <c r="U174" s="10"/>
      <c r="V174" s="11"/>
      <c r="W174" s="10"/>
      <c r="X174" s="11"/>
      <c r="Y174" s="10"/>
      <c r="Z174" s="11"/>
      <c r="AA174" s="10"/>
      <c r="AB174" s="11"/>
      <c r="AC174" s="10"/>
      <c r="AD174" s="11"/>
      <c r="AE174" s="10"/>
      <c r="AF174" s="11"/>
      <c r="AG174" s="11"/>
      <c r="AH174" s="11"/>
      <c r="AI174" s="10"/>
      <c r="AJ174" s="10"/>
    </row>
    <row r="175" customFormat="false" ht="52.2" hidden="false" customHeight="false" outlineLevel="0" collapsed="false">
      <c r="A175" s="7" t="n">
        <v>173</v>
      </c>
      <c r="B175" s="7" t="str">
        <f aca="false">IF(I175="Y",IF(COUNTIF(I$3:I175,"Y")&lt;=20,"pilot",IF(COUNTIF(I$3:I175,"Y")&lt;=40,"dev",IF(COUNTIF(I$3:I175,"Y")&lt;=200,"test","extra"))),"")</f>
        <v/>
      </c>
      <c r="C175" s="7" t="str">
        <f aca="false">IF(I175="Y",IF(COUNTA(K175,M175,O175,Q175,S175,U175,W175,Y175,AA175,AC175,AE175)=11,"done","in progress"),IF(I175="N","excluded",""))</f>
        <v/>
      </c>
      <c r="D175" s="7" t="s">
        <v>527</v>
      </c>
      <c r="E175" s="8" t="s">
        <v>96</v>
      </c>
      <c r="F175" s="9" t="s">
        <v>528</v>
      </c>
      <c r="G175" s="7" t="s">
        <v>465</v>
      </c>
      <c r="H175" s="7"/>
      <c r="I175" s="10"/>
      <c r="J175" s="10"/>
      <c r="K175" s="10"/>
      <c r="L175" s="11"/>
      <c r="M175" s="10"/>
      <c r="N175" s="11"/>
      <c r="O175" s="10"/>
      <c r="P175" s="11"/>
      <c r="Q175" s="10"/>
      <c r="R175" s="11"/>
      <c r="S175" s="10"/>
      <c r="T175" s="11"/>
      <c r="U175" s="10"/>
      <c r="V175" s="11"/>
      <c r="W175" s="10"/>
      <c r="X175" s="11"/>
      <c r="Y175" s="10"/>
      <c r="Z175" s="11"/>
      <c r="AA175" s="10"/>
      <c r="AB175" s="11"/>
      <c r="AC175" s="10"/>
      <c r="AD175" s="11"/>
      <c r="AE175" s="10"/>
      <c r="AF175" s="11"/>
      <c r="AG175" s="11"/>
      <c r="AH175" s="11"/>
      <c r="AI175" s="10"/>
      <c r="AJ175" s="10"/>
    </row>
    <row r="176" customFormat="false" ht="39.55" hidden="false" customHeight="false" outlineLevel="0" collapsed="false">
      <c r="A176" s="7" t="n">
        <v>174</v>
      </c>
      <c r="B176" s="7" t="str">
        <f aca="false">IF(I176="Y",IF(COUNTIF(I$3:I176,"Y")&lt;=20,"pilot",IF(COUNTIF(I$3:I176,"Y")&lt;=40,"dev",IF(COUNTIF(I$3:I176,"Y")&lt;=200,"test","extra"))),"")</f>
        <v/>
      </c>
      <c r="C176" s="7" t="str">
        <f aca="false">IF(I176="Y",IF(COUNTA(K176,M176,O176,Q176,S176,U176,W176,Y176,AA176,AC176,AE176)=11,"done","in progress"),IF(I176="N","excluded",""))</f>
        <v/>
      </c>
      <c r="D176" s="7" t="s">
        <v>529</v>
      </c>
      <c r="E176" s="8" t="s">
        <v>96</v>
      </c>
      <c r="F176" s="9" t="s">
        <v>530</v>
      </c>
      <c r="G176" s="7" t="s">
        <v>125</v>
      </c>
      <c r="H176" s="7"/>
      <c r="I176" s="10"/>
      <c r="J176" s="10"/>
      <c r="K176" s="10"/>
      <c r="L176" s="11"/>
      <c r="M176" s="10"/>
      <c r="N176" s="11"/>
      <c r="O176" s="10"/>
      <c r="P176" s="11"/>
      <c r="Q176" s="10"/>
      <c r="R176" s="11"/>
      <c r="S176" s="10"/>
      <c r="T176" s="11"/>
      <c r="U176" s="10"/>
      <c r="V176" s="11"/>
      <c r="W176" s="10"/>
      <c r="X176" s="11"/>
      <c r="Y176" s="10"/>
      <c r="Z176" s="11"/>
      <c r="AA176" s="10"/>
      <c r="AB176" s="11"/>
      <c r="AC176" s="10"/>
      <c r="AD176" s="11"/>
      <c r="AE176" s="10"/>
      <c r="AF176" s="11"/>
      <c r="AG176" s="11"/>
      <c r="AH176" s="11"/>
      <c r="AI176" s="10"/>
      <c r="AJ176" s="10"/>
    </row>
    <row r="177" customFormat="false" ht="26.85" hidden="false" customHeight="false" outlineLevel="0" collapsed="false">
      <c r="A177" s="7" t="n">
        <v>175</v>
      </c>
      <c r="B177" s="7" t="str">
        <f aca="false">IF(I177="Y",IF(COUNTIF(I$3:I177,"Y")&lt;=20,"pilot",IF(COUNTIF(I$3:I177,"Y")&lt;=40,"dev",IF(COUNTIF(I$3:I177,"Y")&lt;=200,"test","extra"))),"")</f>
        <v/>
      </c>
      <c r="C177" s="7" t="str">
        <f aca="false">IF(I177="Y",IF(COUNTA(K177,M177,O177,Q177,S177,U177,W177,Y177,AA177,AC177,AE177)=11,"done","in progress"),IF(I177="N","excluded",""))</f>
        <v/>
      </c>
      <c r="D177" s="7" t="s">
        <v>531</v>
      </c>
      <c r="E177" s="8" t="s">
        <v>96</v>
      </c>
      <c r="F177" s="9" t="s">
        <v>532</v>
      </c>
      <c r="G177" s="7" t="s">
        <v>523</v>
      </c>
      <c r="H177" s="7"/>
      <c r="I177" s="10"/>
      <c r="J177" s="10"/>
      <c r="K177" s="10"/>
      <c r="L177" s="11"/>
      <c r="M177" s="10"/>
      <c r="N177" s="11"/>
      <c r="O177" s="10"/>
      <c r="P177" s="11"/>
      <c r="Q177" s="10"/>
      <c r="R177" s="11"/>
      <c r="S177" s="10"/>
      <c r="T177" s="11"/>
      <c r="U177" s="10"/>
      <c r="V177" s="11"/>
      <c r="W177" s="10"/>
      <c r="X177" s="11"/>
      <c r="Y177" s="10"/>
      <c r="Z177" s="11"/>
      <c r="AA177" s="10"/>
      <c r="AB177" s="11"/>
      <c r="AC177" s="10"/>
      <c r="AD177" s="11"/>
      <c r="AE177" s="10"/>
      <c r="AF177" s="11"/>
      <c r="AG177" s="11"/>
      <c r="AH177" s="11"/>
      <c r="AI177" s="10"/>
      <c r="AJ177" s="10"/>
    </row>
    <row r="178" customFormat="false" ht="52.2" hidden="false" customHeight="false" outlineLevel="0" collapsed="false">
      <c r="A178" s="7" t="n">
        <v>176</v>
      </c>
      <c r="B178" s="7" t="str">
        <f aca="false">IF(I178="Y",IF(COUNTIF(I$3:I178,"Y")&lt;=20,"pilot",IF(COUNTIF(I$3:I178,"Y")&lt;=40,"dev",IF(COUNTIF(I$3:I178,"Y")&lt;=200,"test","extra"))),"")</f>
        <v/>
      </c>
      <c r="C178" s="7" t="str">
        <f aca="false">IF(I178="Y",IF(COUNTA(K178,M178,O178,Q178,S178,U178,W178,Y178,AA178,AC178,AE178)=11,"done","in progress"),IF(I178="N","excluded",""))</f>
        <v/>
      </c>
      <c r="D178" s="7" t="s">
        <v>533</v>
      </c>
      <c r="E178" s="8" t="s">
        <v>96</v>
      </c>
      <c r="F178" s="9" t="s">
        <v>534</v>
      </c>
      <c r="G178" s="7" t="s">
        <v>107</v>
      </c>
      <c r="H178" s="7"/>
      <c r="I178" s="10"/>
      <c r="J178" s="10"/>
      <c r="K178" s="10"/>
      <c r="L178" s="11"/>
      <c r="M178" s="10"/>
      <c r="N178" s="11"/>
      <c r="O178" s="10"/>
      <c r="P178" s="11"/>
      <c r="Q178" s="10"/>
      <c r="R178" s="11"/>
      <c r="S178" s="10"/>
      <c r="T178" s="11"/>
      <c r="U178" s="10"/>
      <c r="V178" s="11"/>
      <c r="W178" s="10"/>
      <c r="X178" s="11"/>
      <c r="Y178" s="10"/>
      <c r="Z178" s="11"/>
      <c r="AA178" s="10"/>
      <c r="AB178" s="11"/>
      <c r="AC178" s="10"/>
      <c r="AD178" s="11"/>
      <c r="AE178" s="10"/>
      <c r="AF178" s="11"/>
      <c r="AG178" s="11"/>
      <c r="AH178" s="11"/>
      <c r="AI178" s="10"/>
      <c r="AJ178" s="10"/>
    </row>
    <row r="179" customFormat="false" ht="39.55" hidden="false" customHeight="false" outlineLevel="0" collapsed="false">
      <c r="A179" s="7" t="n">
        <v>177</v>
      </c>
      <c r="B179" s="7" t="str">
        <f aca="false">IF(I179="Y",IF(COUNTIF(I$3:I179,"Y")&lt;=20,"pilot",IF(COUNTIF(I$3:I179,"Y")&lt;=40,"dev",IF(COUNTIF(I$3:I179,"Y")&lt;=200,"test","extra"))),"")</f>
        <v/>
      </c>
      <c r="C179" s="7" t="str">
        <f aca="false">IF(I179="Y",IF(COUNTA(K179,M179,O179,Q179,S179,U179,W179,Y179,AA179,AC179,AE179)=11,"done","in progress"),IF(I179="N","excluded",""))</f>
        <v/>
      </c>
      <c r="D179" s="7" t="s">
        <v>535</v>
      </c>
      <c r="E179" s="8" t="s">
        <v>96</v>
      </c>
      <c r="F179" s="9" t="s">
        <v>536</v>
      </c>
      <c r="G179" s="7" t="s">
        <v>537</v>
      </c>
      <c r="H179" s="7"/>
      <c r="I179" s="10"/>
      <c r="J179" s="10"/>
      <c r="K179" s="10"/>
      <c r="L179" s="11"/>
      <c r="M179" s="10"/>
      <c r="N179" s="11"/>
      <c r="O179" s="10"/>
      <c r="P179" s="11"/>
      <c r="Q179" s="10"/>
      <c r="R179" s="11"/>
      <c r="S179" s="10"/>
      <c r="T179" s="11"/>
      <c r="U179" s="10"/>
      <c r="V179" s="11"/>
      <c r="W179" s="10"/>
      <c r="X179" s="11"/>
      <c r="Y179" s="10"/>
      <c r="Z179" s="11"/>
      <c r="AA179" s="10"/>
      <c r="AB179" s="11"/>
      <c r="AC179" s="10"/>
      <c r="AD179" s="11"/>
      <c r="AE179" s="10"/>
      <c r="AF179" s="11"/>
      <c r="AG179" s="11"/>
      <c r="AH179" s="11"/>
      <c r="AI179" s="10"/>
      <c r="AJ179" s="10"/>
    </row>
    <row r="180" customFormat="false" ht="39.55" hidden="false" customHeight="false" outlineLevel="0" collapsed="false">
      <c r="A180" s="7" t="n">
        <v>178</v>
      </c>
      <c r="B180" s="7" t="str">
        <f aca="false">IF(I180="Y",IF(COUNTIF(I$3:I180,"Y")&lt;=20,"pilot",IF(COUNTIF(I$3:I180,"Y")&lt;=40,"dev",IF(COUNTIF(I$3:I180,"Y")&lt;=200,"test","extra"))),"")</f>
        <v/>
      </c>
      <c r="C180" s="7" t="str">
        <f aca="false">IF(I180="Y",IF(COUNTA(K180,M180,O180,Q180,S180,U180,W180,Y180,AA180,AC180,AE180)=11,"done","in progress"),IF(I180="N","excluded",""))</f>
        <v/>
      </c>
      <c r="D180" s="7" t="s">
        <v>538</v>
      </c>
      <c r="E180" s="8" t="s">
        <v>96</v>
      </c>
      <c r="F180" s="9" t="s">
        <v>539</v>
      </c>
      <c r="G180" s="7" t="s">
        <v>113</v>
      </c>
      <c r="H180" s="7"/>
      <c r="I180" s="10"/>
      <c r="J180" s="10"/>
      <c r="K180" s="10"/>
      <c r="L180" s="11"/>
      <c r="M180" s="10"/>
      <c r="N180" s="11"/>
      <c r="O180" s="10"/>
      <c r="P180" s="11"/>
      <c r="Q180" s="10"/>
      <c r="R180" s="11"/>
      <c r="S180" s="10"/>
      <c r="T180" s="11"/>
      <c r="U180" s="10"/>
      <c r="V180" s="11"/>
      <c r="W180" s="10"/>
      <c r="X180" s="11"/>
      <c r="Y180" s="10"/>
      <c r="Z180" s="11"/>
      <c r="AA180" s="10"/>
      <c r="AB180" s="11"/>
      <c r="AC180" s="10"/>
      <c r="AD180" s="11"/>
      <c r="AE180" s="10"/>
      <c r="AF180" s="11"/>
      <c r="AG180" s="11"/>
      <c r="AH180" s="11"/>
      <c r="AI180" s="10"/>
      <c r="AJ180" s="10"/>
    </row>
    <row r="181" customFormat="false" ht="26.85" hidden="false" customHeight="false" outlineLevel="0" collapsed="false">
      <c r="A181" s="7" t="n">
        <v>179</v>
      </c>
      <c r="B181" s="7" t="str">
        <f aca="false">IF(I181="Y",IF(COUNTIF(I$3:I181,"Y")&lt;=20,"pilot",IF(COUNTIF(I$3:I181,"Y")&lt;=40,"dev",IF(COUNTIF(I$3:I181,"Y")&lt;=200,"test","extra"))),"")</f>
        <v/>
      </c>
      <c r="C181" s="7" t="str">
        <f aca="false">IF(I181="Y",IF(COUNTA(K181,M181,O181,Q181,S181,U181,W181,Y181,AA181,AC181,AE181)=11,"done","in progress"),IF(I181="N","excluded",""))</f>
        <v/>
      </c>
      <c r="D181" s="7" t="s">
        <v>540</v>
      </c>
      <c r="E181" s="8" t="s">
        <v>96</v>
      </c>
      <c r="F181" s="9" t="s">
        <v>541</v>
      </c>
      <c r="G181" s="7" t="s">
        <v>107</v>
      </c>
      <c r="H181" s="7"/>
      <c r="I181" s="10"/>
      <c r="J181" s="10"/>
      <c r="K181" s="10"/>
      <c r="L181" s="11"/>
      <c r="M181" s="10"/>
      <c r="N181" s="11"/>
      <c r="O181" s="10"/>
      <c r="P181" s="11"/>
      <c r="Q181" s="10"/>
      <c r="R181" s="11"/>
      <c r="S181" s="10"/>
      <c r="T181" s="11"/>
      <c r="U181" s="10"/>
      <c r="V181" s="11"/>
      <c r="W181" s="10"/>
      <c r="X181" s="11"/>
      <c r="Y181" s="10"/>
      <c r="Z181" s="11"/>
      <c r="AA181" s="10"/>
      <c r="AB181" s="11"/>
      <c r="AC181" s="10"/>
      <c r="AD181" s="11"/>
      <c r="AE181" s="10"/>
      <c r="AF181" s="11"/>
      <c r="AG181" s="11"/>
      <c r="AH181" s="11"/>
      <c r="AI181" s="10"/>
      <c r="AJ181" s="10"/>
    </row>
    <row r="182" customFormat="false" ht="39.55" hidden="false" customHeight="false" outlineLevel="0" collapsed="false">
      <c r="A182" s="7" t="n">
        <v>180</v>
      </c>
      <c r="B182" s="7" t="str">
        <f aca="false">IF(I182="Y",IF(COUNTIF(I$3:I182,"Y")&lt;=20,"pilot",IF(COUNTIF(I$3:I182,"Y")&lt;=40,"dev",IF(COUNTIF(I$3:I182,"Y")&lt;=200,"test","extra"))),"")</f>
        <v/>
      </c>
      <c r="C182" s="7" t="str">
        <f aca="false">IF(I182="Y",IF(COUNTA(K182,M182,O182,Q182,S182,U182,W182,Y182,AA182,AC182,AE182)=11,"done","in progress"),IF(I182="N","excluded",""))</f>
        <v/>
      </c>
      <c r="D182" s="7" t="s">
        <v>542</v>
      </c>
      <c r="E182" s="8" t="s">
        <v>96</v>
      </c>
      <c r="F182" s="9" t="s">
        <v>543</v>
      </c>
      <c r="G182" s="7" t="s">
        <v>125</v>
      </c>
      <c r="H182" s="7"/>
      <c r="I182" s="10"/>
      <c r="J182" s="10"/>
      <c r="K182" s="10"/>
      <c r="L182" s="11"/>
      <c r="M182" s="10"/>
      <c r="N182" s="11"/>
      <c r="O182" s="10"/>
      <c r="P182" s="11"/>
      <c r="Q182" s="10"/>
      <c r="R182" s="11"/>
      <c r="S182" s="10"/>
      <c r="T182" s="11"/>
      <c r="U182" s="10"/>
      <c r="V182" s="11"/>
      <c r="W182" s="10"/>
      <c r="X182" s="11"/>
      <c r="Y182" s="10"/>
      <c r="Z182" s="11"/>
      <c r="AA182" s="10"/>
      <c r="AB182" s="11"/>
      <c r="AC182" s="10"/>
      <c r="AD182" s="11"/>
      <c r="AE182" s="10"/>
      <c r="AF182" s="11"/>
      <c r="AG182" s="11"/>
      <c r="AH182" s="11"/>
      <c r="AI182" s="10"/>
      <c r="AJ182" s="10"/>
    </row>
    <row r="183" customFormat="false" ht="39.55" hidden="false" customHeight="false" outlineLevel="0" collapsed="false">
      <c r="A183" s="7" t="n">
        <v>181</v>
      </c>
      <c r="B183" s="7" t="str">
        <f aca="false">IF(I183="Y",IF(COUNTIF(I$3:I183,"Y")&lt;=20,"pilot",IF(COUNTIF(I$3:I183,"Y")&lt;=40,"dev",IF(COUNTIF(I$3:I183,"Y")&lt;=200,"test","extra"))),"")</f>
        <v/>
      </c>
      <c r="C183" s="7" t="str">
        <f aca="false">IF(I183="Y",IF(COUNTA(K183,M183,O183,Q183,S183,U183,W183,Y183,AA183,AC183,AE183)=11,"done","in progress"),IF(I183="N","excluded",""))</f>
        <v/>
      </c>
      <c r="D183" s="7" t="s">
        <v>544</v>
      </c>
      <c r="E183" s="8" t="s">
        <v>96</v>
      </c>
      <c r="F183" s="9" t="s">
        <v>545</v>
      </c>
      <c r="G183" s="7" t="s">
        <v>333</v>
      </c>
      <c r="H183" s="7"/>
      <c r="I183" s="10"/>
      <c r="J183" s="10"/>
      <c r="K183" s="10"/>
      <c r="L183" s="11"/>
      <c r="M183" s="10"/>
      <c r="N183" s="11"/>
      <c r="O183" s="10"/>
      <c r="P183" s="11"/>
      <c r="Q183" s="10"/>
      <c r="R183" s="11"/>
      <c r="S183" s="10"/>
      <c r="T183" s="11"/>
      <c r="U183" s="10"/>
      <c r="V183" s="11"/>
      <c r="W183" s="10"/>
      <c r="X183" s="11"/>
      <c r="Y183" s="10"/>
      <c r="Z183" s="11"/>
      <c r="AA183" s="10"/>
      <c r="AB183" s="11"/>
      <c r="AC183" s="10"/>
      <c r="AD183" s="11"/>
      <c r="AE183" s="10"/>
      <c r="AF183" s="11"/>
      <c r="AG183" s="11"/>
      <c r="AH183" s="11"/>
      <c r="AI183" s="10"/>
      <c r="AJ183" s="10"/>
    </row>
    <row r="184" customFormat="false" ht="39.55" hidden="false" customHeight="false" outlineLevel="0" collapsed="false">
      <c r="A184" s="7" t="n">
        <v>182</v>
      </c>
      <c r="B184" s="7" t="str">
        <f aca="false">IF(I184="Y",IF(COUNTIF(I$3:I184,"Y")&lt;=20,"pilot",IF(COUNTIF(I$3:I184,"Y")&lt;=40,"dev",IF(COUNTIF(I$3:I184,"Y")&lt;=200,"test","extra"))),"")</f>
        <v/>
      </c>
      <c r="C184" s="7" t="str">
        <f aca="false">IF(I184="Y",IF(COUNTA(K184,M184,O184,Q184,S184,U184,W184,Y184,AA184,AC184,AE184)=11,"done","in progress"),IF(I184="N","excluded",""))</f>
        <v/>
      </c>
      <c r="D184" s="7" t="s">
        <v>546</v>
      </c>
      <c r="E184" s="8" t="s">
        <v>96</v>
      </c>
      <c r="F184" s="9" t="s">
        <v>547</v>
      </c>
      <c r="G184" s="7" t="s">
        <v>548</v>
      </c>
      <c r="H184" s="7"/>
      <c r="I184" s="10"/>
      <c r="J184" s="10"/>
      <c r="K184" s="10"/>
      <c r="L184" s="11"/>
      <c r="M184" s="10"/>
      <c r="N184" s="11"/>
      <c r="O184" s="10"/>
      <c r="P184" s="11"/>
      <c r="Q184" s="10"/>
      <c r="R184" s="11"/>
      <c r="S184" s="10"/>
      <c r="T184" s="11"/>
      <c r="U184" s="10"/>
      <c r="V184" s="11"/>
      <c r="W184" s="10"/>
      <c r="X184" s="11"/>
      <c r="Y184" s="10"/>
      <c r="Z184" s="11"/>
      <c r="AA184" s="10"/>
      <c r="AB184" s="11"/>
      <c r="AC184" s="10"/>
      <c r="AD184" s="11"/>
      <c r="AE184" s="10"/>
      <c r="AF184" s="11"/>
      <c r="AG184" s="11"/>
      <c r="AH184" s="11"/>
      <c r="AI184" s="10"/>
      <c r="AJ184" s="10"/>
    </row>
    <row r="185" customFormat="false" ht="39.55" hidden="false" customHeight="false" outlineLevel="0" collapsed="false">
      <c r="A185" s="7" t="n">
        <v>183</v>
      </c>
      <c r="B185" s="7" t="str">
        <f aca="false">IF(I185="Y",IF(COUNTIF(I$3:I185,"Y")&lt;=20,"pilot",IF(COUNTIF(I$3:I185,"Y")&lt;=40,"dev",IF(COUNTIF(I$3:I185,"Y")&lt;=200,"test","extra"))),"")</f>
        <v/>
      </c>
      <c r="C185" s="7" t="str">
        <f aca="false">IF(I185="Y",IF(COUNTA(K185,M185,O185,Q185,S185,U185,W185,Y185,AA185,AC185,AE185)=11,"done","in progress"),IF(I185="N","excluded",""))</f>
        <v/>
      </c>
      <c r="D185" s="7" t="s">
        <v>549</v>
      </c>
      <c r="E185" s="8" t="s">
        <v>96</v>
      </c>
      <c r="F185" s="9" t="s">
        <v>550</v>
      </c>
      <c r="G185" s="7" t="s">
        <v>148</v>
      </c>
      <c r="H185" s="7"/>
      <c r="I185" s="10"/>
      <c r="J185" s="10"/>
      <c r="K185" s="10"/>
      <c r="L185" s="11"/>
      <c r="M185" s="10"/>
      <c r="N185" s="11"/>
      <c r="O185" s="10"/>
      <c r="P185" s="11"/>
      <c r="Q185" s="10"/>
      <c r="R185" s="11"/>
      <c r="S185" s="10"/>
      <c r="T185" s="11"/>
      <c r="U185" s="10"/>
      <c r="V185" s="11"/>
      <c r="W185" s="10"/>
      <c r="X185" s="11"/>
      <c r="Y185" s="10"/>
      <c r="Z185" s="11"/>
      <c r="AA185" s="10"/>
      <c r="AB185" s="11"/>
      <c r="AC185" s="10"/>
      <c r="AD185" s="11"/>
      <c r="AE185" s="10"/>
      <c r="AF185" s="11"/>
      <c r="AG185" s="11"/>
      <c r="AH185" s="11"/>
      <c r="AI185" s="10"/>
      <c r="AJ185" s="10"/>
    </row>
    <row r="186" customFormat="false" ht="26.85" hidden="false" customHeight="false" outlineLevel="0" collapsed="false">
      <c r="A186" s="7" t="n">
        <v>184</v>
      </c>
      <c r="B186" s="7" t="str">
        <f aca="false">IF(I186="Y",IF(COUNTIF(I$3:I186,"Y")&lt;=20,"pilot",IF(COUNTIF(I$3:I186,"Y")&lt;=40,"dev",IF(COUNTIF(I$3:I186,"Y")&lt;=200,"test","extra"))),"")</f>
        <v/>
      </c>
      <c r="C186" s="7" t="str">
        <f aca="false">IF(I186="Y",IF(COUNTA(K186,M186,O186,Q186,S186,U186,W186,Y186,AA186,AC186,AE186)=11,"done","in progress"),IF(I186="N","excluded",""))</f>
        <v/>
      </c>
      <c r="D186" s="7" t="s">
        <v>551</v>
      </c>
      <c r="E186" s="8" t="s">
        <v>96</v>
      </c>
      <c r="F186" s="9" t="s">
        <v>552</v>
      </c>
      <c r="G186" s="7" t="s">
        <v>238</v>
      </c>
      <c r="H186" s="7"/>
      <c r="I186" s="10"/>
      <c r="J186" s="10"/>
      <c r="K186" s="10"/>
      <c r="L186" s="11"/>
      <c r="M186" s="10"/>
      <c r="N186" s="11"/>
      <c r="O186" s="10"/>
      <c r="P186" s="11"/>
      <c r="Q186" s="10"/>
      <c r="R186" s="11"/>
      <c r="S186" s="10"/>
      <c r="T186" s="11"/>
      <c r="U186" s="10"/>
      <c r="V186" s="11"/>
      <c r="W186" s="10"/>
      <c r="X186" s="11"/>
      <c r="Y186" s="10"/>
      <c r="Z186" s="11"/>
      <c r="AA186" s="10"/>
      <c r="AB186" s="11"/>
      <c r="AC186" s="10"/>
      <c r="AD186" s="11"/>
      <c r="AE186" s="10"/>
      <c r="AF186" s="11"/>
      <c r="AG186" s="11"/>
      <c r="AH186" s="11"/>
      <c r="AI186" s="10"/>
      <c r="AJ186" s="10"/>
    </row>
    <row r="187" customFormat="false" ht="39.55" hidden="false" customHeight="false" outlineLevel="0" collapsed="false">
      <c r="A187" s="7" t="n">
        <v>185</v>
      </c>
      <c r="B187" s="7" t="str">
        <f aca="false">IF(I187="Y",IF(COUNTIF(I$3:I187,"Y")&lt;=20,"pilot",IF(COUNTIF(I$3:I187,"Y")&lt;=40,"dev",IF(COUNTIF(I$3:I187,"Y")&lt;=200,"test","extra"))),"")</f>
        <v/>
      </c>
      <c r="C187" s="7" t="str">
        <f aca="false">IF(I187="Y",IF(COUNTA(K187,M187,O187,Q187,S187,U187,W187,Y187,AA187,AC187,AE187)=11,"done","in progress"),IF(I187="N","excluded",""))</f>
        <v/>
      </c>
      <c r="D187" s="7" t="s">
        <v>553</v>
      </c>
      <c r="E187" s="8" t="s">
        <v>96</v>
      </c>
      <c r="F187" s="9" t="s">
        <v>554</v>
      </c>
      <c r="G187" s="7" t="s">
        <v>555</v>
      </c>
      <c r="H187" s="7"/>
      <c r="I187" s="10"/>
      <c r="J187" s="10"/>
      <c r="K187" s="10"/>
      <c r="L187" s="11"/>
      <c r="M187" s="10"/>
      <c r="N187" s="11"/>
      <c r="O187" s="10"/>
      <c r="P187" s="11"/>
      <c r="Q187" s="10"/>
      <c r="R187" s="11"/>
      <c r="S187" s="10"/>
      <c r="T187" s="11"/>
      <c r="U187" s="10"/>
      <c r="V187" s="11"/>
      <c r="W187" s="10"/>
      <c r="X187" s="11"/>
      <c r="Y187" s="10"/>
      <c r="Z187" s="11"/>
      <c r="AA187" s="10"/>
      <c r="AB187" s="11"/>
      <c r="AC187" s="10"/>
      <c r="AD187" s="11"/>
      <c r="AE187" s="10"/>
      <c r="AF187" s="11"/>
      <c r="AG187" s="11"/>
      <c r="AH187" s="11"/>
      <c r="AI187" s="10"/>
      <c r="AJ187" s="10"/>
    </row>
    <row r="188" customFormat="false" ht="39.55" hidden="false" customHeight="false" outlineLevel="0" collapsed="false">
      <c r="A188" s="7" t="n">
        <v>186</v>
      </c>
      <c r="B188" s="7" t="str">
        <f aca="false">IF(I188="Y",IF(COUNTIF(I$3:I188,"Y")&lt;=20,"pilot",IF(COUNTIF(I$3:I188,"Y")&lt;=40,"dev",IF(COUNTIF(I$3:I188,"Y")&lt;=200,"test","extra"))),"")</f>
        <v/>
      </c>
      <c r="C188" s="7" t="str">
        <f aca="false">IF(I188="Y",IF(COUNTA(K188,M188,O188,Q188,S188,U188,W188,Y188,AA188,AC188,AE188)=11,"done","in progress"),IF(I188="N","excluded",""))</f>
        <v/>
      </c>
      <c r="D188" s="7" t="s">
        <v>556</v>
      </c>
      <c r="E188" s="8" t="s">
        <v>96</v>
      </c>
      <c r="F188" s="9" t="s">
        <v>557</v>
      </c>
      <c r="G188" s="7" t="s">
        <v>516</v>
      </c>
      <c r="H188" s="7"/>
      <c r="I188" s="10"/>
      <c r="J188" s="10"/>
      <c r="K188" s="10"/>
      <c r="L188" s="11"/>
      <c r="M188" s="10"/>
      <c r="N188" s="11"/>
      <c r="O188" s="10"/>
      <c r="P188" s="11"/>
      <c r="Q188" s="10"/>
      <c r="R188" s="11"/>
      <c r="S188" s="10"/>
      <c r="T188" s="11"/>
      <c r="U188" s="10"/>
      <c r="V188" s="11"/>
      <c r="W188" s="10"/>
      <c r="X188" s="11"/>
      <c r="Y188" s="10"/>
      <c r="Z188" s="11"/>
      <c r="AA188" s="10"/>
      <c r="AB188" s="11"/>
      <c r="AC188" s="10"/>
      <c r="AD188" s="11"/>
      <c r="AE188" s="10"/>
      <c r="AF188" s="11"/>
      <c r="AG188" s="11"/>
      <c r="AH188" s="11"/>
      <c r="AI188" s="10"/>
      <c r="AJ188" s="10"/>
    </row>
    <row r="189" customFormat="false" ht="26.85" hidden="false" customHeight="false" outlineLevel="0" collapsed="false">
      <c r="A189" s="7" t="n">
        <v>187</v>
      </c>
      <c r="B189" s="7" t="str">
        <f aca="false">IF(I189="Y",IF(COUNTIF(I$3:I189,"Y")&lt;=20,"pilot",IF(COUNTIF(I$3:I189,"Y")&lt;=40,"dev",IF(COUNTIF(I$3:I189,"Y")&lt;=200,"test","extra"))),"")</f>
        <v/>
      </c>
      <c r="C189" s="7" t="str">
        <f aca="false">IF(I189="Y",IF(COUNTA(K189,M189,O189,Q189,S189,U189,W189,Y189,AA189,AC189,AE189)=11,"done","in progress"),IF(I189="N","excluded",""))</f>
        <v/>
      </c>
      <c r="D189" s="7" t="s">
        <v>558</v>
      </c>
      <c r="E189" s="8" t="s">
        <v>96</v>
      </c>
      <c r="F189" s="9" t="s">
        <v>559</v>
      </c>
      <c r="G189" s="7" t="s">
        <v>218</v>
      </c>
      <c r="H189" s="7"/>
      <c r="I189" s="10"/>
      <c r="J189" s="10"/>
      <c r="K189" s="10"/>
      <c r="L189" s="11"/>
      <c r="M189" s="10"/>
      <c r="N189" s="11"/>
      <c r="O189" s="10"/>
      <c r="P189" s="11"/>
      <c r="Q189" s="10"/>
      <c r="R189" s="11"/>
      <c r="S189" s="10"/>
      <c r="T189" s="11"/>
      <c r="U189" s="10"/>
      <c r="V189" s="11"/>
      <c r="W189" s="10"/>
      <c r="X189" s="11"/>
      <c r="Y189" s="10"/>
      <c r="Z189" s="11"/>
      <c r="AA189" s="10"/>
      <c r="AB189" s="11"/>
      <c r="AC189" s="10"/>
      <c r="AD189" s="11"/>
      <c r="AE189" s="10"/>
      <c r="AF189" s="11"/>
      <c r="AG189" s="11"/>
      <c r="AH189" s="11"/>
      <c r="AI189" s="10"/>
      <c r="AJ189" s="10"/>
    </row>
    <row r="190" customFormat="false" ht="39.55" hidden="false" customHeight="false" outlineLevel="0" collapsed="false">
      <c r="A190" s="7" t="n">
        <v>188</v>
      </c>
      <c r="B190" s="7" t="str">
        <f aca="false">IF(I190="Y",IF(COUNTIF(I$3:I190,"Y")&lt;=20,"pilot",IF(COUNTIF(I$3:I190,"Y")&lt;=40,"dev",IF(COUNTIF(I$3:I190,"Y")&lt;=200,"test","extra"))),"")</f>
        <v/>
      </c>
      <c r="C190" s="7" t="str">
        <f aca="false">IF(I190="Y",IF(COUNTA(K190,M190,O190,Q190,S190,U190,W190,Y190,AA190,AC190,AE190)=11,"done","in progress"),IF(I190="N","excluded",""))</f>
        <v/>
      </c>
      <c r="D190" s="7" t="s">
        <v>560</v>
      </c>
      <c r="E190" s="8" t="s">
        <v>96</v>
      </c>
      <c r="F190" s="9" t="s">
        <v>561</v>
      </c>
      <c r="G190" s="7" t="s">
        <v>326</v>
      </c>
      <c r="H190" s="7"/>
      <c r="I190" s="10"/>
      <c r="J190" s="10"/>
      <c r="K190" s="10"/>
      <c r="L190" s="11"/>
      <c r="M190" s="10"/>
      <c r="N190" s="11"/>
      <c r="O190" s="10"/>
      <c r="P190" s="11"/>
      <c r="Q190" s="10"/>
      <c r="R190" s="11"/>
      <c r="S190" s="10"/>
      <c r="T190" s="11"/>
      <c r="U190" s="10"/>
      <c r="V190" s="11"/>
      <c r="W190" s="10"/>
      <c r="X190" s="11"/>
      <c r="Y190" s="10"/>
      <c r="Z190" s="11"/>
      <c r="AA190" s="10"/>
      <c r="AB190" s="11"/>
      <c r="AC190" s="10"/>
      <c r="AD190" s="11"/>
      <c r="AE190" s="10"/>
      <c r="AF190" s="11"/>
      <c r="AG190" s="11"/>
      <c r="AH190" s="11"/>
      <c r="AI190" s="10"/>
      <c r="AJ190" s="10"/>
    </row>
    <row r="191" customFormat="false" ht="39.55" hidden="false" customHeight="false" outlineLevel="0" collapsed="false">
      <c r="A191" s="7" t="n">
        <v>189</v>
      </c>
      <c r="B191" s="7" t="str">
        <f aca="false">IF(I191="Y",IF(COUNTIF(I$3:I191,"Y")&lt;=20,"pilot",IF(COUNTIF(I$3:I191,"Y")&lt;=40,"dev",IF(COUNTIF(I$3:I191,"Y")&lt;=200,"test","extra"))),"")</f>
        <v/>
      </c>
      <c r="C191" s="7" t="str">
        <f aca="false">IF(I191="Y",IF(COUNTA(K191,M191,O191,Q191,S191,U191,W191,Y191,AA191,AC191,AE191)=11,"done","in progress"),IF(I191="N","excluded",""))</f>
        <v/>
      </c>
      <c r="D191" s="7" t="s">
        <v>562</v>
      </c>
      <c r="E191" s="8" t="s">
        <v>96</v>
      </c>
      <c r="F191" s="9" t="s">
        <v>563</v>
      </c>
      <c r="G191" s="7" t="s">
        <v>125</v>
      </c>
      <c r="H191" s="7"/>
      <c r="I191" s="10"/>
      <c r="J191" s="10"/>
      <c r="K191" s="10"/>
      <c r="L191" s="11"/>
      <c r="M191" s="10"/>
      <c r="N191" s="11"/>
      <c r="O191" s="10"/>
      <c r="P191" s="11"/>
      <c r="Q191" s="10"/>
      <c r="R191" s="11"/>
      <c r="S191" s="10"/>
      <c r="T191" s="11"/>
      <c r="U191" s="10"/>
      <c r="V191" s="11"/>
      <c r="W191" s="10"/>
      <c r="X191" s="11"/>
      <c r="Y191" s="10"/>
      <c r="Z191" s="11"/>
      <c r="AA191" s="10"/>
      <c r="AB191" s="11"/>
      <c r="AC191" s="10"/>
      <c r="AD191" s="11"/>
      <c r="AE191" s="10"/>
      <c r="AF191" s="11"/>
      <c r="AG191" s="11"/>
      <c r="AH191" s="11"/>
      <c r="AI191" s="10"/>
      <c r="AJ191" s="10"/>
    </row>
    <row r="192" customFormat="false" ht="39.55" hidden="false" customHeight="false" outlineLevel="0" collapsed="false">
      <c r="A192" s="7" t="n">
        <v>190</v>
      </c>
      <c r="B192" s="7" t="str">
        <f aca="false">IF(I192="Y",IF(COUNTIF(I$3:I192,"Y")&lt;=20,"pilot",IF(COUNTIF(I$3:I192,"Y")&lt;=40,"dev",IF(COUNTIF(I$3:I192,"Y")&lt;=200,"test","extra"))),"")</f>
        <v/>
      </c>
      <c r="C192" s="7" t="str">
        <f aca="false">IF(I192="Y",IF(COUNTA(K192,M192,O192,Q192,S192,U192,W192,Y192,AA192,AC192,AE192)=11,"done","in progress"),IF(I192="N","excluded",""))</f>
        <v/>
      </c>
      <c r="D192" s="7" t="s">
        <v>564</v>
      </c>
      <c r="E192" s="8" t="s">
        <v>96</v>
      </c>
      <c r="F192" s="9" t="s">
        <v>565</v>
      </c>
      <c r="G192" s="7" t="s">
        <v>107</v>
      </c>
      <c r="H192" s="7"/>
      <c r="I192" s="10"/>
      <c r="J192" s="10"/>
      <c r="K192" s="10"/>
      <c r="L192" s="11"/>
      <c r="M192" s="10"/>
      <c r="N192" s="11"/>
      <c r="O192" s="10"/>
      <c r="P192" s="11"/>
      <c r="Q192" s="10"/>
      <c r="R192" s="11"/>
      <c r="S192" s="10"/>
      <c r="T192" s="11"/>
      <c r="U192" s="10"/>
      <c r="V192" s="11"/>
      <c r="W192" s="10"/>
      <c r="X192" s="11"/>
      <c r="Y192" s="10"/>
      <c r="Z192" s="11"/>
      <c r="AA192" s="10"/>
      <c r="AB192" s="11"/>
      <c r="AC192" s="10"/>
      <c r="AD192" s="11"/>
      <c r="AE192" s="10"/>
      <c r="AF192" s="11"/>
      <c r="AG192" s="11"/>
      <c r="AH192" s="11"/>
      <c r="AI192" s="10"/>
      <c r="AJ192" s="10"/>
    </row>
    <row r="193" customFormat="false" ht="39.55" hidden="false" customHeight="false" outlineLevel="0" collapsed="false">
      <c r="A193" s="7" t="n">
        <v>191</v>
      </c>
      <c r="B193" s="7" t="str">
        <f aca="false">IF(I193="Y",IF(COUNTIF(I$3:I193,"Y")&lt;=20,"pilot",IF(COUNTIF(I$3:I193,"Y")&lt;=40,"dev",IF(COUNTIF(I$3:I193,"Y")&lt;=200,"test","extra"))),"")</f>
        <v/>
      </c>
      <c r="C193" s="7" t="str">
        <f aca="false">IF(I193="Y",IF(COUNTA(K193,M193,O193,Q193,S193,U193,W193,Y193,AA193,AC193,AE193)=11,"done","in progress"),IF(I193="N","excluded",""))</f>
        <v/>
      </c>
      <c r="D193" s="7" t="s">
        <v>566</v>
      </c>
      <c r="E193" s="8" t="s">
        <v>96</v>
      </c>
      <c r="F193" s="9" t="s">
        <v>567</v>
      </c>
      <c r="G193" s="7" t="s">
        <v>305</v>
      </c>
      <c r="H193" s="7"/>
      <c r="I193" s="10"/>
      <c r="J193" s="10"/>
      <c r="K193" s="10"/>
      <c r="L193" s="11"/>
      <c r="M193" s="10"/>
      <c r="N193" s="11"/>
      <c r="O193" s="10"/>
      <c r="P193" s="11"/>
      <c r="Q193" s="10"/>
      <c r="R193" s="11"/>
      <c r="S193" s="10"/>
      <c r="T193" s="11"/>
      <c r="U193" s="10"/>
      <c r="V193" s="11"/>
      <c r="W193" s="10"/>
      <c r="X193" s="11"/>
      <c r="Y193" s="10"/>
      <c r="Z193" s="11"/>
      <c r="AA193" s="10"/>
      <c r="AB193" s="11"/>
      <c r="AC193" s="10"/>
      <c r="AD193" s="11"/>
      <c r="AE193" s="10"/>
      <c r="AF193" s="11"/>
      <c r="AG193" s="11"/>
      <c r="AH193" s="11"/>
      <c r="AI193" s="10"/>
      <c r="AJ193" s="10"/>
    </row>
    <row r="194" customFormat="false" ht="39.55" hidden="false" customHeight="false" outlineLevel="0" collapsed="false">
      <c r="A194" s="7" t="n">
        <v>192</v>
      </c>
      <c r="B194" s="7" t="str">
        <f aca="false">IF(I194="Y",IF(COUNTIF(I$3:I194,"Y")&lt;=20,"pilot",IF(COUNTIF(I$3:I194,"Y")&lt;=40,"dev",IF(COUNTIF(I$3:I194,"Y")&lt;=200,"test","extra"))),"")</f>
        <v/>
      </c>
      <c r="C194" s="7" t="str">
        <f aca="false">IF(I194="Y",IF(COUNTA(K194,M194,O194,Q194,S194,U194,W194,Y194,AA194,AC194,AE194)=11,"done","in progress"),IF(I194="N","excluded",""))</f>
        <v/>
      </c>
      <c r="D194" s="7" t="s">
        <v>568</v>
      </c>
      <c r="E194" s="8" t="s">
        <v>96</v>
      </c>
      <c r="F194" s="9" t="s">
        <v>569</v>
      </c>
      <c r="G194" s="7" t="s">
        <v>133</v>
      </c>
      <c r="H194" s="7"/>
      <c r="I194" s="10"/>
      <c r="J194" s="10"/>
      <c r="K194" s="10"/>
      <c r="L194" s="11"/>
      <c r="M194" s="10"/>
      <c r="N194" s="11"/>
      <c r="O194" s="10"/>
      <c r="P194" s="11"/>
      <c r="Q194" s="10"/>
      <c r="R194" s="11"/>
      <c r="S194" s="10"/>
      <c r="T194" s="11"/>
      <c r="U194" s="10"/>
      <c r="V194" s="11"/>
      <c r="W194" s="10"/>
      <c r="X194" s="11"/>
      <c r="Y194" s="10"/>
      <c r="Z194" s="11"/>
      <c r="AA194" s="10"/>
      <c r="AB194" s="11"/>
      <c r="AC194" s="10"/>
      <c r="AD194" s="11"/>
      <c r="AE194" s="10"/>
      <c r="AF194" s="11"/>
      <c r="AG194" s="11"/>
      <c r="AH194" s="11"/>
      <c r="AI194" s="10"/>
      <c r="AJ194" s="10"/>
    </row>
    <row r="195" customFormat="false" ht="26.85" hidden="false" customHeight="false" outlineLevel="0" collapsed="false">
      <c r="A195" s="7" t="n">
        <v>193</v>
      </c>
      <c r="B195" s="7" t="str">
        <f aca="false">IF(I195="Y",IF(COUNTIF(I$3:I195,"Y")&lt;=20,"pilot",IF(COUNTIF(I$3:I195,"Y")&lt;=40,"dev",IF(COUNTIF(I$3:I195,"Y")&lt;=200,"test","extra"))),"")</f>
        <v/>
      </c>
      <c r="C195" s="7" t="str">
        <f aca="false">IF(I195="Y",IF(COUNTA(K195,M195,O195,Q195,S195,U195,W195,Y195,AA195,AC195,AE195)=11,"done","in progress"),IF(I195="N","excluded",""))</f>
        <v/>
      </c>
      <c r="D195" s="7" t="s">
        <v>570</v>
      </c>
      <c r="E195" s="8" t="s">
        <v>96</v>
      </c>
      <c r="F195" s="9" t="s">
        <v>571</v>
      </c>
      <c r="G195" s="7" t="s">
        <v>166</v>
      </c>
      <c r="H195" s="7"/>
      <c r="I195" s="10"/>
      <c r="J195" s="10"/>
      <c r="K195" s="10"/>
      <c r="L195" s="11"/>
      <c r="M195" s="10"/>
      <c r="N195" s="11"/>
      <c r="O195" s="10"/>
      <c r="P195" s="11"/>
      <c r="Q195" s="10"/>
      <c r="R195" s="11"/>
      <c r="S195" s="10"/>
      <c r="T195" s="11"/>
      <c r="U195" s="10"/>
      <c r="V195" s="11"/>
      <c r="W195" s="10"/>
      <c r="X195" s="11"/>
      <c r="Y195" s="10"/>
      <c r="Z195" s="11"/>
      <c r="AA195" s="10"/>
      <c r="AB195" s="11"/>
      <c r="AC195" s="10"/>
      <c r="AD195" s="11"/>
      <c r="AE195" s="10"/>
      <c r="AF195" s="11"/>
      <c r="AG195" s="11"/>
      <c r="AH195" s="11"/>
      <c r="AI195" s="10"/>
      <c r="AJ195" s="10"/>
    </row>
    <row r="196" customFormat="false" ht="52.2" hidden="false" customHeight="false" outlineLevel="0" collapsed="false">
      <c r="A196" s="7" t="n">
        <v>194</v>
      </c>
      <c r="B196" s="7" t="str">
        <f aca="false">IF(I196="Y",IF(COUNTIF(I$3:I196,"Y")&lt;=20,"pilot",IF(COUNTIF(I$3:I196,"Y")&lt;=40,"dev",IF(COUNTIF(I$3:I196,"Y")&lt;=200,"test","extra"))),"")</f>
        <v/>
      </c>
      <c r="C196" s="7" t="str">
        <f aca="false">IF(I196="Y",IF(COUNTA(K196,M196,O196,Q196,S196,U196,W196,Y196,AA196,AC196,AE196)=11,"done","in progress"),IF(I196="N","excluded",""))</f>
        <v/>
      </c>
      <c r="D196" s="7" t="s">
        <v>572</v>
      </c>
      <c r="E196" s="8" t="s">
        <v>96</v>
      </c>
      <c r="F196" s="9" t="s">
        <v>573</v>
      </c>
      <c r="G196" s="7" t="s">
        <v>256</v>
      </c>
      <c r="H196" s="7" t="s">
        <v>193</v>
      </c>
      <c r="I196" s="10"/>
      <c r="J196" s="10"/>
      <c r="K196" s="10"/>
      <c r="L196" s="11"/>
      <c r="M196" s="10"/>
      <c r="N196" s="11"/>
      <c r="O196" s="10"/>
      <c r="P196" s="11"/>
      <c r="Q196" s="10"/>
      <c r="R196" s="11"/>
      <c r="S196" s="10"/>
      <c r="T196" s="11"/>
      <c r="U196" s="10"/>
      <c r="V196" s="11"/>
      <c r="W196" s="10"/>
      <c r="X196" s="11"/>
      <c r="Y196" s="10"/>
      <c r="Z196" s="11"/>
      <c r="AA196" s="10"/>
      <c r="AB196" s="11"/>
      <c r="AC196" s="10"/>
      <c r="AD196" s="11"/>
      <c r="AE196" s="10"/>
      <c r="AF196" s="11"/>
      <c r="AG196" s="11"/>
      <c r="AH196" s="11"/>
      <c r="AI196" s="10"/>
      <c r="AJ196" s="10"/>
    </row>
    <row r="197" customFormat="false" ht="26.85" hidden="false" customHeight="false" outlineLevel="0" collapsed="false">
      <c r="A197" s="7" t="n">
        <v>195</v>
      </c>
      <c r="B197" s="7" t="str">
        <f aca="false">IF(I197="Y",IF(COUNTIF(I$3:I197,"Y")&lt;=20,"pilot",IF(COUNTIF(I$3:I197,"Y")&lt;=40,"dev",IF(COUNTIF(I$3:I197,"Y")&lt;=200,"test","extra"))),"")</f>
        <v/>
      </c>
      <c r="C197" s="7" t="str">
        <f aca="false">IF(I197="Y",IF(COUNTA(K197,M197,O197,Q197,S197,U197,W197,Y197,AA197,AC197,AE197)=11,"done","in progress"),IF(I197="N","excluded",""))</f>
        <v/>
      </c>
      <c r="D197" s="7" t="s">
        <v>574</v>
      </c>
      <c r="E197" s="8" t="s">
        <v>96</v>
      </c>
      <c r="F197" s="9" t="s">
        <v>575</v>
      </c>
      <c r="G197" s="7" t="s">
        <v>125</v>
      </c>
      <c r="H197" s="7"/>
      <c r="I197" s="10"/>
      <c r="J197" s="10"/>
      <c r="K197" s="10"/>
      <c r="L197" s="11"/>
      <c r="M197" s="10"/>
      <c r="N197" s="11"/>
      <c r="O197" s="10"/>
      <c r="P197" s="11"/>
      <c r="Q197" s="10"/>
      <c r="R197" s="11"/>
      <c r="S197" s="10"/>
      <c r="T197" s="11"/>
      <c r="U197" s="10"/>
      <c r="V197" s="11"/>
      <c r="W197" s="10"/>
      <c r="X197" s="11"/>
      <c r="Y197" s="10"/>
      <c r="Z197" s="11"/>
      <c r="AA197" s="10"/>
      <c r="AB197" s="11"/>
      <c r="AC197" s="10"/>
      <c r="AD197" s="11"/>
      <c r="AE197" s="10"/>
      <c r="AF197" s="11"/>
      <c r="AG197" s="11"/>
      <c r="AH197" s="11"/>
      <c r="AI197" s="10"/>
      <c r="AJ197" s="10"/>
    </row>
    <row r="198" customFormat="false" ht="39.55" hidden="false" customHeight="false" outlineLevel="0" collapsed="false">
      <c r="A198" s="7" t="n">
        <v>196</v>
      </c>
      <c r="B198" s="7" t="str">
        <f aca="false">IF(I198="Y",IF(COUNTIF(I$3:I198,"Y")&lt;=20,"pilot",IF(COUNTIF(I$3:I198,"Y")&lt;=40,"dev",IF(COUNTIF(I$3:I198,"Y")&lt;=200,"test","extra"))),"")</f>
        <v/>
      </c>
      <c r="C198" s="7" t="str">
        <f aca="false">IF(I198="Y",IF(COUNTA(K198,M198,O198,Q198,S198,U198,W198,Y198,AA198,AC198,AE198)=11,"done","in progress"),IF(I198="N","excluded",""))</f>
        <v/>
      </c>
      <c r="D198" s="7" t="s">
        <v>576</v>
      </c>
      <c r="E198" s="8" t="s">
        <v>96</v>
      </c>
      <c r="F198" s="9" t="s">
        <v>577</v>
      </c>
      <c r="G198" s="7" t="s">
        <v>98</v>
      </c>
      <c r="H198" s="7"/>
      <c r="I198" s="10"/>
      <c r="J198" s="10"/>
      <c r="K198" s="10"/>
      <c r="L198" s="11"/>
      <c r="M198" s="10"/>
      <c r="N198" s="11"/>
      <c r="O198" s="10"/>
      <c r="P198" s="11"/>
      <c r="Q198" s="10"/>
      <c r="R198" s="11"/>
      <c r="S198" s="10"/>
      <c r="T198" s="11"/>
      <c r="U198" s="10"/>
      <c r="V198" s="11"/>
      <c r="W198" s="10"/>
      <c r="X198" s="11"/>
      <c r="Y198" s="10"/>
      <c r="Z198" s="11"/>
      <c r="AA198" s="10"/>
      <c r="AB198" s="11"/>
      <c r="AC198" s="10"/>
      <c r="AD198" s="11"/>
      <c r="AE198" s="10"/>
      <c r="AF198" s="11"/>
      <c r="AG198" s="11"/>
      <c r="AH198" s="11"/>
      <c r="AI198" s="10"/>
      <c r="AJ198" s="10"/>
    </row>
    <row r="199" customFormat="false" ht="26.85" hidden="false" customHeight="false" outlineLevel="0" collapsed="false">
      <c r="A199" s="7" t="n">
        <v>197</v>
      </c>
      <c r="B199" s="7" t="str">
        <f aca="false">IF(I199="Y",IF(COUNTIF(I$3:I199,"Y")&lt;=20,"pilot",IF(COUNTIF(I$3:I199,"Y")&lt;=40,"dev",IF(COUNTIF(I$3:I199,"Y")&lt;=200,"test","extra"))),"")</f>
        <v/>
      </c>
      <c r="C199" s="7" t="str">
        <f aca="false">IF(I199="Y",IF(COUNTA(K199,M199,O199,Q199,S199,U199,W199,Y199,AA199,AC199,AE199)=11,"done","in progress"),IF(I199="N","excluded",""))</f>
        <v/>
      </c>
      <c r="D199" s="7" t="s">
        <v>578</v>
      </c>
      <c r="E199" s="8" t="s">
        <v>96</v>
      </c>
      <c r="F199" s="9" t="s">
        <v>579</v>
      </c>
      <c r="G199" s="7" t="s">
        <v>116</v>
      </c>
      <c r="H199" s="7"/>
      <c r="I199" s="10"/>
      <c r="J199" s="10"/>
      <c r="K199" s="10"/>
      <c r="L199" s="11"/>
      <c r="M199" s="10"/>
      <c r="N199" s="11"/>
      <c r="O199" s="10"/>
      <c r="P199" s="11"/>
      <c r="Q199" s="10"/>
      <c r="R199" s="11"/>
      <c r="S199" s="10"/>
      <c r="T199" s="11"/>
      <c r="U199" s="10"/>
      <c r="V199" s="11"/>
      <c r="W199" s="10"/>
      <c r="X199" s="11"/>
      <c r="Y199" s="10"/>
      <c r="Z199" s="11"/>
      <c r="AA199" s="10"/>
      <c r="AB199" s="11"/>
      <c r="AC199" s="10"/>
      <c r="AD199" s="11"/>
      <c r="AE199" s="10"/>
      <c r="AF199" s="11"/>
      <c r="AG199" s="11"/>
      <c r="AH199" s="11"/>
      <c r="AI199" s="10"/>
      <c r="AJ199" s="10"/>
    </row>
    <row r="200" customFormat="false" ht="39.55" hidden="false" customHeight="false" outlineLevel="0" collapsed="false">
      <c r="A200" s="7" t="n">
        <v>198</v>
      </c>
      <c r="B200" s="7" t="str">
        <f aca="false">IF(I200="Y",IF(COUNTIF(I$3:I200,"Y")&lt;=20,"pilot",IF(COUNTIF(I$3:I200,"Y")&lt;=40,"dev",IF(COUNTIF(I$3:I200,"Y")&lt;=200,"test","extra"))),"")</f>
        <v/>
      </c>
      <c r="C200" s="7" t="str">
        <f aca="false">IF(I200="Y",IF(COUNTA(K200,M200,O200,Q200,S200,U200,W200,Y200,AA200,AC200,AE200)=11,"done","in progress"),IF(I200="N","excluded",""))</f>
        <v/>
      </c>
      <c r="D200" s="7" t="s">
        <v>580</v>
      </c>
      <c r="E200" s="8" t="s">
        <v>96</v>
      </c>
      <c r="F200" s="9" t="s">
        <v>581</v>
      </c>
      <c r="G200" s="7" t="s">
        <v>104</v>
      </c>
      <c r="H200" s="7"/>
      <c r="I200" s="10"/>
      <c r="J200" s="10"/>
      <c r="K200" s="10"/>
      <c r="L200" s="11"/>
      <c r="M200" s="10"/>
      <c r="N200" s="11"/>
      <c r="O200" s="10"/>
      <c r="P200" s="11"/>
      <c r="Q200" s="10"/>
      <c r="R200" s="11"/>
      <c r="S200" s="10"/>
      <c r="T200" s="11"/>
      <c r="U200" s="10"/>
      <c r="V200" s="11"/>
      <c r="W200" s="10"/>
      <c r="X200" s="11"/>
      <c r="Y200" s="10"/>
      <c r="Z200" s="11"/>
      <c r="AA200" s="10"/>
      <c r="AB200" s="11"/>
      <c r="AC200" s="10"/>
      <c r="AD200" s="11"/>
      <c r="AE200" s="10"/>
      <c r="AF200" s="11"/>
      <c r="AG200" s="11"/>
      <c r="AH200" s="11"/>
      <c r="AI200" s="10"/>
      <c r="AJ200" s="10"/>
    </row>
    <row r="201" customFormat="false" ht="39.55" hidden="false" customHeight="false" outlineLevel="0" collapsed="false">
      <c r="A201" s="7" t="n">
        <v>199</v>
      </c>
      <c r="B201" s="7" t="str">
        <f aca="false">IF(I201="Y",IF(COUNTIF(I$3:I201,"Y")&lt;=20,"pilot",IF(COUNTIF(I$3:I201,"Y")&lt;=40,"dev",IF(COUNTIF(I$3:I201,"Y")&lt;=200,"test","extra"))),"")</f>
        <v/>
      </c>
      <c r="C201" s="7" t="str">
        <f aca="false">IF(I201="Y",IF(COUNTA(K201,M201,O201,Q201,S201,U201,W201,Y201,AA201,AC201,AE201)=11,"done","in progress"),IF(I201="N","excluded",""))</f>
        <v/>
      </c>
      <c r="D201" s="7" t="s">
        <v>582</v>
      </c>
      <c r="E201" s="8" t="s">
        <v>96</v>
      </c>
      <c r="F201" s="9" t="s">
        <v>583</v>
      </c>
      <c r="G201" s="7" t="s">
        <v>133</v>
      </c>
      <c r="H201" s="7"/>
      <c r="I201" s="10"/>
      <c r="J201" s="10"/>
      <c r="K201" s="10"/>
      <c r="L201" s="11"/>
      <c r="M201" s="10"/>
      <c r="N201" s="11"/>
      <c r="O201" s="10"/>
      <c r="P201" s="11"/>
      <c r="Q201" s="10"/>
      <c r="R201" s="11"/>
      <c r="S201" s="10"/>
      <c r="T201" s="11"/>
      <c r="U201" s="10"/>
      <c r="V201" s="11"/>
      <c r="W201" s="10"/>
      <c r="X201" s="11"/>
      <c r="Y201" s="10"/>
      <c r="Z201" s="11"/>
      <c r="AA201" s="10"/>
      <c r="AB201" s="11"/>
      <c r="AC201" s="10"/>
      <c r="AD201" s="11"/>
      <c r="AE201" s="10"/>
      <c r="AF201" s="11"/>
      <c r="AG201" s="11"/>
      <c r="AH201" s="11"/>
      <c r="AI201" s="10"/>
      <c r="AJ201" s="10"/>
    </row>
    <row r="202" customFormat="false" ht="26.85" hidden="false" customHeight="false" outlineLevel="0" collapsed="false">
      <c r="A202" s="7" t="n">
        <v>200</v>
      </c>
      <c r="B202" s="7" t="str">
        <f aca="false">IF(I202="Y",IF(COUNTIF(I$3:I202,"Y")&lt;=20,"pilot",IF(COUNTIF(I$3:I202,"Y")&lt;=40,"dev",IF(COUNTIF(I$3:I202,"Y")&lt;=200,"test","extra"))),"")</f>
        <v/>
      </c>
      <c r="C202" s="7" t="str">
        <f aca="false">IF(I202="Y",IF(COUNTA(K202,M202,O202,Q202,S202,U202,W202,Y202,AA202,AC202,AE202)=11,"done","in progress"),IF(I202="N","excluded",""))</f>
        <v/>
      </c>
      <c r="D202" s="7" t="s">
        <v>584</v>
      </c>
      <c r="E202" s="8" t="s">
        <v>96</v>
      </c>
      <c r="F202" s="9" t="s">
        <v>585</v>
      </c>
      <c r="G202" s="7" t="s">
        <v>218</v>
      </c>
      <c r="H202" s="7"/>
      <c r="I202" s="10"/>
      <c r="J202" s="10"/>
      <c r="K202" s="10"/>
      <c r="L202" s="11"/>
      <c r="M202" s="10"/>
      <c r="N202" s="11"/>
      <c r="O202" s="10"/>
      <c r="P202" s="11"/>
      <c r="Q202" s="10"/>
      <c r="R202" s="11"/>
      <c r="S202" s="10"/>
      <c r="T202" s="11"/>
      <c r="U202" s="10"/>
      <c r="V202" s="11"/>
      <c r="W202" s="10"/>
      <c r="X202" s="11"/>
      <c r="Y202" s="10"/>
      <c r="Z202" s="11"/>
      <c r="AA202" s="10"/>
      <c r="AB202" s="11"/>
      <c r="AC202" s="10"/>
      <c r="AD202" s="11"/>
      <c r="AE202" s="10"/>
      <c r="AF202" s="11"/>
      <c r="AG202" s="11"/>
      <c r="AH202" s="11"/>
      <c r="AI202" s="10"/>
      <c r="AJ202" s="10"/>
    </row>
    <row r="203" customFormat="false" ht="39.55" hidden="false" customHeight="false" outlineLevel="0" collapsed="false">
      <c r="A203" s="7" t="n">
        <v>201</v>
      </c>
      <c r="B203" s="7" t="str">
        <f aca="false">IF(I203="Y",IF(COUNTIF(I$3:I203,"Y")&lt;=20,"pilot",IF(COUNTIF(I$3:I203,"Y")&lt;=40,"dev",IF(COUNTIF(I$3:I203,"Y")&lt;=200,"test","extra"))),"")</f>
        <v/>
      </c>
      <c r="C203" s="7" t="str">
        <f aca="false">IF(I203="Y",IF(COUNTA(K203,M203,O203,Q203,S203,U203,W203,Y203,AA203,AC203,AE203)=11,"done","in progress"),IF(I203="N","excluded",""))</f>
        <v/>
      </c>
      <c r="D203" s="7" t="s">
        <v>586</v>
      </c>
      <c r="E203" s="8" t="s">
        <v>96</v>
      </c>
      <c r="F203" s="9" t="s">
        <v>587</v>
      </c>
      <c r="G203" s="7" t="s">
        <v>588</v>
      </c>
      <c r="H203" s="7"/>
      <c r="I203" s="10"/>
      <c r="J203" s="10"/>
      <c r="K203" s="10"/>
      <c r="L203" s="11"/>
      <c r="M203" s="10"/>
      <c r="N203" s="11"/>
      <c r="O203" s="10"/>
      <c r="P203" s="11"/>
      <c r="Q203" s="10"/>
      <c r="R203" s="11"/>
      <c r="S203" s="10"/>
      <c r="T203" s="11"/>
      <c r="U203" s="10"/>
      <c r="V203" s="11"/>
      <c r="W203" s="10"/>
      <c r="X203" s="11"/>
      <c r="Y203" s="10"/>
      <c r="Z203" s="11"/>
      <c r="AA203" s="10"/>
      <c r="AB203" s="11"/>
      <c r="AC203" s="10"/>
      <c r="AD203" s="11"/>
      <c r="AE203" s="10"/>
      <c r="AF203" s="11"/>
      <c r="AG203" s="11"/>
      <c r="AH203" s="11"/>
      <c r="AI203" s="10"/>
      <c r="AJ203" s="10"/>
    </row>
    <row r="204" customFormat="false" ht="39.55" hidden="false" customHeight="false" outlineLevel="0" collapsed="false">
      <c r="A204" s="7" t="n">
        <v>202</v>
      </c>
      <c r="B204" s="7" t="str">
        <f aca="false">IF(I204="Y",IF(COUNTIF(I$3:I204,"Y")&lt;=20,"pilot",IF(COUNTIF(I$3:I204,"Y")&lt;=40,"dev",IF(COUNTIF(I$3:I204,"Y")&lt;=200,"test","extra"))),"")</f>
        <v/>
      </c>
      <c r="C204" s="7" t="str">
        <f aca="false">IF(I204="Y",IF(COUNTA(K204,M204,O204,Q204,S204,U204,W204,Y204,AA204,AC204,AE204)=11,"done","in progress"),IF(I204="N","excluded",""))</f>
        <v/>
      </c>
      <c r="D204" s="7" t="s">
        <v>589</v>
      </c>
      <c r="E204" s="8" t="s">
        <v>96</v>
      </c>
      <c r="F204" s="9" t="s">
        <v>590</v>
      </c>
      <c r="G204" s="7" t="s">
        <v>125</v>
      </c>
      <c r="H204" s="7"/>
      <c r="I204" s="10"/>
      <c r="J204" s="10"/>
      <c r="K204" s="10"/>
      <c r="L204" s="11"/>
      <c r="M204" s="10"/>
      <c r="N204" s="11"/>
      <c r="O204" s="10"/>
      <c r="P204" s="11"/>
      <c r="Q204" s="10"/>
      <c r="R204" s="11"/>
      <c r="S204" s="10"/>
      <c r="T204" s="11"/>
      <c r="U204" s="10"/>
      <c r="V204" s="11"/>
      <c r="W204" s="10"/>
      <c r="X204" s="11"/>
      <c r="Y204" s="10"/>
      <c r="Z204" s="11"/>
      <c r="AA204" s="10"/>
      <c r="AB204" s="11"/>
      <c r="AC204" s="10"/>
      <c r="AD204" s="11"/>
      <c r="AE204" s="10"/>
      <c r="AF204" s="11"/>
      <c r="AG204" s="11"/>
      <c r="AH204" s="11"/>
      <c r="AI204" s="10"/>
      <c r="AJ204" s="10"/>
    </row>
    <row r="205" customFormat="false" ht="39.55" hidden="false" customHeight="false" outlineLevel="0" collapsed="false">
      <c r="A205" s="7" t="n">
        <v>203</v>
      </c>
      <c r="B205" s="7" t="str">
        <f aca="false">IF(I205="Y",IF(COUNTIF(I$3:I205,"Y")&lt;=20,"pilot",IF(COUNTIF(I$3:I205,"Y")&lt;=40,"dev",IF(COUNTIF(I$3:I205,"Y")&lt;=200,"test","extra"))),"")</f>
        <v/>
      </c>
      <c r="C205" s="7" t="str">
        <f aca="false">IF(I205="Y",IF(COUNTA(K205,M205,O205,Q205,S205,U205,W205,Y205,AA205,AC205,AE205)=11,"done","in progress"),IF(I205="N","excluded",""))</f>
        <v/>
      </c>
      <c r="D205" s="7" t="s">
        <v>591</v>
      </c>
      <c r="E205" s="8" t="s">
        <v>96</v>
      </c>
      <c r="F205" s="9" t="s">
        <v>592</v>
      </c>
      <c r="G205" s="7" t="s">
        <v>133</v>
      </c>
      <c r="H205" s="7"/>
      <c r="I205" s="10"/>
      <c r="J205" s="10"/>
      <c r="K205" s="10"/>
      <c r="L205" s="11"/>
      <c r="M205" s="10"/>
      <c r="N205" s="11"/>
      <c r="O205" s="10"/>
      <c r="P205" s="11"/>
      <c r="Q205" s="10"/>
      <c r="R205" s="11"/>
      <c r="S205" s="10"/>
      <c r="T205" s="11"/>
      <c r="U205" s="10"/>
      <c r="V205" s="11"/>
      <c r="W205" s="10"/>
      <c r="X205" s="11"/>
      <c r="Y205" s="10"/>
      <c r="Z205" s="11"/>
      <c r="AA205" s="10"/>
      <c r="AB205" s="11"/>
      <c r="AC205" s="10"/>
      <c r="AD205" s="11"/>
      <c r="AE205" s="10"/>
      <c r="AF205" s="11"/>
      <c r="AG205" s="11"/>
      <c r="AH205" s="11"/>
      <c r="AI205" s="10"/>
      <c r="AJ205" s="10"/>
    </row>
    <row r="206" customFormat="false" ht="39.55" hidden="false" customHeight="false" outlineLevel="0" collapsed="false">
      <c r="A206" s="7" t="n">
        <v>204</v>
      </c>
      <c r="B206" s="7" t="str">
        <f aca="false">IF(I206="Y",IF(COUNTIF(I$3:I206,"Y")&lt;=20,"pilot",IF(COUNTIF(I$3:I206,"Y")&lt;=40,"dev",IF(COUNTIF(I$3:I206,"Y")&lt;=200,"test","extra"))),"")</f>
        <v/>
      </c>
      <c r="C206" s="7" t="str">
        <f aca="false">IF(I206="Y",IF(COUNTA(K206,M206,O206,Q206,S206,U206,W206,Y206,AA206,AC206,AE206)=11,"done","in progress"),IF(I206="N","excluded",""))</f>
        <v/>
      </c>
      <c r="D206" s="7" t="s">
        <v>593</v>
      </c>
      <c r="E206" s="8" t="s">
        <v>96</v>
      </c>
      <c r="F206" s="9" t="s">
        <v>594</v>
      </c>
      <c r="G206" s="7" t="s">
        <v>206</v>
      </c>
      <c r="H206" s="7"/>
      <c r="I206" s="10"/>
      <c r="J206" s="10"/>
      <c r="K206" s="10"/>
      <c r="L206" s="11"/>
      <c r="M206" s="10"/>
      <c r="N206" s="11"/>
      <c r="O206" s="10"/>
      <c r="P206" s="11"/>
      <c r="Q206" s="10"/>
      <c r="R206" s="11"/>
      <c r="S206" s="10"/>
      <c r="T206" s="11"/>
      <c r="U206" s="10"/>
      <c r="V206" s="11"/>
      <c r="W206" s="10"/>
      <c r="X206" s="11"/>
      <c r="Y206" s="10"/>
      <c r="Z206" s="11"/>
      <c r="AA206" s="10"/>
      <c r="AB206" s="11"/>
      <c r="AC206" s="10"/>
      <c r="AD206" s="11"/>
      <c r="AE206" s="10"/>
      <c r="AF206" s="11"/>
      <c r="AG206" s="11"/>
      <c r="AH206" s="11"/>
      <c r="AI206" s="10"/>
      <c r="AJ206" s="10"/>
    </row>
    <row r="207" customFormat="false" ht="39.55" hidden="false" customHeight="false" outlineLevel="0" collapsed="false">
      <c r="A207" s="7" t="n">
        <v>205</v>
      </c>
      <c r="B207" s="7" t="str">
        <f aca="false">IF(I207="Y",IF(COUNTIF(I$3:I207,"Y")&lt;=20,"pilot",IF(COUNTIF(I$3:I207,"Y")&lt;=40,"dev",IF(COUNTIF(I$3:I207,"Y")&lt;=200,"test","extra"))),"")</f>
        <v/>
      </c>
      <c r="C207" s="7" t="str">
        <f aca="false">IF(I207="Y",IF(COUNTA(K207,M207,O207,Q207,S207,U207,W207,Y207,AA207,AC207,AE207)=11,"done","in progress"),IF(I207="N","excluded",""))</f>
        <v/>
      </c>
      <c r="D207" s="7" t="s">
        <v>595</v>
      </c>
      <c r="E207" s="8" t="s">
        <v>96</v>
      </c>
      <c r="F207" s="9" t="s">
        <v>596</v>
      </c>
      <c r="G207" s="7" t="s">
        <v>509</v>
      </c>
      <c r="H207" s="7"/>
      <c r="I207" s="10"/>
      <c r="J207" s="10"/>
      <c r="K207" s="10"/>
      <c r="L207" s="11"/>
      <c r="M207" s="10"/>
      <c r="N207" s="11"/>
      <c r="O207" s="10"/>
      <c r="P207" s="11"/>
      <c r="Q207" s="10"/>
      <c r="R207" s="11"/>
      <c r="S207" s="10"/>
      <c r="T207" s="11"/>
      <c r="U207" s="10"/>
      <c r="V207" s="11"/>
      <c r="W207" s="10"/>
      <c r="X207" s="11"/>
      <c r="Y207" s="10"/>
      <c r="Z207" s="11"/>
      <c r="AA207" s="10"/>
      <c r="AB207" s="11"/>
      <c r="AC207" s="10"/>
      <c r="AD207" s="11"/>
      <c r="AE207" s="10"/>
      <c r="AF207" s="11"/>
      <c r="AG207" s="11"/>
      <c r="AH207" s="11"/>
      <c r="AI207" s="10"/>
      <c r="AJ207" s="10"/>
    </row>
    <row r="208" customFormat="false" ht="39.55" hidden="false" customHeight="false" outlineLevel="0" collapsed="false">
      <c r="A208" s="7" t="n">
        <v>206</v>
      </c>
      <c r="B208" s="7" t="str">
        <f aca="false">IF(I208="Y",IF(COUNTIF(I$3:I208,"Y")&lt;=20,"pilot",IF(COUNTIF(I$3:I208,"Y")&lt;=40,"dev",IF(COUNTIF(I$3:I208,"Y")&lt;=200,"test","extra"))),"")</f>
        <v/>
      </c>
      <c r="C208" s="7" t="str">
        <f aca="false">IF(I208="Y",IF(COUNTA(K208,M208,O208,Q208,S208,U208,W208,Y208,AA208,AC208,AE208)=11,"done","in progress"),IF(I208="N","excluded",""))</f>
        <v/>
      </c>
      <c r="D208" s="7" t="s">
        <v>597</v>
      </c>
      <c r="E208" s="8" t="s">
        <v>96</v>
      </c>
      <c r="F208" s="9" t="s">
        <v>598</v>
      </c>
      <c r="G208" s="7" t="s">
        <v>438</v>
      </c>
      <c r="H208" s="7"/>
      <c r="I208" s="10"/>
      <c r="J208" s="10"/>
      <c r="K208" s="10"/>
      <c r="L208" s="11"/>
      <c r="M208" s="10"/>
      <c r="N208" s="11"/>
      <c r="O208" s="10"/>
      <c r="P208" s="11"/>
      <c r="Q208" s="10"/>
      <c r="R208" s="11"/>
      <c r="S208" s="10"/>
      <c r="T208" s="11"/>
      <c r="U208" s="10"/>
      <c r="V208" s="11"/>
      <c r="W208" s="10"/>
      <c r="X208" s="11"/>
      <c r="Y208" s="10"/>
      <c r="Z208" s="11"/>
      <c r="AA208" s="10"/>
      <c r="AB208" s="11"/>
      <c r="AC208" s="10"/>
      <c r="AD208" s="11"/>
      <c r="AE208" s="10"/>
      <c r="AF208" s="11"/>
      <c r="AG208" s="11"/>
      <c r="AH208" s="11"/>
      <c r="AI208" s="10"/>
      <c r="AJ208" s="10"/>
    </row>
    <row r="209" customFormat="false" ht="39.55" hidden="false" customHeight="false" outlineLevel="0" collapsed="false">
      <c r="A209" s="7" t="n">
        <v>207</v>
      </c>
      <c r="B209" s="7" t="str">
        <f aca="false">IF(I209="Y",IF(COUNTIF(I$3:I209,"Y")&lt;=20,"pilot",IF(COUNTIF(I$3:I209,"Y")&lt;=40,"dev",IF(COUNTIF(I$3:I209,"Y")&lt;=200,"test","extra"))),"")</f>
        <v/>
      </c>
      <c r="C209" s="7" t="str">
        <f aca="false">IF(I209="Y",IF(COUNTA(K209,M209,O209,Q209,S209,U209,W209,Y209,AA209,AC209,AE209)=11,"done","in progress"),IF(I209="N","excluded",""))</f>
        <v/>
      </c>
      <c r="D209" s="7" t="s">
        <v>599</v>
      </c>
      <c r="E209" s="8" t="s">
        <v>96</v>
      </c>
      <c r="F209" s="9" t="s">
        <v>600</v>
      </c>
      <c r="G209" s="7" t="s">
        <v>601</v>
      </c>
      <c r="H209" s="7"/>
      <c r="I209" s="10"/>
      <c r="J209" s="10"/>
      <c r="K209" s="10"/>
      <c r="L209" s="11"/>
      <c r="M209" s="10"/>
      <c r="N209" s="11"/>
      <c r="O209" s="10"/>
      <c r="P209" s="11"/>
      <c r="Q209" s="10"/>
      <c r="R209" s="11"/>
      <c r="S209" s="10"/>
      <c r="T209" s="11"/>
      <c r="U209" s="10"/>
      <c r="V209" s="11"/>
      <c r="W209" s="10"/>
      <c r="X209" s="11"/>
      <c r="Y209" s="10"/>
      <c r="Z209" s="11"/>
      <c r="AA209" s="10"/>
      <c r="AB209" s="11"/>
      <c r="AC209" s="10"/>
      <c r="AD209" s="11"/>
      <c r="AE209" s="10"/>
      <c r="AF209" s="11"/>
      <c r="AG209" s="11"/>
      <c r="AH209" s="11"/>
      <c r="AI209" s="10"/>
      <c r="AJ209" s="10"/>
    </row>
    <row r="210" customFormat="false" ht="52.2" hidden="false" customHeight="false" outlineLevel="0" collapsed="false">
      <c r="A210" s="7" t="n">
        <v>208</v>
      </c>
      <c r="B210" s="7" t="str">
        <f aca="false">IF(I210="Y",IF(COUNTIF(I$3:I210,"Y")&lt;=20,"pilot",IF(COUNTIF(I$3:I210,"Y")&lt;=40,"dev",IF(COUNTIF(I$3:I210,"Y")&lt;=200,"test","extra"))),"")</f>
        <v/>
      </c>
      <c r="C210" s="7" t="str">
        <f aca="false">IF(I210="Y",IF(COUNTA(K210,M210,O210,Q210,S210,U210,W210,Y210,AA210,AC210,AE210)=11,"done","in progress"),IF(I210="N","excluded",""))</f>
        <v/>
      </c>
      <c r="D210" s="7" t="s">
        <v>602</v>
      </c>
      <c r="E210" s="8" t="s">
        <v>96</v>
      </c>
      <c r="F210" s="9" t="s">
        <v>603</v>
      </c>
      <c r="G210" s="7" t="s">
        <v>333</v>
      </c>
      <c r="H210" s="7"/>
      <c r="I210" s="10"/>
      <c r="J210" s="10"/>
      <c r="K210" s="10"/>
      <c r="L210" s="11"/>
      <c r="M210" s="10"/>
      <c r="N210" s="11"/>
      <c r="O210" s="10"/>
      <c r="P210" s="11"/>
      <c r="Q210" s="10"/>
      <c r="R210" s="11"/>
      <c r="S210" s="10"/>
      <c r="T210" s="11"/>
      <c r="U210" s="10"/>
      <c r="V210" s="11"/>
      <c r="W210" s="10"/>
      <c r="X210" s="11"/>
      <c r="Y210" s="10"/>
      <c r="Z210" s="11"/>
      <c r="AA210" s="10"/>
      <c r="AB210" s="11"/>
      <c r="AC210" s="10"/>
      <c r="AD210" s="11"/>
      <c r="AE210" s="10"/>
      <c r="AF210" s="11"/>
      <c r="AG210" s="11"/>
      <c r="AH210" s="11"/>
      <c r="AI210" s="10"/>
      <c r="AJ210" s="10"/>
    </row>
    <row r="211" customFormat="false" ht="39.55" hidden="false" customHeight="false" outlineLevel="0" collapsed="false">
      <c r="A211" s="7" t="n">
        <v>209</v>
      </c>
      <c r="B211" s="7" t="str">
        <f aca="false">IF(I211="Y",IF(COUNTIF(I$3:I211,"Y")&lt;=20,"pilot",IF(COUNTIF(I$3:I211,"Y")&lt;=40,"dev",IF(COUNTIF(I$3:I211,"Y")&lt;=200,"test","extra"))),"")</f>
        <v/>
      </c>
      <c r="C211" s="7" t="str">
        <f aca="false">IF(I211="Y",IF(COUNTA(K211,M211,O211,Q211,S211,U211,W211,Y211,AA211,AC211,AE211)=11,"done","in progress"),IF(I211="N","excluded",""))</f>
        <v/>
      </c>
      <c r="D211" s="7" t="s">
        <v>604</v>
      </c>
      <c r="E211" s="8" t="s">
        <v>96</v>
      </c>
      <c r="F211" s="9" t="s">
        <v>605</v>
      </c>
      <c r="G211" s="7" t="s">
        <v>238</v>
      </c>
      <c r="H211" s="7"/>
      <c r="I211" s="10"/>
      <c r="J211" s="10"/>
      <c r="K211" s="10"/>
      <c r="L211" s="11"/>
      <c r="M211" s="10"/>
      <c r="N211" s="11"/>
      <c r="O211" s="10"/>
      <c r="P211" s="11"/>
      <c r="Q211" s="10"/>
      <c r="R211" s="11"/>
      <c r="S211" s="10"/>
      <c r="T211" s="11"/>
      <c r="U211" s="10"/>
      <c r="V211" s="11"/>
      <c r="W211" s="10"/>
      <c r="X211" s="11"/>
      <c r="Y211" s="10"/>
      <c r="Z211" s="11"/>
      <c r="AA211" s="10"/>
      <c r="AB211" s="11"/>
      <c r="AC211" s="10"/>
      <c r="AD211" s="11"/>
      <c r="AE211" s="10"/>
      <c r="AF211" s="11"/>
      <c r="AG211" s="11"/>
      <c r="AH211" s="11"/>
      <c r="AI211" s="10"/>
      <c r="AJ211" s="10"/>
    </row>
    <row r="212" customFormat="false" ht="52.2" hidden="false" customHeight="false" outlineLevel="0" collapsed="false">
      <c r="A212" s="7" t="n">
        <v>210</v>
      </c>
      <c r="B212" s="7" t="str">
        <f aca="false">IF(I212="Y",IF(COUNTIF(I$3:I212,"Y")&lt;=20,"pilot",IF(COUNTIF(I$3:I212,"Y")&lt;=40,"dev",IF(COUNTIF(I$3:I212,"Y")&lt;=200,"test","extra"))),"")</f>
        <v/>
      </c>
      <c r="C212" s="7" t="str">
        <f aca="false">IF(I212="Y",IF(COUNTA(K212,M212,O212,Q212,S212,U212,W212,Y212,AA212,AC212,AE212)=11,"done","in progress"),IF(I212="N","excluded",""))</f>
        <v/>
      </c>
      <c r="D212" s="7" t="s">
        <v>606</v>
      </c>
      <c r="E212" s="8" t="s">
        <v>96</v>
      </c>
      <c r="F212" s="9" t="s">
        <v>607</v>
      </c>
      <c r="G212" s="7" t="s">
        <v>148</v>
      </c>
      <c r="H212" s="7"/>
      <c r="I212" s="10"/>
      <c r="J212" s="10"/>
      <c r="K212" s="10"/>
      <c r="L212" s="11"/>
      <c r="M212" s="10"/>
      <c r="N212" s="11"/>
      <c r="O212" s="10"/>
      <c r="P212" s="11"/>
      <c r="Q212" s="10"/>
      <c r="R212" s="11"/>
      <c r="S212" s="10"/>
      <c r="T212" s="11"/>
      <c r="U212" s="10"/>
      <c r="V212" s="11"/>
      <c r="W212" s="10"/>
      <c r="X212" s="11"/>
      <c r="Y212" s="10"/>
      <c r="Z212" s="11"/>
      <c r="AA212" s="10"/>
      <c r="AB212" s="11"/>
      <c r="AC212" s="10"/>
      <c r="AD212" s="11"/>
      <c r="AE212" s="10"/>
      <c r="AF212" s="11"/>
      <c r="AG212" s="11"/>
      <c r="AH212" s="11"/>
      <c r="AI212" s="10"/>
      <c r="AJ212" s="10"/>
    </row>
    <row r="213" customFormat="false" ht="52.2" hidden="false" customHeight="false" outlineLevel="0" collapsed="false">
      <c r="A213" s="7" t="n">
        <v>211</v>
      </c>
      <c r="B213" s="7" t="str">
        <f aca="false">IF(I213="Y",IF(COUNTIF(I$3:I213,"Y")&lt;=20,"pilot",IF(COUNTIF(I$3:I213,"Y")&lt;=40,"dev",IF(COUNTIF(I$3:I213,"Y")&lt;=200,"test","extra"))),"")</f>
        <v/>
      </c>
      <c r="C213" s="7" t="str">
        <f aca="false">IF(I213="Y",IF(COUNTA(K213,M213,O213,Q213,S213,U213,W213,Y213,AA213,AC213,AE213)=11,"done","in progress"),IF(I213="N","excluded",""))</f>
        <v/>
      </c>
      <c r="D213" s="7" t="s">
        <v>608</v>
      </c>
      <c r="E213" s="8" t="s">
        <v>96</v>
      </c>
      <c r="F213" s="9" t="s">
        <v>609</v>
      </c>
      <c r="G213" s="7" t="s">
        <v>125</v>
      </c>
      <c r="H213" s="7"/>
      <c r="I213" s="10"/>
      <c r="J213" s="10"/>
      <c r="K213" s="10"/>
      <c r="L213" s="11"/>
      <c r="M213" s="10"/>
      <c r="N213" s="11"/>
      <c r="O213" s="10"/>
      <c r="P213" s="11"/>
      <c r="Q213" s="10"/>
      <c r="R213" s="11"/>
      <c r="S213" s="10"/>
      <c r="T213" s="11"/>
      <c r="U213" s="10"/>
      <c r="V213" s="11"/>
      <c r="W213" s="10"/>
      <c r="X213" s="11"/>
      <c r="Y213" s="10"/>
      <c r="Z213" s="11"/>
      <c r="AA213" s="10"/>
      <c r="AB213" s="11"/>
      <c r="AC213" s="10"/>
      <c r="AD213" s="11"/>
      <c r="AE213" s="10"/>
      <c r="AF213" s="11"/>
      <c r="AG213" s="11"/>
      <c r="AH213" s="11"/>
      <c r="AI213" s="10"/>
      <c r="AJ213" s="10"/>
    </row>
    <row r="214" customFormat="false" ht="39.55" hidden="false" customHeight="false" outlineLevel="0" collapsed="false">
      <c r="A214" s="7" t="n">
        <v>212</v>
      </c>
      <c r="B214" s="7" t="str">
        <f aca="false">IF(I214="Y",IF(COUNTIF(I$3:I214,"Y")&lt;=20,"pilot",IF(COUNTIF(I$3:I214,"Y")&lt;=40,"dev",IF(COUNTIF(I$3:I214,"Y")&lt;=200,"test","extra"))),"")</f>
        <v/>
      </c>
      <c r="C214" s="7" t="str">
        <f aca="false">IF(I214="Y",IF(COUNTA(K214,M214,O214,Q214,S214,U214,W214,Y214,AA214,AC214,AE214)=11,"done","in progress"),IF(I214="N","excluded",""))</f>
        <v/>
      </c>
      <c r="D214" s="7" t="s">
        <v>610</v>
      </c>
      <c r="E214" s="8" t="s">
        <v>96</v>
      </c>
      <c r="F214" s="9" t="s">
        <v>611</v>
      </c>
      <c r="G214" s="7" t="s">
        <v>612</v>
      </c>
      <c r="H214" s="7"/>
      <c r="I214" s="10"/>
      <c r="J214" s="10"/>
      <c r="K214" s="10"/>
      <c r="L214" s="11"/>
      <c r="M214" s="10"/>
      <c r="N214" s="11"/>
      <c r="O214" s="10"/>
      <c r="P214" s="11"/>
      <c r="Q214" s="10"/>
      <c r="R214" s="11"/>
      <c r="S214" s="10"/>
      <c r="T214" s="11"/>
      <c r="U214" s="10"/>
      <c r="V214" s="11"/>
      <c r="W214" s="10"/>
      <c r="X214" s="11"/>
      <c r="Y214" s="10"/>
      <c r="Z214" s="11"/>
      <c r="AA214" s="10"/>
      <c r="AB214" s="11"/>
      <c r="AC214" s="10"/>
      <c r="AD214" s="11"/>
      <c r="AE214" s="10"/>
      <c r="AF214" s="11"/>
      <c r="AG214" s="11"/>
      <c r="AH214" s="11"/>
      <c r="AI214" s="10"/>
      <c r="AJ214" s="10"/>
    </row>
    <row r="215" customFormat="false" ht="39.55" hidden="false" customHeight="false" outlineLevel="0" collapsed="false">
      <c r="A215" s="7" t="n">
        <v>213</v>
      </c>
      <c r="B215" s="7" t="str">
        <f aca="false">IF(I215="Y",IF(COUNTIF(I$3:I215,"Y")&lt;=20,"pilot",IF(COUNTIF(I$3:I215,"Y")&lt;=40,"dev",IF(COUNTIF(I$3:I215,"Y")&lt;=200,"test","extra"))),"")</f>
        <v/>
      </c>
      <c r="C215" s="7" t="str">
        <f aca="false">IF(I215="Y",IF(COUNTA(K215,M215,O215,Q215,S215,U215,W215,Y215,AA215,AC215,AE215)=11,"done","in progress"),IF(I215="N","excluded",""))</f>
        <v/>
      </c>
      <c r="D215" s="7" t="s">
        <v>613</v>
      </c>
      <c r="E215" s="8" t="s">
        <v>96</v>
      </c>
      <c r="F215" s="9" t="s">
        <v>614</v>
      </c>
      <c r="G215" s="7" t="s">
        <v>363</v>
      </c>
      <c r="H215" s="7"/>
      <c r="I215" s="10"/>
      <c r="J215" s="10"/>
      <c r="K215" s="10"/>
      <c r="L215" s="11"/>
      <c r="M215" s="10"/>
      <c r="N215" s="11"/>
      <c r="O215" s="10"/>
      <c r="P215" s="11"/>
      <c r="Q215" s="10"/>
      <c r="R215" s="11"/>
      <c r="S215" s="10"/>
      <c r="T215" s="11"/>
      <c r="U215" s="10"/>
      <c r="V215" s="11"/>
      <c r="W215" s="10"/>
      <c r="X215" s="11"/>
      <c r="Y215" s="10"/>
      <c r="Z215" s="11"/>
      <c r="AA215" s="10"/>
      <c r="AB215" s="11"/>
      <c r="AC215" s="10"/>
      <c r="AD215" s="11"/>
      <c r="AE215" s="10"/>
      <c r="AF215" s="11"/>
      <c r="AG215" s="11"/>
      <c r="AH215" s="11"/>
      <c r="AI215" s="10"/>
      <c r="AJ215" s="10"/>
    </row>
    <row r="216" customFormat="false" ht="39.55" hidden="false" customHeight="false" outlineLevel="0" collapsed="false">
      <c r="A216" s="7" t="n">
        <v>214</v>
      </c>
      <c r="B216" s="7" t="str">
        <f aca="false">IF(I216="Y",IF(COUNTIF(I$3:I216,"Y")&lt;=20,"pilot",IF(COUNTIF(I$3:I216,"Y")&lt;=40,"dev",IF(COUNTIF(I$3:I216,"Y")&lt;=200,"test","extra"))),"")</f>
        <v/>
      </c>
      <c r="C216" s="7" t="str">
        <f aca="false">IF(I216="Y",IF(COUNTA(K216,M216,O216,Q216,S216,U216,W216,Y216,AA216,AC216,AE216)=11,"done","in progress"),IF(I216="N","excluded",""))</f>
        <v/>
      </c>
      <c r="D216" s="7" t="s">
        <v>615</v>
      </c>
      <c r="E216" s="8" t="s">
        <v>96</v>
      </c>
      <c r="F216" s="9" t="s">
        <v>616</v>
      </c>
      <c r="G216" s="7" t="s">
        <v>617</v>
      </c>
      <c r="H216" s="7"/>
      <c r="I216" s="10"/>
      <c r="J216" s="10"/>
      <c r="K216" s="10"/>
      <c r="L216" s="11"/>
      <c r="M216" s="10"/>
      <c r="N216" s="11"/>
      <c r="O216" s="10"/>
      <c r="P216" s="11"/>
      <c r="Q216" s="10"/>
      <c r="R216" s="11"/>
      <c r="S216" s="10"/>
      <c r="T216" s="11"/>
      <c r="U216" s="10"/>
      <c r="V216" s="11"/>
      <c r="W216" s="10"/>
      <c r="X216" s="11"/>
      <c r="Y216" s="10"/>
      <c r="Z216" s="11"/>
      <c r="AA216" s="10"/>
      <c r="AB216" s="11"/>
      <c r="AC216" s="10"/>
      <c r="AD216" s="11"/>
      <c r="AE216" s="10"/>
      <c r="AF216" s="11"/>
      <c r="AG216" s="11"/>
      <c r="AH216" s="11"/>
      <c r="AI216" s="10"/>
      <c r="AJ216" s="10"/>
    </row>
    <row r="217" customFormat="false" ht="39.55" hidden="false" customHeight="false" outlineLevel="0" collapsed="false">
      <c r="A217" s="7" t="n">
        <v>215</v>
      </c>
      <c r="B217" s="7" t="str">
        <f aca="false">IF(I217="Y",IF(COUNTIF(I$3:I217,"Y")&lt;=20,"pilot",IF(COUNTIF(I$3:I217,"Y")&lt;=40,"dev",IF(COUNTIF(I$3:I217,"Y")&lt;=200,"test","extra"))),"")</f>
        <v/>
      </c>
      <c r="C217" s="7" t="str">
        <f aca="false">IF(I217="Y",IF(COUNTA(K217,M217,O217,Q217,S217,U217,W217,Y217,AA217,AC217,AE217)=11,"done","in progress"),IF(I217="N","excluded",""))</f>
        <v/>
      </c>
      <c r="D217" s="7" t="s">
        <v>618</v>
      </c>
      <c r="E217" s="8" t="s">
        <v>96</v>
      </c>
      <c r="F217" s="9" t="s">
        <v>619</v>
      </c>
      <c r="G217" s="7" t="s">
        <v>133</v>
      </c>
      <c r="H217" s="7"/>
      <c r="I217" s="10"/>
      <c r="J217" s="10"/>
      <c r="K217" s="10"/>
      <c r="L217" s="11"/>
      <c r="M217" s="10"/>
      <c r="N217" s="11"/>
      <c r="O217" s="10"/>
      <c r="P217" s="11"/>
      <c r="Q217" s="10"/>
      <c r="R217" s="11"/>
      <c r="S217" s="10"/>
      <c r="T217" s="11"/>
      <c r="U217" s="10"/>
      <c r="V217" s="11"/>
      <c r="W217" s="10"/>
      <c r="X217" s="11"/>
      <c r="Y217" s="10"/>
      <c r="Z217" s="11"/>
      <c r="AA217" s="10"/>
      <c r="AB217" s="11"/>
      <c r="AC217" s="10"/>
      <c r="AD217" s="11"/>
      <c r="AE217" s="10"/>
      <c r="AF217" s="11"/>
      <c r="AG217" s="11"/>
      <c r="AH217" s="11"/>
      <c r="AI217" s="10"/>
      <c r="AJ217" s="10"/>
    </row>
    <row r="218" customFormat="false" ht="39.55" hidden="false" customHeight="false" outlineLevel="0" collapsed="false">
      <c r="A218" s="7" t="n">
        <v>216</v>
      </c>
      <c r="B218" s="7" t="str">
        <f aca="false">IF(I218="Y",IF(COUNTIF(I$3:I218,"Y")&lt;=20,"pilot",IF(COUNTIF(I$3:I218,"Y")&lt;=40,"dev",IF(COUNTIF(I$3:I218,"Y")&lt;=200,"test","extra"))),"")</f>
        <v/>
      </c>
      <c r="C218" s="7" t="str">
        <f aca="false">IF(I218="Y",IF(COUNTA(K218,M218,O218,Q218,S218,U218,W218,Y218,AA218,AC218,AE218)=11,"done","in progress"),IF(I218="N","excluded",""))</f>
        <v/>
      </c>
      <c r="D218" s="7" t="s">
        <v>620</v>
      </c>
      <c r="E218" s="8" t="s">
        <v>96</v>
      </c>
      <c r="F218" s="9" t="s">
        <v>621</v>
      </c>
      <c r="G218" s="7" t="s">
        <v>622</v>
      </c>
      <c r="H218" s="7"/>
      <c r="I218" s="10"/>
      <c r="J218" s="10"/>
      <c r="K218" s="10"/>
      <c r="L218" s="11"/>
      <c r="M218" s="10"/>
      <c r="N218" s="11"/>
      <c r="O218" s="10"/>
      <c r="P218" s="11"/>
      <c r="Q218" s="10"/>
      <c r="R218" s="11"/>
      <c r="S218" s="10"/>
      <c r="T218" s="11"/>
      <c r="U218" s="10"/>
      <c r="V218" s="11"/>
      <c r="W218" s="10"/>
      <c r="X218" s="11"/>
      <c r="Y218" s="10"/>
      <c r="Z218" s="11"/>
      <c r="AA218" s="10"/>
      <c r="AB218" s="11"/>
      <c r="AC218" s="10"/>
      <c r="AD218" s="11"/>
      <c r="AE218" s="10"/>
      <c r="AF218" s="11"/>
      <c r="AG218" s="11"/>
      <c r="AH218" s="11"/>
      <c r="AI218" s="10"/>
      <c r="AJ218" s="10"/>
    </row>
    <row r="219" customFormat="false" ht="26.85" hidden="false" customHeight="false" outlineLevel="0" collapsed="false">
      <c r="A219" s="7" t="n">
        <v>217</v>
      </c>
      <c r="B219" s="7" t="str">
        <f aca="false">IF(I219="Y",IF(COUNTIF(I$3:I219,"Y")&lt;=20,"pilot",IF(COUNTIF(I$3:I219,"Y")&lt;=40,"dev",IF(COUNTIF(I$3:I219,"Y")&lt;=200,"test","extra"))),"")</f>
        <v/>
      </c>
      <c r="C219" s="7" t="str">
        <f aca="false">IF(I219="Y",IF(COUNTA(K219,M219,O219,Q219,S219,U219,W219,Y219,AA219,AC219,AE219)=11,"done","in progress"),IF(I219="N","excluded",""))</f>
        <v/>
      </c>
      <c r="D219" s="7" t="s">
        <v>623</v>
      </c>
      <c r="E219" s="8" t="s">
        <v>96</v>
      </c>
      <c r="F219" s="9" t="s">
        <v>624</v>
      </c>
      <c r="G219" s="7" t="s">
        <v>625</v>
      </c>
      <c r="H219" s="7"/>
      <c r="I219" s="10"/>
      <c r="J219" s="10"/>
      <c r="K219" s="10"/>
      <c r="L219" s="11"/>
      <c r="M219" s="10"/>
      <c r="N219" s="11"/>
      <c r="O219" s="10"/>
      <c r="P219" s="11"/>
      <c r="Q219" s="10"/>
      <c r="R219" s="11"/>
      <c r="S219" s="10"/>
      <c r="T219" s="11"/>
      <c r="U219" s="10"/>
      <c r="V219" s="11"/>
      <c r="W219" s="10"/>
      <c r="X219" s="11"/>
      <c r="Y219" s="10"/>
      <c r="Z219" s="11"/>
      <c r="AA219" s="10"/>
      <c r="AB219" s="11"/>
      <c r="AC219" s="10"/>
      <c r="AD219" s="11"/>
      <c r="AE219" s="10"/>
      <c r="AF219" s="11"/>
      <c r="AG219" s="11"/>
      <c r="AH219" s="11"/>
      <c r="AI219" s="10"/>
      <c r="AJ219" s="10"/>
    </row>
    <row r="220" customFormat="false" ht="26.85" hidden="false" customHeight="false" outlineLevel="0" collapsed="false">
      <c r="A220" s="7" t="n">
        <v>218</v>
      </c>
      <c r="B220" s="7" t="str">
        <f aca="false">IF(I220="Y",IF(COUNTIF(I$3:I220,"Y")&lt;=20,"pilot",IF(COUNTIF(I$3:I220,"Y")&lt;=40,"dev",IF(COUNTIF(I$3:I220,"Y")&lt;=200,"test","extra"))),"")</f>
        <v/>
      </c>
      <c r="C220" s="7" t="str">
        <f aca="false">IF(I220="Y",IF(COUNTA(K220,M220,O220,Q220,S220,U220,W220,Y220,AA220,AC220,AE220)=11,"done","in progress"),IF(I220="N","excluded",""))</f>
        <v/>
      </c>
      <c r="D220" s="7" t="s">
        <v>626</v>
      </c>
      <c r="E220" s="8" t="s">
        <v>96</v>
      </c>
      <c r="F220" s="9" t="s">
        <v>627</v>
      </c>
      <c r="G220" s="7" t="s">
        <v>104</v>
      </c>
      <c r="H220" s="7"/>
      <c r="I220" s="10"/>
      <c r="J220" s="10"/>
      <c r="K220" s="10"/>
      <c r="L220" s="11"/>
      <c r="M220" s="10"/>
      <c r="N220" s="11"/>
      <c r="O220" s="10"/>
      <c r="P220" s="11"/>
      <c r="Q220" s="10"/>
      <c r="R220" s="11"/>
      <c r="S220" s="10"/>
      <c r="T220" s="11"/>
      <c r="U220" s="10"/>
      <c r="V220" s="11"/>
      <c r="W220" s="10"/>
      <c r="X220" s="11"/>
      <c r="Y220" s="10"/>
      <c r="Z220" s="11"/>
      <c r="AA220" s="10"/>
      <c r="AB220" s="11"/>
      <c r="AC220" s="10"/>
      <c r="AD220" s="11"/>
      <c r="AE220" s="10"/>
      <c r="AF220" s="11"/>
      <c r="AG220" s="11"/>
      <c r="AH220" s="11"/>
      <c r="AI220" s="10"/>
      <c r="AJ220" s="10"/>
    </row>
    <row r="221" customFormat="false" ht="39.55" hidden="false" customHeight="false" outlineLevel="0" collapsed="false">
      <c r="A221" s="7" t="n">
        <v>219</v>
      </c>
      <c r="B221" s="7" t="str">
        <f aca="false">IF(I221="Y",IF(COUNTIF(I$3:I221,"Y")&lt;=20,"pilot",IF(COUNTIF(I$3:I221,"Y")&lt;=40,"dev",IF(COUNTIF(I$3:I221,"Y")&lt;=200,"test","extra"))),"")</f>
        <v/>
      </c>
      <c r="C221" s="7" t="str">
        <f aca="false">IF(I221="Y",IF(COUNTA(K221,M221,O221,Q221,S221,U221,W221,Y221,AA221,AC221,AE221)=11,"done","in progress"),IF(I221="N","excluded",""))</f>
        <v/>
      </c>
      <c r="D221" s="7" t="s">
        <v>628</v>
      </c>
      <c r="E221" s="8" t="s">
        <v>96</v>
      </c>
      <c r="F221" s="9" t="s">
        <v>629</v>
      </c>
      <c r="G221" s="7" t="s">
        <v>125</v>
      </c>
      <c r="H221" s="7"/>
      <c r="I221" s="10"/>
      <c r="J221" s="10"/>
      <c r="K221" s="10"/>
      <c r="L221" s="11"/>
      <c r="M221" s="10"/>
      <c r="N221" s="11"/>
      <c r="O221" s="10"/>
      <c r="P221" s="11"/>
      <c r="Q221" s="10"/>
      <c r="R221" s="11"/>
      <c r="S221" s="10"/>
      <c r="T221" s="11"/>
      <c r="U221" s="10"/>
      <c r="V221" s="11"/>
      <c r="W221" s="10"/>
      <c r="X221" s="11"/>
      <c r="Y221" s="10"/>
      <c r="Z221" s="11"/>
      <c r="AA221" s="10"/>
      <c r="AB221" s="11"/>
      <c r="AC221" s="10"/>
      <c r="AD221" s="11"/>
      <c r="AE221" s="10"/>
      <c r="AF221" s="11"/>
      <c r="AG221" s="11"/>
      <c r="AH221" s="11"/>
      <c r="AI221" s="10"/>
      <c r="AJ221" s="10"/>
    </row>
    <row r="222" customFormat="false" ht="39.55" hidden="false" customHeight="false" outlineLevel="0" collapsed="false">
      <c r="A222" s="7" t="n">
        <v>220</v>
      </c>
      <c r="B222" s="7" t="str">
        <f aca="false">IF(I222="Y",IF(COUNTIF(I$3:I222,"Y")&lt;=20,"pilot",IF(COUNTIF(I$3:I222,"Y")&lt;=40,"dev",IF(COUNTIF(I$3:I222,"Y")&lt;=200,"test","extra"))),"")</f>
        <v/>
      </c>
      <c r="C222" s="7" t="str">
        <f aca="false">IF(I222="Y",IF(COUNTA(K222,M222,O222,Q222,S222,U222,W222,Y222,AA222,AC222,AE222)=11,"done","in progress"),IF(I222="N","excluded",""))</f>
        <v/>
      </c>
      <c r="D222" s="7" t="s">
        <v>630</v>
      </c>
      <c r="E222" s="8" t="s">
        <v>96</v>
      </c>
      <c r="F222" s="9" t="s">
        <v>631</v>
      </c>
      <c r="G222" s="7" t="s">
        <v>113</v>
      </c>
      <c r="H222" s="7"/>
      <c r="I222" s="10"/>
      <c r="J222" s="10"/>
      <c r="K222" s="10"/>
      <c r="L222" s="11"/>
      <c r="M222" s="10"/>
      <c r="N222" s="11"/>
      <c r="O222" s="10"/>
      <c r="P222" s="11"/>
      <c r="Q222" s="10"/>
      <c r="R222" s="11"/>
      <c r="S222" s="10"/>
      <c r="T222" s="11"/>
      <c r="U222" s="10"/>
      <c r="V222" s="11"/>
      <c r="W222" s="10"/>
      <c r="X222" s="11"/>
      <c r="Y222" s="10"/>
      <c r="Z222" s="11"/>
      <c r="AA222" s="10"/>
      <c r="AB222" s="11"/>
      <c r="AC222" s="10"/>
      <c r="AD222" s="11"/>
      <c r="AE222" s="10"/>
      <c r="AF222" s="11"/>
      <c r="AG222" s="11"/>
      <c r="AH222" s="11"/>
      <c r="AI222" s="10"/>
      <c r="AJ222" s="10"/>
    </row>
    <row r="223" customFormat="false" ht="26.85" hidden="false" customHeight="false" outlineLevel="0" collapsed="false">
      <c r="A223" s="7" t="n">
        <v>221</v>
      </c>
      <c r="B223" s="7" t="str">
        <f aca="false">IF(I223="Y",IF(COUNTIF(I$3:I223,"Y")&lt;=20,"pilot",IF(COUNTIF(I$3:I223,"Y")&lt;=40,"dev",IF(COUNTIF(I$3:I223,"Y")&lt;=200,"test","extra"))),"")</f>
        <v/>
      </c>
      <c r="C223" s="7" t="str">
        <f aca="false">IF(I223="Y",IF(COUNTA(K223,M223,O223,Q223,S223,U223,W223,Y223,AA223,AC223,AE223)=11,"done","in progress"),IF(I223="N","excluded",""))</f>
        <v/>
      </c>
      <c r="D223" s="7" t="s">
        <v>632</v>
      </c>
      <c r="E223" s="8" t="s">
        <v>96</v>
      </c>
      <c r="F223" s="9" t="s">
        <v>633</v>
      </c>
      <c r="G223" s="7" t="s">
        <v>634</v>
      </c>
      <c r="H223" s="7"/>
      <c r="I223" s="10"/>
      <c r="J223" s="10"/>
      <c r="K223" s="10"/>
      <c r="L223" s="11"/>
      <c r="M223" s="10"/>
      <c r="N223" s="11"/>
      <c r="O223" s="10"/>
      <c r="P223" s="11"/>
      <c r="Q223" s="10"/>
      <c r="R223" s="11"/>
      <c r="S223" s="10"/>
      <c r="T223" s="11"/>
      <c r="U223" s="10"/>
      <c r="V223" s="11"/>
      <c r="W223" s="10"/>
      <c r="X223" s="11"/>
      <c r="Y223" s="10"/>
      <c r="Z223" s="11"/>
      <c r="AA223" s="10"/>
      <c r="AB223" s="11"/>
      <c r="AC223" s="10"/>
      <c r="AD223" s="11"/>
      <c r="AE223" s="10"/>
      <c r="AF223" s="11"/>
      <c r="AG223" s="11"/>
      <c r="AH223" s="11"/>
      <c r="AI223" s="10"/>
      <c r="AJ223" s="10"/>
    </row>
    <row r="224" customFormat="false" ht="26.85" hidden="false" customHeight="false" outlineLevel="0" collapsed="false">
      <c r="A224" s="7" t="n">
        <v>222</v>
      </c>
      <c r="B224" s="7" t="str">
        <f aca="false">IF(I224="Y",IF(COUNTIF(I$3:I224,"Y")&lt;=20,"pilot",IF(COUNTIF(I$3:I224,"Y")&lt;=40,"dev",IF(COUNTIF(I$3:I224,"Y")&lt;=200,"test","extra"))),"")</f>
        <v/>
      </c>
      <c r="C224" s="7" t="str">
        <f aca="false">IF(I224="Y",IF(COUNTA(K224,M224,O224,Q224,S224,U224,W224,Y224,AA224,AC224,AE224)=11,"done","in progress"),IF(I224="N","excluded",""))</f>
        <v/>
      </c>
      <c r="D224" s="7" t="s">
        <v>635</v>
      </c>
      <c r="E224" s="8" t="s">
        <v>96</v>
      </c>
      <c r="F224" s="9" t="s">
        <v>636</v>
      </c>
      <c r="G224" s="7" t="s">
        <v>176</v>
      </c>
      <c r="H224" s="7"/>
      <c r="I224" s="10"/>
      <c r="J224" s="10"/>
      <c r="K224" s="10"/>
      <c r="L224" s="11"/>
      <c r="M224" s="10"/>
      <c r="N224" s="11"/>
      <c r="O224" s="10"/>
      <c r="P224" s="11"/>
      <c r="Q224" s="10"/>
      <c r="R224" s="11"/>
      <c r="S224" s="10"/>
      <c r="T224" s="11"/>
      <c r="U224" s="10"/>
      <c r="V224" s="11"/>
      <c r="W224" s="10"/>
      <c r="X224" s="11"/>
      <c r="Y224" s="10"/>
      <c r="Z224" s="11"/>
      <c r="AA224" s="10"/>
      <c r="AB224" s="11"/>
      <c r="AC224" s="10"/>
      <c r="AD224" s="11"/>
      <c r="AE224" s="10"/>
      <c r="AF224" s="11"/>
      <c r="AG224" s="11"/>
      <c r="AH224" s="11"/>
      <c r="AI224" s="10"/>
      <c r="AJ224" s="10"/>
    </row>
    <row r="225" customFormat="false" ht="52.2" hidden="false" customHeight="false" outlineLevel="0" collapsed="false">
      <c r="A225" s="7" t="n">
        <v>223</v>
      </c>
      <c r="B225" s="7" t="str">
        <f aca="false">IF(I225="Y",IF(COUNTIF(I$3:I225,"Y")&lt;=20,"pilot",IF(COUNTIF(I$3:I225,"Y")&lt;=40,"dev",IF(COUNTIF(I$3:I225,"Y")&lt;=200,"test","extra"))),"")</f>
        <v/>
      </c>
      <c r="C225" s="7" t="str">
        <f aca="false">IF(I225="Y",IF(COUNTA(K225,M225,O225,Q225,S225,U225,W225,Y225,AA225,AC225,AE225)=11,"done","in progress"),IF(I225="N","excluded",""))</f>
        <v/>
      </c>
      <c r="D225" s="7" t="s">
        <v>637</v>
      </c>
      <c r="E225" s="8" t="s">
        <v>96</v>
      </c>
      <c r="F225" s="9" t="s">
        <v>638</v>
      </c>
      <c r="G225" s="7" t="s">
        <v>125</v>
      </c>
      <c r="H225" s="7"/>
      <c r="I225" s="10"/>
      <c r="J225" s="10"/>
      <c r="K225" s="10"/>
      <c r="L225" s="11"/>
      <c r="M225" s="10"/>
      <c r="N225" s="11"/>
      <c r="O225" s="10"/>
      <c r="P225" s="11"/>
      <c r="Q225" s="10"/>
      <c r="R225" s="11"/>
      <c r="S225" s="10"/>
      <c r="T225" s="11"/>
      <c r="U225" s="10"/>
      <c r="V225" s="11"/>
      <c r="W225" s="10"/>
      <c r="X225" s="11"/>
      <c r="Y225" s="10"/>
      <c r="Z225" s="11"/>
      <c r="AA225" s="10"/>
      <c r="AB225" s="11"/>
      <c r="AC225" s="10"/>
      <c r="AD225" s="11"/>
      <c r="AE225" s="10"/>
      <c r="AF225" s="11"/>
      <c r="AG225" s="11"/>
      <c r="AH225" s="11"/>
      <c r="AI225" s="10"/>
      <c r="AJ225" s="10"/>
    </row>
    <row r="226" customFormat="false" ht="52.2" hidden="false" customHeight="false" outlineLevel="0" collapsed="false">
      <c r="A226" s="7" t="n">
        <v>224</v>
      </c>
      <c r="B226" s="7" t="str">
        <f aca="false">IF(I226="Y",IF(COUNTIF(I$3:I226,"Y")&lt;=20,"pilot",IF(COUNTIF(I$3:I226,"Y")&lt;=40,"dev",IF(COUNTIF(I$3:I226,"Y")&lt;=200,"test","extra"))),"")</f>
        <v/>
      </c>
      <c r="C226" s="7" t="str">
        <f aca="false">IF(I226="Y",IF(COUNTA(K226,M226,O226,Q226,S226,U226,W226,Y226,AA226,AC226,AE226)=11,"done","in progress"),IF(I226="N","excluded",""))</f>
        <v/>
      </c>
      <c r="D226" s="7" t="s">
        <v>639</v>
      </c>
      <c r="E226" s="8" t="s">
        <v>96</v>
      </c>
      <c r="F226" s="9" t="s">
        <v>640</v>
      </c>
      <c r="G226" s="7" t="s">
        <v>133</v>
      </c>
      <c r="H226" s="7"/>
      <c r="I226" s="10"/>
      <c r="J226" s="10"/>
      <c r="K226" s="10"/>
      <c r="L226" s="11"/>
      <c r="M226" s="10"/>
      <c r="N226" s="11"/>
      <c r="O226" s="10"/>
      <c r="P226" s="11"/>
      <c r="Q226" s="10"/>
      <c r="R226" s="11"/>
      <c r="S226" s="10"/>
      <c r="T226" s="11"/>
      <c r="U226" s="10"/>
      <c r="V226" s="11"/>
      <c r="W226" s="10"/>
      <c r="X226" s="11"/>
      <c r="Y226" s="10"/>
      <c r="Z226" s="11"/>
      <c r="AA226" s="10"/>
      <c r="AB226" s="11"/>
      <c r="AC226" s="10"/>
      <c r="AD226" s="11"/>
      <c r="AE226" s="10"/>
      <c r="AF226" s="11"/>
      <c r="AG226" s="11"/>
      <c r="AH226" s="11"/>
      <c r="AI226" s="10"/>
      <c r="AJ226" s="10"/>
    </row>
    <row r="227" customFormat="false" ht="39.55" hidden="false" customHeight="false" outlineLevel="0" collapsed="false">
      <c r="A227" s="7" t="n">
        <v>225</v>
      </c>
      <c r="B227" s="7" t="str">
        <f aca="false">IF(I227="Y",IF(COUNTIF(I$3:I227,"Y")&lt;=20,"pilot",IF(COUNTIF(I$3:I227,"Y")&lt;=40,"dev",IF(COUNTIF(I$3:I227,"Y")&lt;=200,"test","extra"))),"")</f>
        <v/>
      </c>
      <c r="C227" s="7" t="str">
        <f aca="false">IF(I227="Y",IF(COUNTA(K227,M227,O227,Q227,S227,U227,W227,Y227,AA227,AC227,AE227)=11,"done","in progress"),IF(I227="N","excluded",""))</f>
        <v/>
      </c>
      <c r="D227" s="7" t="s">
        <v>641</v>
      </c>
      <c r="E227" s="8" t="s">
        <v>96</v>
      </c>
      <c r="F227" s="9" t="s">
        <v>642</v>
      </c>
      <c r="G227" s="7" t="s">
        <v>643</v>
      </c>
      <c r="H227" s="7"/>
      <c r="I227" s="10"/>
      <c r="J227" s="10"/>
      <c r="K227" s="10"/>
      <c r="L227" s="11"/>
      <c r="M227" s="10"/>
      <c r="N227" s="11"/>
      <c r="O227" s="10"/>
      <c r="P227" s="11"/>
      <c r="Q227" s="10"/>
      <c r="R227" s="11"/>
      <c r="S227" s="10"/>
      <c r="T227" s="11"/>
      <c r="U227" s="10"/>
      <c r="V227" s="11"/>
      <c r="W227" s="10"/>
      <c r="X227" s="11"/>
      <c r="Y227" s="10"/>
      <c r="Z227" s="11"/>
      <c r="AA227" s="10"/>
      <c r="AB227" s="11"/>
      <c r="AC227" s="10"/>
      <c r="AD227" s="11"/>
      <c r="AE227" s="10"/>
      <c r="AF227" s="11"/>
      <c r="AG227" s="11"/>
      <c r="AH227" s="11"/>
      <c r="AI227" s="10"/>
      <c r="AJ227" s="10"/>
    </row>
    <row r="228" customFormat="false" ht="39.55" hidden="false" customHeight="false" outlineLevel="0" collapsed="false">
      <c r="A228" s="7" t="n">
        <v>226</v>
      </c>
      <c r="B228" s="7" t="str">
        <f aca="false">IF(I228="Y",IF(COUNTIF(I$3:I228,"Y")&lt;=20,"pilot",IF(COUNTIF(I$3:I228,"Y")&lt;=40,"dev",IF(COUNTIF(I$3:I228,"Y")&lt;=200,"test","extra"))),"")</f>
        <v/>
      </c>
      <c r="C228" s="7" t="str">
        <f aca="false">IF(I228="Y",IF(COUNTA(K228,M228,O228,Q228,S228,U228,W228,Y228,AA228,AC228,AE228)=11,"done","in progress"),IF(I228="N","excluded",""))</f>
        <v/>
      </c>
      <c r="D228" s="7" t="s">
        <v>644</v>
      </c>
      <c r="E228" s="8" t="s">
        <v>96</v>
      </c>
      <c r="F228" s="9" t="s">
        <v>645</v>
      </c>
      <c r="G228" s="7" t="s">
        <v>314</v>
      </c>
      <c r="H228" s="7"/>
      <c r="I228" s="10"/>
      <c r="J228" s="10"/>
      <c r="K228" s="10"/>
      <c r="L228" s="11"/>
      <c r="M228" s="10"/>
      <c r="N228" s="11"/>
      <c r="O228" s="10"/>
      <c r="P228" s="11"/>
      <c r="Q228" s="10"/>
      <c r="R228" s="11"/>
      <c r="S228" s="10"/>
      <c r="T228" s="11"/>
      <c r="U228" s="10"/>
      <c r="V228" s="11"/>
      <c r="W228" s="10"/>
      <c r="X228" s="11"/>
      <c r="Y228" s="10"/>
      <c r="Z228" s="11"/>
      <c r="AA228" s="10"/>
      <c r="AB228" s="11"/>
      <c r="AC228" s="10"/>
      <c r="AD228" s="11"/>
      <c r="AE228" s="10"/>
      <c r="AF228" s="11"/>
      <c r="AG228" s="11"/>
      <c r="AH228" s="11"/>
      <c r="AI228" s="10"/>
      <c r="AJ228" s="10"/>
    </row>
    <row r="229" customFormat="false" ht="39.55" hidden="false" customHeight="false" outlineLevel="0" collapsed="false">
      <c r="A229" s="7" t="n">
        <v>227</v>
      </c>
      <c r="B229" s="7" t="str">
        <f aca="false">IF(I229="Y",IF(COUNTIF(I$3:I229,"Y")&lt;=20,"pilot",IF(COUNTIF(I$3:I229,"Y")&lt;=40,"dev",IF(COUNTIF(I$3:I229,"Y")&lt;=200,"test","extra"))),"")</f>
        <v/>
      </c>
      <c r="C229" s="7" t="str">
        <f aca="false">IF(I229="Y",IF(COUNTA(K229,M229,O229,Q229,S229,U229,W229,Y229,AA229,AC229,AE229)=11,"done","in progress"),IF(I229="N","excluded",""))</f>
        <v/>
      </c>
      <c r="D229" s="7" t="s">
        <v>646</v>
      </c>
      <c r="E229" s="8" t="s">
        <v>96</v>
      </c>
      <c r="F229" s="9" t="s">
        <v>647</v>
      </c>
      <c r="G229" s="7" t="s">
        <v>113</v>
      </c>
      <c r="H229" s="7"/>
      <c r="I229" s="10"/>
      <c r="J229" s="10"/>
      <c r="K229" s="10"/>
      <c r="L229" s="11"/>
      <c r="M229" s="10"/>
      <c r="N229" s="11"/>
      <c r="O229" s="10"/>
      <c r="P229" s="11"/>
      <c r="Q229" s="10"/>
      <c r="R229" s="11"/>
      <c r="S229" s="10"/>
      <c r="T229" s="11"/>
      <c r="U229" s="10"/>
      <c r="V229" s="11"/>
      <c r="W229" s="10"/>
      <c r="X229" s="11"/>
      <c r="Y229" s="10"/>
      <c r="Z229" s="11"/>
      <c r="AA229" s="10"/>
      <c r="AB229" s="11"/>
      <c r="AC229" s="10"/>
      <c r="AD229" s="11"/>
      <c r="AE229" s="10"/>
      <c r="AF229" s="11"/>
      <c r="AG229" s="11"/>
      <c r="AH229" s="11"/>
      <c r="AI229" s="10"/>
      <c r="AJ229" s="10"/>
    </row>
    <row r="230" customFormat="false" ht="39.55" hidden="false" customHeight="false" outlineLevel="0" collapsed="false">
      <c r="A230" s="7" t="n">
        <v>228</v>
      </c>
      <c r="B230" s="7" t="str">
        <f aca="false">IF(I230="Y",IF(COUNTIF(I$3:I230,"Y")&lt;=20,"pilot",IF(COUNTIF(I$3:I230,"Y")&lt;=40,"dev",IF(COUNTIF(I$3:I230,"Y")&lt;=200,"test","extra"))),"")</f>
        <v/>
      </c>
      <c r="C230" s="7" t="str">
        <f aca="false">IF(I230="Y",IF(COUNTA(K230,M230,O230,Q230,S230,U230,W230,Y230,AA230,AC230,AE230)=11,"done","in progress"),IF(I230="N","excluded",""))</f>
        <v/>
      </c>
      <c r="D230" s="7" t="s">
        <v>648</v>
      </c>
      <c r="E230" s="8" t="s">
        <v>96</v>
      </c>
      <c r="F230" s="9" t="s">
        <v>649</v>
      </c>
      <c r="G230" s="7" t="s">
        <v>107</v>
      </c>
      <c r="H230" s="7"/>
      <c r="I230" s="10"/>
      <c r="J230" s="10"/>
      <c r="K230" s="10"/>
      <c r="L230" s="11"/>
      <c r="M230" s="10"/>
      <c r="N230" s="11"/>
      <c r="O230" s="10"/>
      <c r="P230" s="11"/>
      <c r="Q230" s="10"/>
      <c r="R230" s="11"/>
      <c r="S230" s="10"/>
      <c r="T230" s="11"/>
      <c r="U230" s="10"/>
      <c r="V230" s="11"/>
      <c r="W230" s="10"/>
      <c r="X230" s="11"/>
      <c r="Y230" s="10"/>
      <c r="Z230" s="11"/>
      <c r="AA230" s="10"/>
      <c r="AB230" s="11"/>
      <c r="AC230" s="10"/>
      <c r="AD230" s="11"/>
      <c r="AE230" s="10"/>
      <c r="AF230" s="11"/>
      <c r="AG230" s="11"/>
      <c r="AH230" s="11"/>
      <c r="AI230" s="10"/>
      <c r="AJ230" s="10"/>
    </row>
    <row r="231" customFormat="false" ht="26.85" hidden="false" customHeight="false" outlineLevel="0" collapsed="false">
      <c r="A231" s="7" t="n">
        <v>229</v>
      </c>
      <c r="B231" s="7" t="str">
        <f aca="false">IF(I231="Y",IF(COUNTIF(I$3:I231,"Y")&lt;=20,"pilot",IF(COUNTIF(I$3:I231,"Y")&lt;=40,"dev",IF(COUNTIF(I$3:I231,"Y")&lt;=200,"test","extra"))),"")</f>
        <v/>
      </c>
      <c r="C231" s="7" t="str">
        <f aca="false">IF(I231="Y",IF(COUNTA(K231,M231,O231,Q231,S231,U231,W231,Y231,AA231,AC231,AE231)=11,"done","in progress"),IF(I231="N","excluded",""))</f>
        <v/>
      </c>
      <c r="D231" s="7" t="s">
        <v>650</v>
      </c>
      <c r="E231" s="8" t="s">
        <v>96</v>
      </c>
      <c r="F231" s="9" t="s">
        <v>651</v>
      </c>
      <c r="G231" s="7" t="s">
        <v>133</v>
      </c>
      <c r="H231" s="7"/>
      <c r="I231" s="10"/>
      <c r="J231" s="10"/>
      <c r="K231" s="10"/>
      <c r="L231" s="11"/>
      <c r="M231" s="10"/>
      <c r="N231" s="11"/>
      <c r="O231" s="10"/>
      <c r="P231" s="11"/>
      <c r="Q231" s="10"/>
      <c r="R231" s="11"/>
      <c r="S231" s="10"/>
      <c r="T231" s="11"/>
      <c r="U231" s="10"/>
      <c r="V231" s="11"/>
      <c r="W231" s="10"/>
      <c r="X231" s="11"/>
      <c r="Y231" s="10"/>
      <c r="Z231" s="11"/>
      <c r="AA231" s="10"/>
      <c r="AB231" s="11"/>
      <c r="AC231" s="10"/>
      <c r="AD231" s="11"/>
      <c r="AE231" s="10"/>
      <c r="AF231" s="11"/>
      <c r="AG231" s="11"/>
      <c r="AH231" s="11"/>
      <c r="AI231" s="10"/>
      <c r="AJ231" s="10"/>
    </row>
    <row r="232" customFormat="false" ht="39.55" hidden="false" customHeight="false" outlineLevel="0" collapsed="false">
      <c r="A232" s="7" t="n">
        <v>230</v>
      </c>
      <c r="B232" s="7" t="str">
        <f aca="false">IF(I232="Y",IF(COUNTIF(I$3:I232,"Y")&lt;=20,"pilot",IF(COUNTIF(I$3:I232,"Y")&lt;=40,"dev",IF(COUNTIF(I$3:I232,"Y")&lt;=200,"test","extra"))),"")</f>
        <v/>
      </c>
      <c r="C232" s="7" t="str">
        <f aca="false">IF(I232="Y",IF(COUNTA(K232,M232,O232,Q232,S232,U232,W232,Y232,AA232,AC232,AE232)=11,"done","in progress"),IF(I232="N","excluded",""))</f>
        <v/>
      </c>
      <c r="D232" s="7" t="s">
        <v>652</v>
      </c>
      <c r="E232" s="8" t="s">
        <v>96</v>
      </c>
      <c r="F232" s="9" t="s">
        <v>653</v>
      </c>
      <c r="G232" s="7" t="s">
        <v>654</v>
      </c>
      <c r="H232" s="7"/>
      <c r="I232" s="10"/>
      <c r="J232" s="10"/>
      <c r="K232" s="10"/>
      <c r="L232" s="11"/>
      <c r="M232" s="10"/>
      <c r="N232" s="11"/>
      <c r="O232" s="10"/>
      <c r="P232" s="11"/>
      <c r="Q232" s="10"/>
      <c r="R232" s="11"/>
      <c r="S232" s="10"/>
      <c r="T232" s="11"/>
      <c r="U232" s="10"/>
      <c r="V232" s="11"/>
      <c r="W232" s="10"/>
      <c r="X232" s="11"/>
      <c r="Y232" s="10"/>
      <c r="Z232" s="11"/>
      <c r="AA232" s="10"/>
      <c r="AB232" s="11"/>
      <c r="AC232" s="10"/>
      <c r="AD232" s="11"/>
      <c r="AE232" s="10"/>
      <c r="AF232" s="11"/>
      <c r="AG232" s="11"/>
      <c r="AH232" s="11"/>
      <c r="AI232" s="10"/>
      <c r="AJ232" s="10"/>
    </row>
    <row r="233" customFormat="false" ht="39.55" hidden="false" customHeight="false" outlineLevel="0" collapsed="false">
      <c r="A233" s="7" t="n">
        <v>231</v>
      </c>
      <c r="B233" s="7" t="str">
        <f aca="false">IF(I233="Y",IF(COUNTIF(I$3:I233,"Y")&lt;=20,"pilot",IF(COUNTIF(I$3:I233,"Y")&lt;=40,"dev",IF(COUNTIF(I$3:I233,"Y")&lt;=200,"test","extra"))),"")</f>
        <v/>
      </c>
      <c r="C233" s="7" t="str">
        <f aca="false">IF(I233="Y",IF(COUNTA(K233,M233,O233,Q233,S233,U233,W233,Y233,AA233,AC233,AE233)=11,"done","in progress"),IF(I233="N","excluded",""))</f>
        <v/>
      </c>
      <c r="D233" s="7" t="s">
        <v>655</v>
      </c>
      <c r="E233" s="8" t="s">
        <v>96</v>
      </c>
      <c r="F233" s="9" t="s">
        <v>656</v>
      </c>
      <c r="G233" s="7" t="s">
        <v>206</v>
      </c>
      <c r="H233" s="7"/>
      <c r="I233" s="10"/>
      <c r="J233" s="10"/>
      <c r="K233" s="10"/>
      <c r="L233" s="11"/>
      <c r="M233" s="10"/>
      <c r="N233" s="11"/>
      <c r="O233" s="10"/>
      <c r="P233" s="11"/>
      <c r="Q233" s="10"/>
      <c r="R233" s="11"/>
      <c r="S233" s="10"/>
      <c r="T233" s="11"/>
      <c r="U233" s="10"/>
      <c r="V233" s="11"/>
      <c r="W233" s="10"/>
      <c r="X233" s="11"/>
      <c r="Y233" s="10"/>
      <c r="Z233" s="11"/>
      <c r="AA233" s="10"/>
      <c r="AB233" s="11"/>
      <c r="AC233" s="10"/>
      <c r="AD233" s="11"/>
      <c r="AE233" s="10"/>
      <c r="AF233" s="11"/>
      <c r="AG233" s="11"/>
      <c r="AH233" s="11"/>
      <c r="AI233" s="10"/>
      <c r="AJ233" s="10"/>
    </row>
    <row r="234" customFormat="false" ht="39.55" hidden="false" customHeight="false" outlineLevel="0" collapsed="false">
      <c r="A234" s="7" t="n">
        <v>232</v>
      </c>
      <c r="B234" s="7" t="str">
        <f aca="false">IF(I234="Y",IF(COUNTIF(I$3:I234,"Y")&lt;=20,"pilot",IF(COUNTIF(I$3:I234,"Y")&lt;=40,"dev",IF(COUNTIF(I$3:I234,"Y")&lt;=200,"test","extra"))),"")</f>
        <v/>
      </c>
      <c r="C234" s="7" t="str">
        <f aca="false">IF(I234="Y",IF(COUNTA(K234,M234,O234,Q234,S234,U234,W234,Y234,AA234,AC234,AE234)=11,"done","in progress"),IF(I234="N","excluded",""))</f>
        <v/>
      </c>
      <c r="D234" s="7" t="s">
        <v>657</v>
      </c>
      <c r="E234" s="8" t="s">
        <v>96</v>
      </c>
      <c r="F234" s="9" t="s">
        <v>658</v>
      </c>
      <c r="G234" s="7" t="s">
        <v>350</v>
      </c>
      <c r="H234" s="7"/>
      <c r="I234" s="10"/>
      <c r="J234" s="10"/>
      <c r="K234" s="10"/>
      <c r="L234" s="11"/>
      <c r="M234" s="10"/>
      <c r="N234" s="11"/>
      <c r="O234" s="10"/>
      <c r="P234" s="11"/>
      <c r="Q234" s="10"/>
      <c r="R234" s="11"/>
      <c r="S234" s="10"/>
      <c r="T234" s="11"/>
      <c r="U234" s="10"/>
      <c r="V234" s="11"/>
      <c r="W234" s="10"/>
      <c r="X234" s="11"/>
      <c r="Y234" s="10"/>
      <c r="Z234" s="11"/>
      <c r="AA234" s="10"/>
      <c r="AB234" s="11"/>
      <c r="AC234" s="10"/>
      <c r="AD234" s="11"/>
      <c r="AE234" s="10"/>
      <c r="AF234" s="11"/>
      <c r="AG234" s="11"/>
      <c r="AH234" s="11"/>
      <c r="AI234" s="10"/>
      <c r="AJ234" s="10"/>
    </row>
    <row r="235" customFormat="false" ht="39.55" hidden="false" customHeight="false" outlineLevel="0" collapsed="false">
      <c r="A235" s="7" t="n">
        <v>233</v>
      </c>
      <c r="B235" s="7" t="str">
        <f aca="false">IF(I235="Y",IF(COUNTIF(I$3:I235,"Y")&lt;=20,"pilot",IF(COUNTIF(I$3:I235,"Y")&lt;=40,"dev",IF(COUNTIF(I$3:I235,"Y")&lt;=200,"test","extra"))),"")</f>
        <v/>
      </c>
      <c r="C235" s="7" t="str">
        <f aca="false">IF(I235="Y",IF(COUNTA(K235,M235,O235,Q235,S235,U235,W235,Y235,AA235,AC235,AE235)=11,"done","in progress"),IF(I235="N","excluded",""))</f>
        <v/>
      </c>
      <c r="D235" s="7" t="s">
        <v>659</v>
      </c>
      <c r="E235" s="8" t="s">
        <v>96</v>
      </c>
      <c r="F235" s="9" t="s">
        <v>660</v>
      </c>
      <c r="G235" s="7" t="s">
        <v>661</v>
      </c>
      <c r="H235" s="7"/>
      <c r="I235" s="10"/>
      <c r="J235" s="10"/>
      <c r="K235" s="10"/>
      <c r="L235" s="11"/>
      <c r="M235" s="10"/>
      <c r="N235" s="11"/>
      <c r="O235" s="10"/>
      <c r="P235" s="11"/>
      <c r="Q235" s="10"/>
      <c r="R235" s="11"/>
      <c r="S235" s="10"/>
      <c r="T235" s="11"/>
      <c r="U235" s="10"/>
      <c r="V235" s="11"/>
      <c r="W235" s="10"/>
      <c r="X235" s="11"/>
      <c r="Y235" s="10"/>
      <c r="Z235" s="11"/>
      <c r="AA235" s="10"/>
      <c r="AB235" s="11"/>
      <c r="AC235" s="10"/>
      <c r="AD235" s="11"/>
      <c r="AE235" s="10"/>
      <c r="AF235" s="11"/>
      <c r="AG235" s="11"/>
      <c r="AH235" s="11"/>
      <c r="AI235" s="10"/>
      <c r="AJ235" s="10"/>
    </row>
    <row r="236" customFormat="false" ht="39.55" hidden="false" customHeight="false" outlineLevel="0" collapsed="false">
      <c r="A236" s="7" t="n">
        <v>234</v>
      </c>
      <c r="B236" s="7" t="str">
        <f aca="false">IF(I236="Y",IF(COUNTIF(I$3:I236,"Y")&lt;=20,"pilot",IF(COUNTIF(I$3:I236,"Y")&lt;=40,"dev",IF(COUNTIF(I$3:I236,"Y")&lt;=200,"test","extra"))),"")</f>
        <v/>
      </c>
      <c r="C236" s="7" t="str">
        <f aca="false">IF(I236="Y",IF(COUNTA(K236,M236,O236,Q236,S236,U236,W236,Y236,AA236,AC236,AE236)=11,"done","in progress"),IF(I236="N","excluded",""))</f>
        <v/>
      </c>
      <c r="D236" s="7" t="s">
        <v>662</v>
      </c>
      <c r="E236" s="8" t="s">
        <v>96</v>
      </c>
      <c r="F236" s="9" t="s">
        <v>663</v>
      </c>
      <c r="G236" s="7" t="s">
        <v>500</v>
      </c>
      <c r="H236" s="7"/>
      <c r="I236" s="10"/>
      <c r="J236" s="10"/>
      <c r="K236" s="10"/>
      <c r="L236" s="11"/>
      <c r="M236" s="10"/>
      <c r="N236" s="11"/>
      <c r="O236" s="10"/>
      <c r="P236" s="11"/>
      <c r="Q236" s="10"/>
      <c r="R236" s="11"/>
      <c r="S236" s="10"/>
      <c r="T236" s="11"/>
      <c r="U236" s="10"/>
      <c r="V236" s="11"/>
      <c r="W236" s="10"/>
      <c r="X236" s="11"/>
      <c r="Y236" s="10"/>
      <c r="Z236" s="11"/>
      <c r="AA236" s="10"/>
      <c r="AB236" s="11"/>
      <c r="AC236" s="10"/>
      <c r="AD236" s="11"/>
      <c r="AE236" s="10"/>
      <c r="AF236" s="11"/>
      <c r="AG236" s="11"/>
      <c r="AH236" s="11"/>
      <c r="AI236" s="10"/>
      <c r="AJ236" s="10"/>
    </row>
    <row r="237" customFormat="false" ht="39.55" hidden="false" customHeight="false" outlineLevel="0" collapsed="false">
      <c r="A237" s="7" t="n">
        <v>235</v>
      </c>
      <c r="B237" s="7" t="str">
        <f aca="false">IF(I237="Y",IF(COUNTIF(I$3:I237,"Y")&lt;=20,"pilot",IF(COUNTIF(I$3:I237,"Y")&lt;=40,"dev",IF(COUNTIF(I$3:I237,"Y")&lt;=200,"test","extra"))),"")</f>
        <v/>
      </c>
      <c r="C237" s="7" t="str">
        <f aca="false">IF(I237="Y",IF(COUNTA(K237,M237,O237,Q237,S237,U237,W237,Y237,AA237,AC237,AE237)=11,"done","in progress"),IF(I237="N","excluded",""))</f>
        <v/>
      </c>
      <c r="D237" s="7" t="s">
        <v>664</v>
      </c>
      <c r="E237" s="8" t="s">
        <v>96</v>
      </c>
      <c r="F237" s="9" t="s">
        <v>665</v>
      </c>
      <c r="G237" s="7" t="s">
        <v>122</v>
      </c>
      <c r="H237" s="7"/>
      <c r="I237" s="10"/>
      <c r="J237" s="10"/>
      <c r="K237" s="10"/>
      <c r="L237" s="11"/>
      <c r="M237" s="10"/>
      <c r="N237" s="11"/>
      <c r="O237" s="10"/>
      <c r="P237" s="11"/>
      <c r="Q237" s="10"/>
      <c r="R237" s="11"/>
      <c r="S237" s="10"/>
      <c r="T237" s="11"/>
      <c r="U237" s="10"/>
      <c r="V237" s="11"/>
      <c r="W237" s="10"/>
      <c r="X237" s="11"/>
      <c r="Y237" s="10"/>
      <c r="Z237" s="11"/>
      <c r="AA237" s="10"/>
      <c r="AB237" s="11"/>
      <c r="AC237" s="10"/>
      <c r="AD237" s="11"/>
      <c r="AE237" s="10"/>
      <c r="AF237" s="11"/>
      <c r="AG237" s="11"/>
      <c r="AH237" s="11"/>
      <c r="AI237" s="10"/>
      <c r="AJ237" s="10"/>
    </row>
    <row r="238" customFormat="false" ht="26.85" hidden="false" customHeight="false" outlineLevel="0" collapsed="false">
      <c r="A238" s="7" t="n">
        <v>236</v>
      </c>
      <c r="B238" s="7" t="str">
        <f aca="false">IF(I238="Y",IF(COUNTIF(I$3:I238,"Y")&lt;=20,"pilot",IF(COUNTIF(I$3:I238,"Y")&lt;=40,"dev",IF(COUNTIF(I$3:I238,"Y")&lt;=200,"test","extra"))),"")</f>
        <v/>
      </c>
      <c r="C238" s="7" t="str">
        <f aca="false">IF(I238="Y",IF(COUNTA(K238,M238,O238,Q238,S238,U238,W238,Y238,AA238,AC238,AE238)=11,"done","in progress"),IF(I238="N","excluded",""))</f>
        <v/>
      </c>
      <c r="D238" s="7" t="s">
        <v>666</v>
      </c>
      <c r="E238" s="8" t="s">
        <v>96</v>
      </c>
      <c r="F238" s="9" t="s">
        <v>667</v>
      </c>
      <c r="G238" s="7" t="s">
        <v>668</v>
      </c>
      <c r="H238" s="7"/>
      <c r="I238" s="10"/>
      <c r="J238" s="10"/>
      <c r="K238" s="10"/>
      <c r="L238" s="11"/>
      <c r="M238" s="10"/>
      <c r="N238" s="11"/>
      <c r="O238" s="10"/>
      <c r="P238" s="11"/>
      <c r="Q238" s="10"/>
      <c r="R238" s="11"/>
      <c r="S238" s="10"/>
      <c r="T238" s="11"/>
      <c r="U238" s="10"/>
      <c r="V238" s="11"/>
      <c r="W238" s="10"/>
      <c r="X238" s="11"/>
      <c r="Y238" s="10"/>
      <c r="Z238" s="11"/>
      <c r="AA238" s="10"/>
      <c r="AB238" s="11"/>
      <c r="AC238" s="10"/>
      <c r="AD238" s="11"/>
      <c r="AE238" s="10"/>
      <c r="AF238" s="11"/>
      <c r="AG238" s="11"/>
      <c r="AH238" s="11"/>
      <c r="AI238" s="10"/>
      <c r="AJ238" s="10"/>
    </row>
    <row r="239" customFormat="false" ht="39.55" hidden="false" customHeight="false" outlineLevel="0" collapsed="false">
      <c r="A239" s="7" t="n">
        <v>237</v>
      </c>
      <c r="B239" s="7" t="str">
        <f aca="false">IF(I239="Y",IF(COUNTIF(I$3:I239,"Y")&lt;=20,"pilot",IF(COUNTIF(I$3:I239,"Y")&lt;=40,"dev",IF(COUNTIF(I$3:I239,"Y")&lt;=200,"test","extra"))),"")</f>
        <v/>
      </c>
      <c r="C239" s="7" t="str">
        <f aca="false">IF(I239="Y",IF(COUNTA(K239,M239,O239,Q239,S239,U239,W239,Y239,AA239,AC239,AE239)=11,"done","in progress"),IF(I239="N","excluded",""))</f>
        <v/>
      </c>
      <c r="D239" s="7" t="s">
        <v>669</v>
      </c>
      <c r="E239" s="8" t="s">
        <v>96</v>
      </c>
      <c r="F239" s="9" t="s">
        <v>670</v>
      </c>
      <c r="G239" s="7" t="s">
        <v>125</v>
      </c>
      <c r="H239" s="7"/>
      <c r="I239" s="10"/>
      <c r="J239" s="10"/>
      <c r="K239" s="10"/>
      <c r="L239" s="11"/>
      <c r="M239" s="10"/>
      <c r="N239" s="11"/>
      <c r="O239" s="10"/>
      <c r="P239" s="11"/>
      <c r="Q239" s="10"/>
      <c r="R239" s="11"/>
      <c r="S239" s="10"/>
      <c r="T239" s="11"/>
      <c r="U239" s="10"/>
      <c r="V239" s="11"/>
      <c r="W239" s="10"/>
      <c r="X239" s="11"/>
      <c r="Y239" s="10"/>
      <c r="Z239" s="11"/>
      <c r="AA239" s="10"/>
      <c r="AB239" s="11"/>
      <c r="AC239" s="10"/>
      <c r="AD239" s="11"/>
      <c r="AE239" s="10"/>
      <c r="AF239" s="11"/>
      <c r="AG239" s="11"/>
      <c r="AH239" s="11"/>
      <c r="AI239" s="10"/>
      <c r="AJ239" s="10"/>
    </row>
    <row r="240" customFormat="false" ht="26.85" hidden="false" customHeight="false" outlineLevel="0" collapsed="false">
      <c r="A240" s="7" t="n">
        <v>238</v>
      </c>
      <c r="B240" s="7" t="str">
        <f aca="false">IF(I240="Y",IF(COUNTIF(I$3:I240,"Y")&lt;=20,"pilot",IF(COUNTIF(I$3:I240,"Y")&lt;=40,"dev",IF(COUNTIF(I$3:I240,"Y")&lt;=200,"test","extra"))),"")</f>
        <v/>
      </c>
      <c r="C240" s="7" t="str">
        <f aca="false">IF(I240="Y",IF(COUNTA(K240,M240,O240,Q240,S240,U240,W240,Y240,AA240,AC240,AE240)=11,"done","in progress"),IF(I240="N","excluded",""))</f>
        <v/>
      </c>
      <c r="D240" s="7" t="s">
        <v>671</v>
      </c>
      <c r="E240" s="8" t="s">
        <v>96</v>
      </c>
      <c r="F240" s="9" t="s">
        <v>672</v>
      </c>
      <c r="G240" s="7" t="s">
        <v>673</v>
      </c>
      <c r="H240" s="7"/>
      <c r="I240" s="10"/>
      <c r="J240" s="10"/>
      <c r="K240" s="10"/>
      <c r="L240" s="11"/>
      <c r="M240" s="10"/>
      <c r="N240" s="11"/>
      <c r="O240" s="10"/>
      <c r="P240" s="11"/>
      <c r="Q240" s="10"/>
      <c r="R240" s="11"/>
      <c r="S240" s="10"/>
      <c r="T240" s="11"/>
      <c r="U240" s="10"/>
      <c r="V240" s="11"/>
      <c r="W240" s="10"/>
      <c r="X240" s="11"/>
      <c r="Y240" s="10"/>
      <c r="Z240" s="11"/>
      <c r="AA240" s="10"/>
      <c r="AB240" s="11"/>
      <c r="AC240" s="10"/>
      <c r="AD240" s="11"/>
      <c r="AE240" s="10"/>
      <c r="AF240" s="11"/>
      <c r="AG240" s="11"/>
      <c r="AH240" s="11"/>
      <c r="AI240" s="10"/>
      <c r="AJ240" s="10"/>
    </row>
    <row r="241" customFormat="false" ht="26.85" hidden="false" customHeight="false" outlineLevel="0" collapsed="false">
      <c r="A241" s="7" t="n">
        <v>239</v>
      </c>
      <c r="B241" s="7" t="str">
        <f aca="false">IF(I241="Y",IF(COUNTIF(I$3:I241,"Y")&lt;=20,"pilot",IF(COUNTIF(I$3:I241,"Y")&lt;=40,"dev",IF(COUNTIF(I$3:I241,"Y")&lt;=200,"test","extra"))),"")</f>
        <v/>
      </c>
      <c r="C241" s="7" t="str">
        <f aca="false">IF(I241="Y",IF(COUNTA(K241,M241,O241,Q241,S241,U241,W241,Y241,AA241,AC241,AE241)=11,"done","in progress"),IF(I241="N","excluded",""))</f>
        <v/>
      </c>
      <c r="D241" s="7" t="s">
        <v>674</v>
      </c>
      <c r="E241" s="8" t="s">
        <v>96</v>
      </c>
      <c r="F241" s="9" t="s">
        <v>675</v>
      </c>
      <c r="G241" s="7" t="s">
        <v>238</v>
      </c>
      <c r="H241" s="7"/>
      <c r="I241" s="10"/>
      <c r="J241" s="10"/>
      <c r="K241" s="10"/>
      <c r="L241" s="11"/>
      <c r="M241" s="10"/>
      <c r="N241" s="11"/>
      <c r="O241" s="10"/>
      <c r="P241" s="11"/>
      <c r="Q241" s="10"/>
      <c r="R241" s="11"/>
      <c r="S241" s="10"/>
      <c r="T241" s="11"/>
      <c r="U241" s="10"/>
      <c r="V241" s="11"/>
      <c r="W241" s="10"/>
      <c r="X241" s="11"/>
      <c r="Y241" s="10"/>
      <c r="Z241" s="11"/>
      <c r="AA241" s="10"/>
      <c r="AB241" s="11"/>
      <c r="AC241" s="10"/>
      <c r="AD241" s="11"/>
      <c r="AE241" s="10"/>
      <c r="AF241" s="11"/>
      <c r="AG241" s="11"/>
      <c r="AH241" s="11"/>
      <c r="AI241" s="10"/>
      <c r="AJ241" s="10"/>
    </row>
    <row r="242" customFormat="false" ht="39.55" hidden="false" customHeight="false" outlineLevel="0" collapsed="false">
      <c r="A242" s="7" t="n">
        <v>240</v>
      </c>
      <c r="B242" s="7" t="str">
        <f aca="false">IF(I242="Y",IF(COUNTIF(I$3:I242,"Y")&lt;=20,"pilot",IF(COUNTIF(I$3:I242,"Y")&lt;=40,"dev",IF(COUNTIF(I$3:I242,"Y")&lt;=200,"test","extra"))),"")</f>
        <v/>
      </c>
      <c r="C242" s="7" t="str">
        <f aca="false">IF(I242="Y",IF(COUNTA(K242,M242,O242,Q242,S242,U242,W242,Y242,AA242,AC242,AE242)=11,"done","in progress"),IF(I242="N","excluded",""))</f>
        <v/>
      </c>
      <c r="D242" s="7" t="s">
        <v>676</v>
      </c>
      <c r="E242" s="8" t="s">
        <v>96</v>
      </c>
      <c r="F242" s="9" t="s">
        <v>677</v>
      </c>
      <c r="G242" s="7" t="s">
        <v>678</v>
      </c>
      <c r="H242" s="7"/>
      <c r="I242" s="10"/>
      <c r="J242" s="10"/>
      <c r="K242" s="10"/>
      <c r="L242" s="11"/>
      <c r="M242" s="10"/>
      <c r="N242" s="11"/>
      <c r="O242" s="10"/>
      <c r="P242" s="11"/>
      <c r="Q242" s="10"/>
      <c r="R242" s="11"/>
      <c r="S242" s="10"/>
      <c r="T242" s="11"/>
      <c r="U242" s="10"/>
      <c r="V242" s="11"/>
      <c r="W242" s="10"/>
      <c r="X242" s="11"/>
      <c r="Y242" s="10"/>
      <c r="Z242" s="11"/>
      <c r="AA242" s="10"/>
      <c r="AB242" s="11"/>
      <c r="AC242" s="10"/>
      <c r="AD242" s="11"/>
      <c r="AE242" s="10"/>
      <c r="AF242" s="11"/>
      <c r="AG242" s="11"/>
      <c r="AH242" s="11"/>
      <c r="AI242" s="10"/>
      <c r="AJ242" s="10"/>
    </row>
    <row r="243" customFormat="false" ht="39.55" hidden="false" customHeight="false" outlineLevel="0" collapsed="false">
      <c r="A243" s="7" t="n">
        <v>241</v>
      </c>
      <c r="B243" s="7" t="str">
        <f aca="false">IF(I243="Y",IF(COUNTIF(I$3:I243,"Y")&lt;=20,"pilot",IF(COUNTIF(I$3:I243,"Y")&lt;=40,"dev",IF(COUNTIF(I$3:I243,"Y")&lt;=200,"test","extra"))),"")</f>
        <v/>
      </c>
      <c r="C243" s="7" t="str">
        <f aca="false">IF(I243="Y",IF(COUNTA(K243,M243,O243,Q243,S243,U243,W243,Y243,AA243,AC243,AE243)=11,"done","in progress"),IF(I243="N","excluded",""))</f>
        <v/>
      </c>
      <c r="D243" s="7" t="s">
        <v>679</v>
      </c>
      <c r="E243" s="8" t="s">
        <v>96</v>
      </c>
      <c r="F243" s="9" t="s">
        <v>680</v>
      </c>
      <c r="G243" s="7" t="s">
        <v>681</v>
      </c>
      <c r="H243" s="7"/>
      <c r="I243" s="10"/>
      <c r="J243" s="10"/>
      <c r="K243" s="10"/>
      <c r="L243" s="11"/>
      <c r="M243" s="10"/>
      <c r="N243" s="11"/>
      <c r="O243" s="10"/>
      <c r="P243" s="11"/>
      <c r="Q243" s="10"/>
      <c r="R243" s="11"/>
      <c r="S243" s="10"/>
      <c r="T243" s="11"/>
      <c r="U243" s="10"/>
      <c r="V243" s="11"/>
      <c r="W243" s="10"/>
      <c r="X243" s="11"/>
      <c r="Y243" s="10"/>
      <c r="Z243" s="11"/>
      <c r="AA243" s="10"/>
      <c r="AB243" s="11"/>
      <c r="AC243" s="10"/>
      <c r="AD243" s="11"/>
      <c r="AE243" s="10"/>
      <c r="AF243" s="11"/>
      <c r="AG243" s="11"/>
      <c r="AH243" s="11"/>
      <c r="AI243" s="10"/>
      <c r="AJ243" s="10"/>
    </row>
    <row r="244" customFormat="false" ht="39.55" hidden="false" customHeight="false" outlineLevel="0" collapsed="false">
      <c r="A244" s="7" t="n">
        <v>242</v>
      </c>
      <c r="B244" s="7" t="str">
        <f aca="false">IF(I244="Y",IF(COUNTIF(I$3:I244,"Y")&lt;=20,"pilot",IF(COUNTIF(I$3:I244,"Y")&lt;=40,"dev",IF(COUNTIF(I$3:I244,"Y")&lt;=200,"test","extra"))),"")</f>
        <v/>
      </c>
      <c r="C244" s="7" t="str">
        <f aca="false">IF(I244="Y",IF(COUNTA(K244,M244,O244,Q244,S244,U244,W244,Y244,AA244,AC244,AE244)=11,"done","in progress"),IF(I244="N","excluded",""))</f>
        <v/>
      </c>
      <c r="D244" s="7" t="s">
        <v>682</v>
      </c>
      <c r="E244" s="8" t="s">
        <v>96</v>
      </c>
      <c r="F244" s="9" t="s">
        <v>683</v>
      </c>
      <c r="G244" s="7" t="s">
        <v>125</v>
      </c>
      <c r="H244" s="7"/>
      <c r="I244" s="10"/>
      <c r="J244" s="10"/>
      <c r="K244" s="10"/>
      <c r="L244" s="11"/>
      <c r="M244" s="10"/>
      <c r="N244" s="11"/>
      <c r="O244" s="10"/>
      <c r="P244" s="11"/>
      <c r="Q244" s="10"/>
      <c r="R244" s="11"/>
      <c r="S244" s="10"/>
      <c r="T244" s="11"/>
      <c r="U244" s="10"/>
      <c r="V244" s="11"/>
      <c r="W244" s="10"/>
      <c r="X244" s="11"/>
      <c r="Y244" s="10"/>
      <c r="Z244" s="11"/>
      <c r="AA244" s="10"/>
      <c r="AB244" s="11"/>
      <c r="AC244" s="10"/>
      <c r="AD244" s="11"/>
      <c r="AE244" s="10"/>
      <c r="AF244" s="11"/>
      <c r="AG244" s="11"/>
      <c r="AH244" s="11"/>
      <c r="AI244" s="10"/>
      <c r="AJ244" s="10"/>
    </row>
    <row r="245" customFormat="false" ht="39.55" hidden="false" customHeight="false" outlineLevel="0" collapsed="false">
      <c r="A245" s="7" t="n">
        <v>243</v>
      </c>
      <c r="B245" s="7" t="str">
        <f aca="false">IF(I245="Y",IF(COUNTIF(I$3:I245,"Y")&lt;=20,"pilot",IF(COUNTIF(I$3:I245,"Y")&lt;=40,"dev",IF(COUNTIF(I$3:I245,"Y")&lt;=200,"test","extra"))),"")</f>
        <v/>
      </c>
      <c r="C245" s="7" t="str">
        <f aca="false">IF(I245="Y",IF(COUNTA(K245,M245,O245,Q245,S245,U245,W245,Y245,AA245,AC245,AE245)=11,"done","in progress"),IF(I245="N","excluded",""))</f>
        <v/>
      </c>
      <c r="D245" s="7" t="s">
        <v>684</v>
      </c>
      <c r="E245" s="8" t="s">
        <v>96</v>
      </c>
      <c r="F245" s="9" t="s">
        <v>685</v>
      </c>
      <c r="G245" s="7" t="s">
        <v>212</v>
      </c>
      <c r="H245" s="7"/>
      <c r="I245" s="10"/>
      <c r="J245" s="10"/>
      <c r="K245" s="10"/>
      <c r="L245" s="11"/>
      <c r="M245" s="10"/>
      <c r="N245" s="11"/>
      <c r="O245" s="10"/>
      <c r="P245" s="11"/>
      <c r="Q245" s="10"/>
      <c r="R245" s="11"/>
      <c r="S245" s="10"/>
      <c r="T245" s="11"/>
      <c r="U245" s="10"/>
      <c r="V245" s="11"/>
      <c r="W245" s="10"/>
      <c r="X245" s="11"/>
      <c r="Y245" s="10"/>
      <c r="Z245" s="11"/>
      <c r="AA245" s="10"/>
      <c r="AB245" s="11"/>
      <c r="AC245" s="10"/>
      <c r="AD245" s="11"/>
      <c r="AE245" s="10"/>
      <c r="AF245" s="11"/>
      <c r="AG245" s="11"/>
      <c r="AH245" s="11"/>
      <c r="AI245" s="10"/>
      <c r="AJ245" s="10"/>
    </row>
    <row r="246" customFormat="false" ht="26.85" hidden="false" customHeight="false" outlineLevel="0" collapsed="false">
      <c r="A246" s="7" t="n">
        <v>244</v>
      </c>
      <c r="B246" s="7" t="str">
        <f aca="false">IF(I246="Y",IF(COUNTIF(I$3:I246,"Y")&lt;=20,"pilot",IF(COUNTIF(I$3:I246,"Y")&lt;=40,"dev",IF(COUNTIF(I$3:I246,"Y")&lt;=200,"test","extra"))),"")</f>
        <v/>
      </c>
      <c r="C246" s="7" t="str">
        <f aca="false">IF(I246="Y",IF(COUNTA(K246,M246,O246,Q246,S246,U246,W246,Y246,AA246,AC246,AE246)=11,"done","in progress"),IF(I246="N","excluded",""))</f>
        <v/>
      </c>
      <c r="D246" s="7" t="s">
        <v>686</v>
      </c>
      <c r="E246" s="8" t="s">
        <v>96</v>
      </c>
      <c r="F246" s="9" t="s">
        <v>687</v>
      </c>
      <c r="G246" s="7" t="s">
        <v>688</v>
      </c>
      <c r="H246" s="7"/>
      <c r="I246" s="10"/>
      <c r="J246" s="10"/>
      <c r="K246" s="10"/>
      <c r="L246" s="11"/>
      <c r="M246" s="10"/>
      <c r="N246" s="11"/>
      <c r="O246" s="10"/>
      <c r="P246" s="11"/>
      <c r="Q246" s="10"/>
      <c r="R246" s="11"/>
      <c r="S246" s="10"/>
      <c r="T246" s="11"/>
      <c r="U246" s="10"/>
      <c r="V246" s="11"/>
      <c r="W246" s="10"/>
      <c r="X246" s="11"/>
      <c r="Y246" s="10"/>
      <c r="Z246" s="11"/>
      <c r="AA246" s="10"/>
      <c r="AB246" s="11"/>
      <c r="AC246" s="10"/>
      <c r="AD246" s="11"/>
      <c r="AE246" s="10"/>
      <c r="AF246" s="11"/>
      <c r="AG246" s="11"/>
      <c r="AH246" s="11"/>
      <c r="AI246" s="10"/>
      <c r="AJ246" s="10"/>
    </row>
    <row r="247" customFormat="false" ht="52.2" hidden="false" customHeight="false" outlineLevel="0" collapsed="false">
      <c r="A247" s="7" t="n">
        <v>245</v>
      </c>
      <c r="B247" s="7" t="str">
        <f aca="false">IF(I247="Y",IF(COUNTIF(I$3:I247,"Y")&lt;=20,"pilot",IF(COUNTIF(I$3:I247,"Y")&lt;=40,"dev",IF(COUNTIF(I$3:I247,"Y")&lt;=200,"test","extra"))),"")</f>
        <v/>
      </c>
      <c r="C247" s="7" t="str">
        <f aca="false">IF(I247="Y",IF(COUNTA(K247,M247,O247,Q247,S247,U247,W247,Y247,AA247,AC247,AE247)=11,"done","in progress"),IF(I247="N","excluded",""))</f>
        <v/>
      </c>
      <c r="D247" s="7" t="s">
        <v>689</v>
      </c>
      <c r="E247" s="8" t="s">
        <v>96</v>
      </c>
      <c r="F247" s="9" t="s">
        <v>690</v>
      </c>
      <c r="G247" s="7" t="s">
        <v>691</v>
      </c>
      <c r="H247" s="7"/>
      <c r="I247" s="10"/>
      <c r="J247" s="10"/>
      <c r="K247" s="10"/>
      <c r="L247" s="11"/>
      <c r="M247" s="10"/>
      <c r="N247" s="11"/>
      <c r="O247" s="10"/>
      <c r="P247" s="11"/>
      <c r="Q247" s="10"/>
      <c r="R247" s="11"/>
      <c r="S247" s="10"/>
      <c r="T247" s="11"/>
      <c r="U247" s="10"/>
      <c r="V247" s="11"/>
      <c r="W247" s="10"/>
      <c r="X247" s="11"/>
      <c r="Y247" s="10"/>
      <c r="Z247" s="11"/>
      <c r="AA247" s="10"/>
      <c r="AB247" s="11"/>
      <c r="AC247" s="10"/>
      <c r="AD247" s="11"/>
      <c r="AE247" s="10"/>
      <c r="AF247" s="11"/>
      <c r="AG247" s="11"/>
      <c r="AH247" s="11"/>
      <c r="AI247" s="10"/>
      <c r="AJ247" s="10"/>
    </row>
    <row r="248" customFormat="false" ht="39.55" hidden="false" customHeight="false" outlineLevel="0" collapsed="false">
      <c r="A248" s="7" t="n">
        <v>246</v>
      </c>
      <c r="B248" s="7" t="str">
        <f aca="false">IF(I248="Y",IF(COUNTIF(I$3:I248,"Y")&lt;=20,"pilot",IF(COUNTIF(I$3:I248,"Y")&lt;=40,"dev",IF(COUNTIF(I$3:I248,"Y")&lt;=200,"test","extra"))),"")</f>
        <v/>
      </c>
      <c r="C248" s="7" t="str">
        <f aca="false">IF(I248="Y",IF(COUNTA(K248,M248,O248,Q248,S248,U248,W248,Y248,AA248,AC248,AE248)=11,"done","in progress"),IF(I248="N","excluded",""))</f>
        <v/>
      </c>
      <c r="D248" s="7" t="s">
        <v>692</v>
      </c>
      <c r="E248" s="8" t="s">
        <v>96</v>
      </c>
      <c r="F248" s="9" t="s">
        <v>693</v>
      </c>
      <c r="G248" s="7" t="s">
        <v>125</v>
      </c>
      <c r="H248" s="7"/>
      <c r="I248" s="10"/>
      <c r="J248" s="10"/>
      <c r="K248" s="10"/>
      <c r="L248" s="11"/>
      <c r="M248" s="10"/>
      <c r="N248" s="11"/>
      <c r="O248" s="10"/>
      <c r="P248" s="11"/>
      <c r="Q248" s="10"/>
      <c r="R248" s="11"/>
      <c r="S248" s="10"/>
      <c r="T248" s="11"/>
      <c r="U248" s="10"/>
      <c r="V248" s="11"/>
      <c r="W248" s="10"/>
      <c r="X248" s="11"/>
      <c r="Y248" s="10"/>
      <c r="Z248" s="11"/>
      <c r="AA248" s="10"/>
      <c r="AB248" s="11"/>
      <c r="AC248" s="10"/>
      <c r="AD248" s="11"/>
      <c r="AE248" s="10"/>
      <c r="AF248" s="11"/>
      <c r="AG248" s="11"/>
      <c r="AH248" s="11"/>
      <c r="AI248" s="10"/>
      <c r="AJ248" s="10"/>
    </row>
    <row r="249" customFormat="false" ht="39.55" hidden="false" customHeight="false" outlineLevel="0" collapsed="false">
      <c r="A249" s="7" t="n">
        <v>247</v>
      </c>
      <c r="B249" s="7" t="str">
        <f aca="false">IF(I249="Y",IF(COUNTIF(I$3:I249,"Y")&lt;=20,"pilot",IF(COUNTIF(I$3:I249,"Y")&lt;=40,"dev",IF(COUNTIF(I$3:I249,"Y")&lt;=200,"test","extra"))),"")</f>
        <v/>
      </c>
      <c r="C249" s="7" t="str">
        <f aca="false">IF(I249="Y",IF(COUNTA(K249,M249,O249,Q249,S249,U249,W249,Y249,AA249,AC249,AE249)=11,"done","in progress"),IF(I249="N","excluded",""))</f>
        <v/>
      </c>
      <c r="D249" s="7" t="s">
        <v>694</v>
      </c>
      <c r="E249" s="8" t="s">
        <v>96</v>
      </c>
      <c r="F249" s="9" t="s">
        <v>695</v>
      </c>
      <c r="G249" s="7" t="s">
        <v>104</v>
      </c>
      <c r="H249" s="7"/>
      <c r="I249" s="10"/>
      <c r="J249" s="10"/>
      <c r="K249" s="10"/>
      <c r="L249" s="11"/>
      <c r="M249" s="10"/>
      <c r="N249" s="11"/>
      <c r="O249" s="10"/>
      <c r="P249" s="11"/>
      <c r="Q249" s="10"/>
      <c r="R249" s="11"/>
      <c r="S249" s="10"/>
      <c r="T249" s="11"/>
      <c r="U249" s="10"/>
      <c r="V249" s="11"/>
      <c r="W249" s="10"/>
      <c r="X249" s="11"/>
      <c r="Y249" s="10"/>
      <c r="Z249" s="11"/>
      <c r="AA249" s="10"/>
      <c r="AB249" s="11"/>
      <c r="AC249" s="10"/>
      <c r="AD249" s="11"/>
      <c r="AE249" s="10"/>
      <c r="AF249" s="11"/>
      <c r="AG249" s="11"/>
      <c r="AH249" s="11"/>
      <c r="AI249" s="10"/>
      <c r="AJ249" s="10"/>
    </row>
    <row r="250" customFormat="false" ht="39.55" hidden="false" customHeight="false" outlineLevel="0" collapsed="false">
      <c r="A250" s="7" t="n">
        <v>248</v>
      </c>
      <c r="B250" s="7" t="str">
        <f aca="false">IF(I250="Y",IF(COUNTIF(I$3:I250,"Y")&lt;=20,"pilot",IF(COUNTIF(I$3:I250,"Y")&lt;=40,"dev",IF(COUNTIF(I$3:I250,"Y")&lt;=200,"test","extra"))),"")</f>
        <v/>
      </c>
      <c r="C250" s="7" t="str">
        <f aca="false">IF(I250="Y",IF(COUNTA(K250,M250,O250,Q250,S250,U250,W250,Y250,AA250,AC250,AE250)=11,"done","in progress"),IF(I250="N","excluded",""))</f>
        <v/>
      </c>
      <c r="D250" s="7" t="s">
        <v>696</v>
      </c>
      <c r="E250" s="8" t="s">
        <v>96</v>
      </c>
      <c r="F250" s="9" t="s">
        <v>697</v>
      </c>
      <c r="G250" s="7" t="s">
        <v>113</v>
      </c>
      <c r="H250" s="7"/>
      <c r="I250" s="10"/>
      <c r="J250" s="10"/>
      <c r="K250" s="10"/>
      <c r="L250" s="11"/>
      <c r="M250" s="10"/>
      <c r="N250" s="11"/>
      <c r="O250" s="10"/>
      <c r="P250" s="11"/>
      <c r="Q250" s="10"/>
      <c r="R250" s="11"/>
      <c r="S250" s="10"/>
      <c r="T250" s="11"/>
      <c r="U250" s="10"/>
      <c r="V250" s="11"/>
      <c r="W250" s="10"/>
      <c r="X250" s="11"/>
      <c r="Y250" s="10"/>
      <c r="Z250" s="11"/>
      <c r="AA250" s="10"/>
      <c r="AB250" s="11"/>
      <c r="AC250" s="10"/>
      <c r="AD250" s="11"/>
      <c r="AE250" s="10"/>
      <c r="AF250" s="11"/>
      <c r="AG250" s="11"/>
      <c r="AH250" s="11"/>
      <c r="AI250" s="10"/>
      <c r="AJ250" s="10"/>
    </row>
    <row r="251" customFormat="false" ht="39.55" hidden="false" customHeight="false" outlineLevel="0" collapsed="false">
      <c r="A251" s="7" t="n">
        <v>249</v>
      </c>
      <c r="B251" s="7" t="str">
        <f aca="false">IF(I251="Y",IF(COUNTIF(I$3:I251,"Y")&lt;=20,"pilot",IF(COUNTIF(I$3:I251,"Y")&lt;=40,"dev",IF(COUNTIF(I$3:I251,"Y")&lt;=200,"test","extra"))),"")</f>
        <v/>
      </c>
      <c r="C251" s="7" t="str">
        <f aca="false">IF(I251="Y",IF(COUNTA(K251,M251,O251,Q251,S251,U251,W251,Y251,AA251,AC251,AE251)=11,"done","in progress"),IF(I251="N","excluded",""))</f>
        <v/>
      </c>
      <c r="D251" s="7" t="s">
        <v>698</v>
      </c>
      <c r="E251" s="8" t="s">
        <v>96</v>
      </c>
      <c r="F251" s="9" t="s">
        <v>699</v>
      </c>
      <c r="G251" s="7" t="s">
        <v>700</v>
      </c>
      <c r="H251" s="7"/>
      <c r="I251" s="10"/>
      <c r="J251" s="10"/>
      <c r="K251" s="10"/>
      <c r="L251" s="11"/>
      <c r="M251" s="10"/>
      <c r="N251" s="11"/>
      <c r="O251" s="10"/>
      <c r="P251" s="11"/>
      <c r="Q251" s="10"/>
      <c r="R251" s="11"/>
      <c r="S251" s="10"/>
      <c r="T251" s="11"/>
      <c r="U251" s="10"/>
      <c r="V251" s="11"/>
      <c r="W251" s="10"/>
      <c r="X251" s="11"/>
      <c r="Y251" s="10"/>
      <c r="Z251" s="11"/>
      <c r="AA251" s="10"/>
      <c r="AB251" s="11"/>
      <c r="AC251" s="10"/>
      <c r="AD251" s="11"/>
      <c r="AE251" s="10"/>
      <c r="AF251" s="11"/>
      <c r="AG251" s="11"/>
      <c r="AH251" s="11"/>
      <c r="AI251" s="10"/>
      <c r="AJ251" s="10"/>
    </row>
    <row r="252" customFormat="false" ht="39.55" hidden="false" customHeight="false" outlineLevel="0" collapsed="false">
      <c r="A252" s="7" t="n">
        <v>250</v>
      </c>
      <c r="B252" s="7" t="str">
        <f aca="false">IF(I252="Y",IF(COUNTIF(I$3:I252,"Y")&lt;=20,"pilot",IF(COUNTIF(I$3:I252,"Y")&lt;=40,"dev",IF(COUNTIF(I$3:I252,"Y")&lt;=200,"test","extra"))),"")</f>
        <v/>
      </c>
      <c r="C252" s="7" t="str">
        <f aca="false">IF(I252="Y",IF(COUNTA(K252,M252,O252,Q252,S252,U252,W252,Y252,AA252,AC252,AE252)=11,"done","in progress"),IF(I252="N","excluded",""))</f>
        <v/>
      </c>
      <c r="D252" s="7" t="s">
        <v>701</v>
      </c>
      <c r="E252" s="8" t="s">
        <v>96</v>
      </c>
      <c r="F252" s="9" t="s">
        <v>702</v>
      </c>
      <c r="G252" s="7" t="s">
        <v>588</v>
      </c>
      <c r="H252" s="7"/>
      <c r="I252" s="10"/>
      <c r="J252" s="10"/>
      <c r="K252" s="10"/>
      <c r="L252" s="11"/>
      <c r="M252" s="10"/>
      <c r="N252" s="11"/>
      <c r="O252" s="10"/>
      <c r="P252" s="11"/>
      <c r="Q252" s="10"/>
      <c r="R252" s="11"/>
      <c r="S252" s="10"/>
      <c r="T252" s="11"/>
      <c r="U252" s="10"/>
      <c r="V252" s="11"/>
      <c r="W252" s="10"/>
      <c r="X252" s="11"/>
      <c r="Y252" s="10"/>
      <c r="Z252" s="11"/>
      <c r="AA252" s="10"/>
      <c r="AB252" s="11"/>
      <c r="AC252" s="10"/>
      <c r="AD252" s="11"/>
      <c r="AE252" s="10"/>
      <c r="AF252" s="11"/>
      <c r="AG252" s="11"/>
      <c r="AH252" s="11"/>
      <c r="AI252" s="10"/>
      <c r="AJ252" s="10"/>
    </row>
    <row r="253" customFormat="false" ht="26.85" hidden="false" customHeight="false" outlineLevel="0" collapsed="false">
      <c r="A253" s="7" t="n">
        <v>251</v>
      </c>
      <c r="B253" s="7" t="str">
        <f aca="false">IF(I253="Y",IF(COUNTIF(I$3:I253,"Y")&lt;=20,"pilot",IF(COUNTIF(I$3:I253,"Y")&lt;=40,"dev",IF(COUNTIF(I$3:I253,"Y")&lt;=200,"test","extra"))),"")</f>
        <v/>
      </c>
      <c r="C253" s="7" t="str">
        <f aca="false">IF(I253="Y",IF(COUNTA(K253,M253,O253,Q253,S253,U253,W253,Y253,AA253,AC253,AE253)=11,"done","in progress"),IF(I253="N","excluded",""))</f>
        <v/>
      </c>
      <c r="D253" s="7" t="s">
        <v>703</v>
      </c>
      <c r="E253" s="8" t="s">
        <v>96</v>
      </c>
      <c r="F253" s="9" t="s">
        <v>704</v>
      </c>
      <c r="G253" s="7" t="s">
        <v>302</v>
      </c>
      <c r="H253" s="7"/>
      <c r="I253" s="10"/>
      <c r="J253" s="10"/>
      <c r="K253" s="10"/>
      <c r="L253" s="11"/>
      <c r="M253" s="10"/>
      <c r="N253" s="11"/>
      <c r="O253" s="10"/>
      <c r="P253" s="11"/>
      <c r="Q253" s="10"/>
      <c r="R253" s="11"/>
      <c r="S253" s="10"/>
      <c r="T253" s="11"/>
      <c r="U253" s="10"/>
      <c r="V253" s="11"/>
      <c r="W253" s="10"/>
      <c r="X253" s="11"/>
      <c r="Y253" s="10"/>
      <c r="Z253" s="11"/>
      <c r="AA253" s="10"/>
      <c r="AB253" s="11"/>
      <c r="AC253" s="10"/>
      <c r="AD253" s="11"/>
      <c r="AE253" s="10"/>
      <c r="AF253" s="11"/>
      <c r="AG253" s="11"/>
      <c r="AH253" s="11"/>
      <c r="AI253" s="10"/>
      <c r="AJ253" s="10"/>
    </row>
    <row r="254" customFormat="false" ht="26.85" hidden="false" customHeight="false" outlineLevel="0" collapsed="false">
      <c r="A254" s="7" t="n">
        <v>252</v>
      </c>
      <c r="B254" s="7" t="str">
        <f aca="false">IF(I254="Y",IF(COUNTIF(I$3:I254,"Y")&lt;=20,"pilot",IF(COUNTIF(I$3:I254,"Y")&lt;=40,"dev",IF(COUNTIF(I$3:I254,"Y")&lt;=200,"test","extra"))),"")</f>
        <v/>
      </c>
      <c r="C254" s="7" t="str">
        <f aca="false">IF(I254="Y",IF(COUNTA(K254,M254,O254,Q254,S254,U254,W254,Y254,AA254,AC254,AE254)=11,"done","in progress"),IF(I254="N","excluded",""))</f>
        <v/>
      </c>
      <c r="D254" s="7" t="s">
        <v>705</v>
      </c>
      <c r="E254" s="8" t="s">
        <v>96</v>
      </c>
      <c r="F254" s="9" t="s">
        <v>706</v>
      </c>
      <c r="G254" s="7" t="s">
        <v>116</v>
      </c>
      <c r="H254" s="7"/>
      <c r="I254" s="10"/>
      <c r="J254" s="10"/>
      <c r="K254" s="10"/>
      <c r="L254" s="11"/>
      <c r="M254" s="10"/>
      <c r="N254" s="11"/>
      <c r="O254" s="10"/>
      <c r="P254" s="11"/>
      <c r="Q254" s="10"/>
      <c r="R254" s="11"/>
      <c r="S254" s="10"/>
      <c r="T254" s="11"/>
      <c r="U254" s="10"/>
      <c r="V254" s="11"/>
      <c r="W254" s="10"/>
      <c r="X254" s="11"/>
      <c r="Y254" s="10"/>
      <c r="Z254" s="11"/>
      <c r="AA254" s="10"/>
      <c r="AB254" s="11"/>
      <c r="AC254" s="10"/>
      <c r="AD254" s="11"/>
      <c r="AE254" s="10"/>
      <c r="AF254" s="11"/>
      <c r="AG254" s="11"/>
      <c r="AH254" s="11"/>
      <c r="AI254" s="10"/>
      <c r="AJ254" s="10"/>
    </row>
    <row r="255" customFormat="false" ht="52.2" hidden="false" customHeight="false" outlineLevel="0" collapsed="false">
      <c r="A255" s="7" t="n">
        <v>253</v>
      </c>
      <c r="B255" s="7" t="str">
        <f aca="false">IF(I255="Y",IF(COUNTIF(I$3:I255,"Y")&lt;=20,"pilot",IF(COUNTIF(I$3:I255,"Y")&lt;=40,"dev",IF(COUNTIF(I$3:I255,"Y")&lt;=200,"test","extra"))),"")</f>
        <v/>
      </c>
      <c r="C255" s="7" t="str">
        <f aca="false">IF(I255="Y",IF(COUNTA(K255,M255,O255,Q255,S255,U255,W255,Y255,AA255,AC255,AE255)=11,"done","in progress"),IF(I255="N","excluded",""))</f>
        <v/>
      </c>
      <c r="D255" s="7" t="s">
        <v>707</v>
      </c>
      <c r="E255" s="8" t="s">
        <v>96</v>
      </c>
      <c r="F255" s="9" t="s">
        <v>708</v>
      </c>
      <c r="G255" s="7" t="s">
        <v>302</v>
      </c>
      <c r="H255" s="7"/>
      <c r="I255" s="10"/>
      <c r="J255" s="10"/>
      <c r="K255" s="10"/>
      <c r="L255" s="11"/>
      <c r="M255" s="10"/>
      <c r="N255" s="11"/>
      <c r="O255" s="10"/>
      <c r="P255" s="11"/>
      <c r="Q255" s="10"/>
      <c r="R255" s="11"/>
      <c r="S255" s="10"/>
      <c r="T255" s="11"/>
      <c r="U255" s="10"/>
      <c r="V255" s="11"/>
      <c r="W255" s="10"/>
      <c r="X255" s="11"/>
      <c r="Y255" s="10"/>
      <c r="Z255" s="11"/>
      <c r="AA255" s="10"/>
      <c r="AB255" s="11"/>
      <c r="AC255" s="10"/>
      <c r="AD255" s="11"/>
      <c r="AE255" s="10"/>
      <c r="AF255" s="11"/>
      <c r="AG255" s="11"/>
      <c r="AH255" s="11"/>
      <c r="AI255" s="10"/>
      <c r="AJ255" s="10"/>
    </row>
    <row r="256" customFormat="false" ht="39.55" hidden="false" customHeight="false" outlineLevel="0" collapsed="false">
      <c r="A256" s="7" t="n">
        <v>254</v>
      </c>
      <c r="B256" s="7" t="str">
        <f aca="false">IF(I256="Y",IF(COUNTIF(I$3:I256,"Y")&lt;=20,"pilot",IF(COUNTIF(I$3:I256,"Y")&lt;=40,"dev",IF(COUNTIF(I$3:I256,"Y")&lt;=200,"test","extra"))),"")</f>
        <v/>
      </c>
      <c r="C256" s="7" t="str">
        <f aca="false">IF(I256="Y",IF(COUNTA(K256,M256,O256,Q256,S256,U256,W256,Y256,AA256,AC256,AE256)=11,"done","in progress"),IF(I256="N","excluded",""))</f>
        <v/>
      </c>
      <c r="D256" s="7" t="s">
        <v>709</v>
      </c>
      <c r="E256" s="8" t="s">
        <v>96</v>
      </c>
      <c r="F256" s="9" t="s">
        <v>710</v>
      </c>
      <c r="G256" s="7" t="s">
        <v>107</v>
      </c>
      <c r="H256" s="7"/>
      <c r="I256" s="10"/>
      <c r="J256" s="10"/>
      <c r="K256" s="10"/>
      <c r="L256" s="11"/>
      <c r="M256" s="10"/>
      <c r="N256" s="11"/>
      <c r="O256" s="10"/>
      <c r="P256" s="11"/>
      <c r="Q256" s="10"/>
      <c r="R256" s="11"/>
      <c r="S256" s="10"/>
      <c r="T256" s="11"/>
      <c r="U256" s="10"/>
      <c r="V256" s="11"/>
      <c r="W256" s="10"/>
      <c r="X256" s="11"/>
      <c r="Y256" s="10"/>
      <c r="Z256" s="11"/>
      <c r="AA256" s="10"/>
      <c r="AB256" s="11"/>
      <c r="AC256" s="10"/>
      <c r="AD256" s="11"/>
      <c r="AE256" s="10"/>
      <c r="AF256" s="11"/>
      <c r="AG256" s="11"/>
      <c r="AH256" s="11"/>
      <c r="AI256" s="10"/>
      <c r="AJ256" s="10"/>
    </row>
    <row r="257" customFormat="false" ht="39.55" hidden="false" customHeight="false" outlineLevel="0" collapsed="false">
      <c r="A257" s="7" t="n">
        <v>255</v>
      </c>
      <c r="B257" s="7" t="str">
        <f aca="false">IF(I257="Y",IF(COUNTIF(I$3:I257,"Y")&lt;=20,"pilot",IF(COUNTIF(I$3:I257,"Y")&lt;=40,"dev",IF(COUNTIF(I$3:I257,"Y")&lt;=200,"test","extra"))),"")</f>
        <v/>
      </c>
      <c r="C257" s="7" t="str">
        <f aca="false">IF(I257="Y",IF(COUNTA(K257,M257,O257,Q257,S257,U257,W257,Y257,AA257,AC257,AE257)=11,"done","in progress"),IF(I257="N","excluded",""))</f>
        <v/>
      </c>
      <c r="D257" s="7" t="s">
        <v>711</v>
      </c>
      <c r="E257" s="8" t="s">
        <v>96</v>
      </c>
      <c r="F257" s="9" t="s">
        <v>712</v>
      </c>
      <c r="G257" s="7" t="s">
        <v>713</v>
      </c>
      <c r="H257" s="7"/>
      <c r="I257" s="10"/>
      <c r="J257" s="10"/>
      <c r="K257" s="10"/>
      <c r="L257" s="11"/>
      <c r="M257" s="10"/>
      <c r="N257" s="11"/>
      <c r="O257" s="10"/>
      <c r="P257" s="11"/>
      <c r="Q257" s="10"/>
      <c r="R257" s="11"/>
      <c r="S257" s="10"/>
      <c r="T257" s="11"/>
      <c r="U257" s="10"/>
      <c r="V257" s="11"/>
      <c r="W257" s="10"/>
      <c r="X257" s="11"/>
      <c r="Y257" s="10"/>
      <c r="Z257" s="11"/>
      <c r="AA257" s="10"/>
      <c r="AB257" s="11"/>
      <c r="AC257" s="10"/>
      <c r="AD257" s="11"/>
      <c r="AE257" s="10"/>
      <c r="AF257" s="11"/>
      <c r="AG257" s="11"/>
      <c r="AH257" s="11"/>
      <c r="AI257" s="10"/>
      <c r="AJ257" s="10"/>
    </row>
    <row r="258" customFormat="false" ht="39.55" hidden="false" customHeight="false" outlineLevel="0" collapsed="false">
      <c r="A258" s="7" t="n">
        <v>256</v>
      </c>
      <c r="B258" s="7" t="str">
        <f aca="false">IF(I258="Y",IF(COUNTIF(I$3:I258,"Y")&lt;=20,"pilot",IF(COUNTIF(I$3:I258,"Y")&lt;=40,"dev",IF(COUNTIF(I$3:I258,"Y")&lt;=200,"test","extra"))),"")</f>
        <v/>
      </c>
      <c r="C258" s="7" t="str">
        <f aca="false">IF(I258="Y",IF(COUNTA(K258,M258,O258,Q258,S258,U258,W258,Y258,AA258,AC258,AE258)=11,"done","in progress"),IF(I258="N","excluded",""))</f>
        <v/>
      </c>
      <c r="D258" s="7" t="s">
        <v>714</v>
      </c>
      <c r="E258" s="8" t="s">
        <v>96</v>
      </c>
      <c r="F258" s="9" t="s">
        <v>715</v>
      </c>
      <c r="G258" s="7" t="s">
        <v>113</v>
      </c>
      <c r="H258" s="7"/>
      <c r="I258" s="10"/>
      <c r="J258" s="10"/>
      <c r="K258" s="10"/>
      <c r="L258" s="11"/>
      <c r="M258" s="10"/>
      <c r="N258" s="11"/>
      <c r="O258" s="10"/>
      <c r="P258" s="11"/>
      <c r="Q258" s="10"/>
      <c r="R258" s="11"/>
      <c r="S258" s="10"/>
      <c r="T258" s="11"/>
      <c r="U258" s="10"/>
      <c r="V258" s="11"/>
      <c r="W258" s="10"/>
      <c r="X258" s="11"/>
      <c r="Y258" s="10"/>
      <c r="Z258" s="11"/>
      <c r="AA258" s="10"/>
      <c r="AB258" s="11"/>
      <c r="AC258" s="10"/>
      <c r="AD258" s="11"/>
      <c r="AE258" s="10"/>
      <c r="AF258" s="11"/>
      <c r="AG258" s="11"/>
      <c r="AH258" s="11"/>
      <c r="AI258" s="10"/>
      <c r="AJ258" s="10"/>
    </row>
    <row r="259" customFormat="false" ht="39.55" hidden="false" customHeight="false" outlineLevel="0" collapsed="false">
      <c r="A259" s="7" t="n">
        <v>257</v>
      </c>
      <c r="B259" s="7" t="str">
        <f aca="false">IF(I259="Y",IF(COUNTIF(I$3:I259,"Y")&lt;=20,"pilot",IF(COUNTIF(I$3:I259,"Y")&lt;=40,"dev",IF(COUNTIF(I$3:I259,"Y")&lt;=200,"test","extra"))),"")</f>
        <v/>
      </c>
      <c r="C259" s="7" t="str">
        <f aca="false">IF(I259="Y",IF(COUNTA(K259,M259,O259,Q259,S259,U259,W259,Y259,AA259,AC259,AE259)=11,"done","in progress"),IF(I259="N","excluded",""))</f>
        <v/>
      </c>
      <c r="D259" s="7" t="s">
        <v>716</v>
      </c>
      <c r="E259" s="8" t="s">
        <v>96</v>
      </c>
      <c r="F259" s="9" t="s">
        <v>717</v>
      </c>
      <c r="G259" s="7" t="s">
        <v>302</v>
      </c>
      <c r="H259" s="7"/>
      <c r="I259" s="10"/>
      <c r="J259" s="10"/>
      <c r="K259" s="10"/>
      <c r="L259" s="11"/>
      <c r="M259" s="10"/>
      <c r="N259" s="11"/>
      <c r="O259" s="10"/>
      <c r="P259" s="11"/>
      <c r="Q259" s="10"/>
      <c r="R259" s="11"/>
      <c r="S259" s="10"/>
      <c r="T259" s="11"/>
      <c r="U259" s="10"/>
      <c r="V259" s="11"/>
      <c r="W259" s="10"/>
      <c r="X259" s="11"/>
      <c r="Y259" s="10"/>
      <c r="Z259" s="11"/>
      <c r="AA259" s="10"/>
      <c r="AB259" s="11"/>
      <c r="AC259" s="10"/>
      <c r="AD259" s="11"/>
      <c r="AE259" s="10"/>
      <c r="AF259" s="11"/>
      <c r="AG259" s="11"/>
      <c r="AH259" s="11"/>
      <c r="AI259" s="10"/>
      <c r="AJ259" s="10"/>
    </row>
    <row r="260" customFormat="false" ht="52.2" hidden="false" customHeight="false" outlineLevel="0" collapsed="false">
      <c r="A260" s="7" t="n">
        <v>258</v>
      </c>
      <c r="B260" s="7" t="str">
        <f aca="false">IF(I260="Y",IF(COUNTIF(I$3:I260,"Y")&lt;=20,"pilot",IF(COUNTIF(I$3:I260,"Y")&lt;=40,"dev",IF(COUNTIF(I$3:I260,"Y")&lt;=200,"test","extra"))),"")</f>
        <v/>
      </c>
      <c r="C260" s="7" t="str">
        <f aca="false">IF(I260="Y",IF(COUNTA(K260,M260,O260,Q260,S260,U260,W260,Y260,AA260,AC260,AE260)=11,"done","in progress"),IF(I260="N","excluded",""))</f>
        <v/>
      </c>
      <c r="D260" s="7" t="s">
        <v>718</v>
      </c>
      <c r="E260" s="8" t="s">
        <v>96</v>
      </c>
      <c r="F260" s="9" t="s">
        <v>719</v>
      </c>
      <c r="G260" s="7" t="s">
        <v>516</v>
      </c>
      <c r="H260" s="7"/>
      <c r="I260" s="10"/>
      <c r="J260" s="10"/>
      <c r="K260" s="10"/>
      <c r="L260" s="11"/>
      <c r="M260" s="10"/>
      <c r="N260" s="11"/>
      <c r="O260" s="10"/>
      <c r="P260" s="11"/>
      <c r="Q260" s="10"/>
      <c r="R260" s="11"/>
      <c r="S260" s="10"/>
      <c r="T260" s="11"/>
      <c r="U260" s="10"/>
      <c r="V260" s="11"/>
      <c r="W260" s="10"/>
      <c r="X260" s="11"/>
      <c r="Y260" s="10"/>
      <c r="Z260" s="11"/>
      <c r="AA260" s="10"/>
      <c r="AB260" s="11"/>
      <c r="AC260" s="10"/>
      <c r="AD260" s="11"/>
      <c r="AE260" s="10"/>
      <c r="AF260" s="11"/>
      <c r="AG260" s="11"/>
      <c r="AH260" s="11"/>
      <c r="AI260" s="10"/>
      <c r="AJ260" s="10"/>
    </row>
    <row r="261" customFormat="false" ht="39.55" hidden="false" customHeight="false" outlineLevel="0" collapsed="false">
      <c r="A261" s="7" t="n">
        <v>259</v>
      </c>
      <c r="B261" s="7" t="str">
        <f aca="false">IF(I261="Y",IF(COUNTIF(I$3:I261,"Y")&lt;=20,"pilot",IF(COUNTIF(I$3:I261,"Y")&lt;=40,"dev",IF(COUNTIF(I$3:I261,"Y")&lt;=200,"test","extra"))),"")</f>
        <v/>
      </c>
      <c r="C261" s="7" t="str">
        <f aca="false">IF(I261="Y",IF(COUNTA(K261,M261,O261,Q261,S261,U261,W261,Y261,AA261,AC261,AE261)=11,"done","in progress"),IF(I261="N","excluded",""))</f>
        <v/>
      </c>
      <c r="D261" s="7" t="s">
        <v>720</v>
      </c>
      <c r="E261" s="8" t="s">
        <v>96</v>
      </c>
      <c r="F261" s="9" t="s">
        <v>721</v>
      </c>
      <c r="G261" s="7" t="s">
        <v>363</v>
      </c>
      <c r="H261" s="7"/>
      <c r="I261" s="10"/>
      <c r="J261" s="10"/>
      <c r="K261" s="10"/>
      <c r="L261" s="11"/>
      <c r="M261" s="10"/>
      <c r="N261" s="11"/>
      <c r="O261" s="10"/>
      <c r="P261" s="11"/>
      <c r="Q261" s="10"/>
      <c r="R261" s="11"/>
      <c r="S261" s="10"/>
      <c r="T261" s="11"/>
      <c r="U261" s="10"/>
      <c r="V261" s="11"/>
      <c r="W261" s="10"/>
      <c r="X261" s="11"/>
      <c r="Y261" s="10"/>
      <c r="Z261" s="11"/>
      <c r="AA261" s="10"/>
      <c r="AB261" s="11"/>
      <c r="AC261" s="10"/>
      <c r="AD261" s="11"/>
      <c r="AE261" s="10"/>
      <c r="AF261" s="11"/>
      <c r="AG261" s="11"/>
      <c r="AH261" s="11"/>
      <c r="AI261" s="10"/>
      <c r="AJ261" s="10"/>
    </row>
    <row r="262" customFormat="false" ht="26.85" hidden="false" customHeight="false" outlineLevel="0" collapsed="false">
      <c r="A262" s="7" t="n">
        <v>260</v>
      </c>
      <c r="B262" s="7" t="str">
        <f aca="false">IF(I262="Y",IF(COUNTIF(I$3:I262,"Y")&lt;=20,"pilot",IF(COUNTIF(I$3:I262,"Y")&lt;=40,"dev",IF(COUNTIF(I$3:I262,"Y")&lt;=200,"test","extra"))),"")</f>
        <v/>
      </c>
      <c r="C262" s="7" t="str">
        <f aca="false">IF(I262="Y",IF(COUNTA(K262,M262,O262,Q262,S262,U262,W262,Y262,AA262,AC262,AE262)=11,"done","in progress"),IF(I262="N","excluded",""))</f>
        <v/>
      </c>
      <c r="D262" s="7" t="s">
        <v>722</v>
      </c>
      <c r="E262" s="8" t="s">
        <v>96</v>
      </c>
      <c r="F262" s="9" t="s">
        <v>723</v>
      </c>
      <c r="G262" s="7" t="s">
        <v>125</v>
      </c>
      <c r="H262" s="7"/>
      <c r="I262" s="10"/>
      <c r="J262" s="10"/>
      <c r="K262" s="10"/>
      <c r="L262" s="11"/>
      <c r="M262" s="10"/>
      <c r="N262" s="11"/>
      <c r="O262" s="10"/>
      <c r="P262" s="11"/>
      <c r="Q262" s="10"/>
      <c r="R262" s="11"/>
      <c r="S262" s="10"/>
      <c r="T262" s="11"/>
      <c r="U262" s="10"/>
      <c r="V262" s="11"/>
      <c r="W262" s="10"/>
      <c r="X262" s="11"/>
      <c r="Y262" s="10"/>
      <c r="Z262" s="11"/>
      <c r="AA262" s="10"/>
      <c r="AB262" s="11"/>
      <c r="AC262" s="10"/>
      <c r="AD262" s="11"/>
      <c r="AE262" s="10"/>
      <c r="AF262" s="11"/>
      <c r="AG262" s="11"/>
      <c r="AH262" s="11"/>
      <c r="AI262" s="10"/>
      <c r="AJ262" s="10"/>
    </row>
    <row r="263" customFormat="false" ht="26.85" hidden="false" customHeight="false" outlineLevel="0" collapsed="false">
      <c r="A263" s="7" t="n">
        <v>261</v>
      </c>
      <c r="B263" s="7" t="str">
        <f aca="false">IF(I263="Y",IF(COUNTIF(I$3:I263,"Y")&lt;=20,"pilot",IF(COUNTIF(I$3:I263,"Y")&lt;=40,"dev",IF(COUNTIF(I$3:I263,"Y")&lt;=200,"test","extra"))),"")</f>
        <v/>
      </c>
      <c r="C263" s="7" t="str">
        <f aca="false">IF(I263="Y",IF(COUNTA(K263,M263,O263,Q263,S263,U263,W263,Y263,AA263,AC263,AE263)=11,"done","in progress"),IF(I263="N","excluded",""))</f>
        <v/>
      </c>
      <c r="D263" s="7" t="s">
        <v>724</v>
      </c>
      <c r="E263" s="8" t="s">
        <v>96</v>
      </c>
      <c r="F263" s="9" t="s">
        <v>725</v>
      </c>
      <c r="G263" s="7" t="s">
        <v>104</v>
      </c>
      <c r="H263" s="7"/>
      <c r="I263" s="10"/>
      <c r="J263" s="10"/>
      <c r="K263" s="10"/>
      <c r="L263" s="11"/>
      <c r="M263" s="10"/>
      <c r="N263" s="11"/>
      <c r="O263" s="10"/>
      <c r="P263" s="11"/>
      <c r="Q263" s="10"/>
      <c r="R263" s="11"/>
      <c r="S263" s="10"/>
      <c r="T263" s="11"/>
      <c r="U263" s="10"/>
      <c r="V263" s="11"/>
      <c r="W263" s="10"/>
      <c r="X263" s="11"/>
      <c r="Y263" s="10"/>
      <c r="Z263" s="11"/>
      <c r="AA263" s="10"/>
      <c r="AB263" s="11"/>
      <c r="AC263" s="10"/>
      <c r="AD263" s="11"/>
      <c r="AE263" s="10"/>
      <c r="AF263" s="11"/>
      <c r="AG263" s="11"/>
      <c r="AH263" s="11"/>
      <c r="AI263" s="10"/>
      <c r="AJ263" s="10"/>
    </row>
    <row r="264" customFormat="false" ht="26.85" hidden="false" customHeight="false" outlineLevel="0" collapsed="false">
      <c r="A264" s="7" t="n">
        <v>262</v>
      </c>
      <c r="B264" s="7" t="str">
        <f aca="false">IF(I264="Y",IF(COUNTIF(I$3:I264,"Y")&lt;=20,"pilot",IF(COUNTIF(I$3:I264,"Y")&lt;=40,"dev",IF(COUNTIF(I$3:I264,"Y")&lt;=200,"test","extra"))),"")</f>
        <v/>
      </c>
      <c r="C264" s="7" t="str">
        <f aca="false">IF(I264="Y",IF(COUNTA(K264,M264,O264,Q264,S264,U264,W264,Y264,AA264,AC264,AE264)=11,"done","in progress"),IF(I264="N","excluded",""))</f>
        <v/>
      </c>
      <c r="D264" s="7" t="s">
        <v>726</v>
      </c>
      <c r="E264" s="8" t="s">
        <v>96</v>
      </c>
      <c r="F264" s="9" t="s">
        <v>727</v>
      </c>
      <c r="G264" s="7" t="s">
        <v>133</v>
      </c>
      <c r="H264" s="7"/>
      <c r="I264" s="10"/>
      <c r="J264" s="10"/>
      <c r="K264" s="10"/>
      <c r="L264" s="11"/>
      <c r="M264" s="10"/>
      <c r="N264" s="11"/>
      <c r="O264" s="10"/>
      <c r="P264" s="11"/>
      <c r="Q264" s="10"/>
      <c r="R264" s="11"/>
      <c r="S264" s="10"/>
      <c r="T264" s="11"/>
      <c r="U264" s="10"/>
      <c r="V264" s="11"/>
      <c r="W264" s="10"/>
      <c r="X264" s="11"/>
      <c r="Y264" s="10"/>
      <c r="Z264" s="11"/>
      <c r="AA264" s="10"/>
      <c r="AB264" s="11"/>
      <c r="AC264" s="10"/>
      <c r="AD264" s="11"/>
      <c r="AE264" s="10"/>
      <c r="AF264" s="11"/>
      <c r="AG264" s="11"/>
      <c r="AH264" s="11"/>
      <c r="AI264" s="10"/>
      <c r="AJ264" s="10"/>
    </row>
    <row r="265" customFormat="false" ht="52.2" hidden="false" customHeight="false" outlineLevel="0" collapsed="false">
      <c r="A265" s="7" t="n">
        <v>263</v>
      </c>
      <c r="B265" s="7" t="str">
        <f aca="false">IF(I265="Y",IF(COUNTIF(I$3:I265,"Y")&lt;=20,"pilot",IF(COUNTIF(I$3:I265,"Y")&lt;=40,"dev",IF(COUNTIF(I$3:I265,"Y")&lt;=200,"test","extra"))),"")</f>
        <v/>
      </c>
      <c r="C265" s="7" t="str">
        <f aca="false">IF(I265="Y",IF(COUNTA(K265,M265,O265,Q265,S265,U265,W265,Y265,AA265,AC265,AE265)=11,"done","in progress"),IF(I265="N","excluded",""))</f>
        <v/>
      </c>
      <c r="D265" s="7" t="s">
        <v>728</v>
      </c>
      <c r="E265" s="8" t="s">
        <v>96</v>
      </c>
      <c r="F265" s="9" t="s">
        <v>729</v>
      </c>
      <c r="G265" s="7" t="s">
        <v>107</v>
      </c>
      <c r="H265" s="7"/>
      <c r="I265" s="10"/>
      <c r="J265" s="10"/>
      <c r="K265" s="10"/>
      <c r="L265" s="11"/>
      <c r="M265" s="10"/>
      <c r="N265" s="11"/>
      <c r="O265" s="10"/>
      <c r="P265" s="11"/>
      <c r="Q265" s="10"/>
      <c r="R265" s="11"/>
      <c r="S265" s="10"/>
      <c r="T265" s="11"/>
      <c r="U265" s="10"/>
      <c r="V265" s="11"/>
      <c r="W265" s="10"/>
      <c r="X265" s="11"/>
      <c r="Y265" s="10"/>
      <c r="Z265" s="11"/>
      <c r="AA265" s="10"/>
      <c r="AB265" s="11"/>
      <c r="AC265" s="10"/>
      <c r="AD265" s="11"/>
      <c r="AE265" s="10"/>
      <c r="AF265" s="11"/>
      <c r="AG265" s="11"/>
      <c r="AH265" s="11"/>
      <c r="AI265" s="10"/>
      <c r="AJ265" s="10"/>
    </row>
    <row r="266" customFormat="false" ht="26.85" hidden="false" customHeight="false" outlineLevel="0" collapsed="false">
      <c r="A266" s="7" t="n">
        <v>264</v>
      </c>
      <c r="B266" s="7" t="str">
        <f aca="false">IF(I266="Y",IF(COUNTIF(I$3:I266,"Y")&lt;=20,"pilot",IF(COUNTIF(I$3:I266,"Y")&lt;=40,"dev",IF(COUNTIF(I$3:I266,"Y")&lt;=200,"test","extra"))),"")</f>
        <v/>
      </c>
      <c r="C266" s="7" t="str">
        <f aca="false">IF(I266="Y",IF(COUNTA(K266,M266,O266,Q266,S266,U266,W266,Y266,AA266,AC266,AE266)=11,"done","in progress"),IF(I266="N","excluded",""))</f>
        <v/>
      </c>
      <c r="D266" s="7" t="s">
        <v>730</v>
      </c>
      <c r="E266" s="8" t="s">
        <v>96</v>
      </c>
      <c r="F266" s="9" t="s">
        <v>731</v>
      </c>
      <c r="G266" s="7" t="s">
        <v>465</v>
      </c>
      <c r="H266" s="7"/>
      <c r="I266" s="10"/>
      <c r="J266" s="10"/>
      <c r="K266" s="10"/>
      <c r="L266" s="11"/>
      <c r="M266" s="10"/>
      <c r="N266" s="11"/>
      <c r="O266" s="10"/>
      <c r="P266" s="11"/>
      <c r="Q266" s="10"/>
      <c r="R266" s="11"/>
      <c r="S266" s="10"/>
      <c r="T266" s="11"/>
      <c r="U266" s="10"/>
      <c r="V266" s="11"/>
      <c r="W266" s="10"/>
      <c r="X266" s="11"/>
      <c r="Y266" s="10"/>
      <c r="Z266" s="11"/>
      <c r="AA266" s="10"/>
      <c r="AB266" s="11"/>
      <c r="AC266" s="10"/>
      <c r="AD266" s="11"/>
      <c r="AE266" s="10"/>
      <c r="AF266" s="11"/>
      <c r="AG266" s="11"/>
      <c r="AH266" s="11"/>
      <c r="AI266" s="10"/>
      <c r="AJ266" s="10"/>
    </row>
    <row r="267" customFormat="false" ht="39.55" hidden="false" customHeight="false" outlineLevel="0" collapsed="false">
      <c r="A267" s="7" t="n">
        <v>265</v>
      </c>
      <c r="B267" s="7" t="str">
        <f aca="false">IF(I267="Y",IF(COUNTIF(I$3:I267,"Y")&lt;=20,"pilot",IF(COUNTIF(I$3:I267,"Y")&lt;=40,"dev",IF(COUNTIF(I$3:I267,"Y")&lt;=200,"test","extra"))),"")</f>
        <v/>
      </c>
      <c r="C267" s="7" t="str">
        <f aca="false">IF(I267="Y",IF(COUNTA(K267,M267,O267,Q267,S267,U267,W267,Y267,AA267,AC267,AE267)=11,"done","in progress"),IF(I267="N","excluded",""))</f>
        <v/>
      </c>
      <c r="D267" s="7" t="s">
        <v>732</v>
      </c>
      <c r="E267" s="8" t="s">
        <v>96</v>
      </c>
      <c r="F267" s="9" t="s">
        <v>733</v>
      </c>
      <c r="G267" s="7" t="s">
        <v>500</v>
      </c>
      <c r="H267" s="7"/>
      <c r="I267" s="10"/>
      <c r="J267" s="10"/>
      <c r="K267" s="10"/>
      <c r="L267" s="11"/>
      <c r="M267" s="10"/>
      <c r="N267" s="11"/>
      <c r="O267" s="10"/>
      <c r="P267" s="11"/>
      <c r="Q267" s="10"/>
      <c r="R267" s="11"/>
      <c r="S267" s="10"/>
      <c r="T267" s="11"/>
      <c r="U267" s="10"/>
      <c r="V267" s="11"/>
      <c r="W267" s="10"/>
      <c r="X267" s="11"/>
      <c r="Y267" s="10"/>
      <c r="Z267" s="11"/>
      <c r="AA267" s="10"/>
      <c r="AB267" s="11"/>
      <c r="AC267" s="10"/>
      <c r="AD267" s="11"/>
      <c r="AE267" s="10"/>
      <c r="AF267" s="11"/>
      <c r="AG267" s="11"/>
      <c r="AH267" s="11"/>
      <c r="AI267" s="10"/>
      <c r="AJ267" s="10"/>
    </row>
    <row r="268" customFormat="false" ht="26.85" hidden="false" customHeight="false" outlineLevel="0" collapsed="false">
      <c r="A268" s="7" t="n">
        <v>266</v>
      </c>
      <c r="B268" s="7" t="str">
        <f aca="false">IF(I268="Y",IF(COUNTIF(I$3:I268,"Y")&lt;=20,"pilot",IF(COUNTIF(I$3:I268,"Y")&lt;=40,"dev",IF(COUNTIF(I$3:I268,"Y")&lt;=200,"test","extra"))),"")</f>
        <v/>
      </c>
      <c r="C268" s="7" t="str">
        <f aca="false">IF(I268="Y",IF(COUNTA(K268,M268,O268,Q268,S268,U268,W268,Y268,AA268,AC268,AE268)=11,"done","in progress"),IF(I268="N","excluded",""))</f>
        <v/>
      </c>
      <c r="D268" s="7" t="s">
        <v>734</v>
      </c>
      <c r="E268" s="8" t="s">
        <v>96</v>
      </c>
      <c r="F268" s="9" t="s">
        <v>735</v>
      </c>
      <c r="G268" s="7" t="s">
        <v>125</v>
      </c>
      <c r="H268" s="7"/>
      <c r="I268" s="10"/>
      <c r="J268" s="10"/>
      <c r="K268" s="10"/>
      <c r="L268" s="11"/>
      <c r="M268" s="10"/>
      <c r="N268" s="11"/>
      <c r="O268" s="10"/>
      <c r="P268" s="11"/>
      <c r="Q268" s="10"/>
      <c r="R268" s="11"/>
      <c r="S268" s="10"/>
      <c r="T268" s="11"/>
      <c r="U268" s="10"/>
      <c r="V268" s="11"/>
      <c r="W268" s="10"/>
      <c r="X268" s="11"/>
      <c r="Y268" s="10"/>
      <c r="Z268" s="11"/>
      <c r="AA268" s="10"/>
      <c r="AB268" s="11"/>
      <c r="AC268" s="10"/>
      <c r="AD268" s="11"/>
      <c r="AE268" s="10"/>
      <c r="AF268" s="11"/>
      <c r="AG268" s="11"/>
      <c r="AH268" s="11"/>
      <c r="AI268" s="10"/>
      <c r="AJ268" s="10"/>
    </row>
    <row r="269" customFormat="false" ht="26.85" hidden="false" customHeight="false" outlineLevel="0" collapsed="false">
      <c r="A269" s="7" t="n">
        <v>267</v>
      </c>
      <c r="B269" s="7" t="str">
        <f aca="false">IF(I269="Y",IF(COUNTIF(I$3:I269,"Y")&lt;=20,"pilot",IF(COUNTIF(I$3:I269,"Y")&lt;=40,"dev",IF(COUNTIF(I$3:I269,"Y")&lt;=200,"test","extra"))),"")</f>
        <v/>
      </c>
      <c r="C269" s="7" t="str">
        <f aca="false">IF(I269="Y",IF(COUNTA(K269,M269,O269,Q269,S269,U269,W269,Y269,AA269,AC269,AE269)=11,"done","in progress"),IF(I269="N","excluded",""))</f>
        <v/>
      </c>
      <c r="D269" s="7" t="s">
        <v>736</v>
      </c>
      <c r="E269" s="8" t="s">
        <v>96</v>
      </c>
      <c r="F269" s="9" t="s">
        <v>737</v>
      </c>
      <c r="G269" s="7" t="s">
        <v>296</v>
      </c>
      <c r="H269" s="7"/>
      <c r="I269" s="10"/>
      <c r="J269" s="10"/>
      <c r="K269" s="10"/>
      <c r="L269" s="11"/>
      <c r="M269" s="10"/>
      <c r="N269" s="11"/>
      <c r="O269" s="10"/>
      <c r="P269" s="11"/>
      <c r="Q269" s="10"/>
      <c r="R269" s="11"/>
      <c r="S269" s="10"/>
      <c r="T269" s="11"/>
      <c r="U269" s="10"/>
      <c r="V269" s="11"/>
      <c r="W269" s="10"/>
      <c r="X269" s="11"/>
      <c r="Y269" s="10"/>
      <c r="Z269" s="11"/>
      <c r="AA269" s="10"/>
      <c r="AB269" s="11"/>
      <c r="AC269" s="10"/>
      <c r="AD269" s="11"/>
      <c r="AE269" s="10"/>
      <c r="AF269" s="11"/>
      <c r="AG269" s="11"/>
      <c r="AH269" s="11"/>
      <c r="AI269" s="10"/>
      <c r="AJ269" s="10"/>
    </row>
    <row r="270" customFormat="false" ht="39.55" hidden="false" customHeight="false" outlineLevel="0" collapsed="false">
      <c r="A270" s="7" t="n">
        <v>268</v>
      </c>
      <c r="B270" s="7" t="str">
        <f aca="false">IF(I270="Y",IF(COUNTIF(I$3:I270,"Y")&lt;=20,"pilot",IF(COUNTIF(I$3:I270,"Y")&lt;=40,"dev",IF(COUNTIF(I$3:I270,"Y")&lt;=200,"test","extra"))),"")</f>
        <v/>
      </c>
      <c r="C270" s="7" t="str">
        <f aca="false">IF(I270="Y",IF(COUNTA(K270,M270,O270,Q270,S270,U270,W270,Y270,AA270,AC270,AE270)=11,"done","in progress"),IF(I270="N","excluded",""))</f>
        <v/>
      </c>
      <c r="D270" s="7" t="s">
        <v>738</v>
      </c>
      <c r="E270" s="8" t="s">
        <v>96</v>
      </c>
      <c r="F270" s="9" t="s">
        <v>739</v>
      </c>
      <c r="G270" s="7" t="s">
        <v>143</v>
      </c>
      <c r="H270" s="7"/>
      <c r="I270" s="10"/>
      <c r="J270" s="10"/>
      <c r="K270" s="10"/>
      <c r="L270" s="11"/>
      <c r="M270" s="10"/>
      <c r="N270" s="11"/>
      <c r="O270" s="10"/>
      <c r="P270" s="11"/>
      <c r="Q270" s="10"/>
      <c r="R270" s="11"/>
      <c r="S270" s="10"/>
      <c r="T270" s="11"/>
      <c r="U270" s="10"/>
      <c r="V270" s="11"/>
      <c r="W270" s="10"/>
      <c r="X270" s="11"/>
      <c r="Y270" s="10"/>
      <c r="Z270" s="11"/>
      <c r="AA270" s="10"/>
      <c r="AB270" s="11"/>
      <c r="AC270" s="10"/>
      <c r="AD270" s="11"/>
      <c r="AE270" s="10"/>
      <c r="AF270" s="11"/>
      <c r="AG270" s="11"/>
      <c r="AH270" s="11"/>
      <c r="AI270" s="10"/>
      <c r="AJ270" s="10"/>
    </row>
    <row r="271" customFormat="false" ht="26.85" hidden="false" customHeight="false" outlineLevel="0" collapsed="false">
      <c r="A271" s="7" t="n">
        <v>269</v>
      </c>
      <c r="B271" s="7" t="str">
        <f aca="false">IF(I271="Y",IF(COUNTIF(I$3:I271,"Y")&lt;=20,"pilot",IF(COUNTIF(I$3:I271,"Y")&lt;=40,"dev",IF(COUNTIF(I$3:I271,"Y")&lt;=200,"test","extra"))),"")</f>
        <v/>
      </c>
      <c r="C271" s="7" t="str">
        <f aca="false">IF(I271="Y",IF(COUNTA(K271,M271,O271,Q271,S271,U271,W271,Y271,AA271,AC271,AE271)=11,"done","in progress"),IF(I271="N","excluded",""))</f>
        <v/>
      </c>
      <c r="D271" s="7" t="s">
        <v>740</v>
      </c>
      <c r="E271" s="8" t="s">
        <v>96</v>
      </c>
      <c r="F271" s="9" t="s">
        <v>741</v>
      </c>
      <c r="G271" s="7" t="s">
        <v>742</v>
      </c>
      <c r="H271" s="7"/>
      <c r="I271" s="10"/>
      <c r="J271" s="10"/>
      <c r="K271" s="10"/>
      <c r="L271" s="11"/>
      <c r="M271" s="10"/>
      <c r="N271" s="11"/>
      <c r="O271" s="10"/>
      <c r="P271" s="11"/>
      <c r="Q271" s="10"/>
      <c r="R271" s="11"/>
      <c r="S271" s="10"/>
      <c r="T271" s="11"/>
      <c r="U271" s="10"/>
      <c r="V271" s="11"/>
      <c r="W271" s="10"/>
      <c r="X271" s="11"/>
      <c r="Y271" s="10"/>
      <c r="Z271" s="11"/>
      <c r="AA271" s="10"/>
      <c r="AB271" s="11"/>
      <c r="AC271" s="10"/>
      <c r="AD271" s="11"/>
      <c r="AE271" s="10"/>
      <c r="AF271" s="11"/>
      <c r="AG271" s="11"/>
      <c r="AH271" s="11"/>
      <c r="AI271" s="10"/>
      <c r="AJ271" s="10"/>
    </row>
    <row r="272" customFormat="false" ht="39.55" hidden="false" customHeight="false" outlineLevel="0" collapsed="false">
      <c r="A272" s="7" t="n">
        <v>270</v>
      </c>
      <c r="B272" s="7" t="str">
        <f aca="false">IF(I272="Y",IF(COUNTIF(I$3:I272,"Y")&lt;=20,"pilot",IF(COUNTIF(I$3:I272,"Y")&lt;=40,"dev",IF(COUNTIF(I$3:I272,"Y")&lt;=200,"test","extra"))),"")</f>
        <v/>
      </c>
      <c r="C272" s="7" t="str">
        <f aca="false">IF(I272="Y",IF(COUNTA(K272,M272,O272,Q272,S272,U272,W272,Y272,AA272,AC272,AE272)=11,"done","in progress"),IF(I272="N","excluded",""))</f>
        <v/>
      </c>
      <c r="D272" s="7" t="s">
        <v>743</v>
      </c>
      <c r="E272" s="8" t="s">
        <v>96</v>
      </c>
      <c r="F272" s="9" t="s">
        <v>744</v>
      </c>
      <c r="G272" s="7" t="s">
        <v>444</v>
      </c>
      <c r="H272" s="7"/>
      <c r="I272" s="10"/>
      <c r="J272" s="10"/>
      <c r="K272" s="10"/>
      <c r="L272" s="11"/>
      <c r="M272" s="10"/>
      <c r="N272" s="11"/>
      <c r="O272" s="10"/>
      <c r="P272" s="11"/>
      <c r="Q272" s="10"/>
      <c r="R272" s="11"/>
      <c r="S272" s="10"/>
      <c r="T272" s="11"/>
      <c r="U272" s="10"/>
      <c r="V272" s="11"/>
      <c r="W272" s="10"/>
      <c r="X272" s="11"/>
      <c r="Y272" s="10"/>
      <c r="Z272" s="11"/>
      <c r="AA272" s="10"/>
      <c r="AB272" s="11"/>
      <c r="AC272" s="10"/>
      <c r="AD272" s="11"/>
      <c r="AE272" s="10"/>
      <c r="AF272" s="11"/>
      <c r="AG272" s="11"/>
      <c r="AH272" s="11"/>
      <c r="AI272" s="10"/>
      <c r="AJ272" s="10"/>
    </row>
    <row r="273" customFormat="false" ht="39.55" hidden="false" customHeight="false" outlineLevel="0" collapsed="false">
      <c r="A273" s="7" t="n">
        <v>271</v>
      </c>
      <c r="B273" s="7" t="str">
        <f aca="false">IF(I273="Y",IF(COUNTIF(I$3:I273,"Y")&lt;=20,"pilot",IF(COUNTIF(I$3:I273,"Y")&lt;=40,"dev",IF(COUNTIF(I$3:I273,"Y")&lt;=200,"test","extra"))),"")</f>
        <v/>
      </c>
      <c r="C273" s="7" t="str">
        <f aca="false">IF(I273="Y",IF(COUNTA(K273,M273,O273,Q273,S273,U273,W273,Y273,AA273,AC273,AE273)=11,"done","in progress"),IF(I273="N","excluded",""))</f>
        <v/>
      </c>
      <c r="D273" s="7" t="s">
        <v>745</v>
      </c>
      <c r="E273" s="8" t="s">
        <v>96</v>
      </c>
      <c r="F273" s="9" t="s">
        <v>746</v>
      </c>
      <c r="G273" s="7" t="s">
        <v>747</v>
      </c>
      <c r="H273" s="7"/>
      <c r="I273" s="10"/>
      <c r="J273" s="10"/>
      <c r="K273" s="10"/>
      <c r="L273" s="11"/>
      <c r="M273" s="10"/>
      <c r="N273" s="11"/>
      <c r="O273" s="10"/>
      <c r="P273" s="11"/>
      <c r="Q273" s="10"/>
      <c r="R273" s="11"/>
      <c r="S273" s="10"/>
      <c r="T273" s="11"/>
      <c r="U273" s="10"/>
      <c r="V273" s="11"/>
      <c r="W273" s="10"/>
      <c r="X273" s="11"/>
      <c r="Y273" s="10"/>
      <c r="Z273" s="11"/>
      <c r="AA273" s="10"/>
      <c r="AB273" s="11"/>
      <c r="AC273" s="10"/>
      <c r="AD273" s="11"/>
      <c r="AE273" s="10"/>
      <c r="AF273" s="11"/>
      <c r="AG273" s="11"/>
      <c r="AH273" s="11"/>
      <c r="AI273" s="10"/>
      <c r="AJ273" s="10"/>
    </row>
    <row r="274" customFormat="false" ht="39.55" hidden="false" customHeight="false" outlineLevel="0" collapsed="false">
      <c r="A274" s="7" t="n">
        <v>272</v>
      </c>
      <c r="B274" s="7" t="str">
        <f aca="false">IF(I274="Y",IF(COUNTIF(I$3:I274,"Y")&lt;=20,"pilot",IF(COUNTIF(I$3:I274,"Y")&lt;=40,"dev",IF(COUNTIF(I$3:I274,"Y")&lt;=200,"test","extra"))),"")</f>
        <v/>
      </c>
      <c r="C274" s="7" t="str">
        <f aca="false">IF(I274="Y",IF(COUNTA(K274,M274,O274,Q274,S274,U274,W274,Y274,AA274,AC274,AE274)=11,"done","in progress"),IF(I274="N","excluded",""))</f>
        <v/>
      </c>
      <c r="D274" s="7" t="s">
        <v>748</v>
      </c>
      <c r="E274" s="8" t="s">
        <v>96</v>
      </c>
      <c r="F274" s="9" t="s">
        <v>749</v>
      </c>
      <c r="G274" s="7" t="s">
        <v>98</v>
      </c>
      <c r="H274" s="7"/>
      <c r="I274" s="10"/>
      <c r="J274" s="10"/>
      <c r="K274" s="10"/>
      <c r="L274" s="11"/>
      <c r="M274" s="10"/>
      <c r="N274" s="11"/>
      <c r="O274" s="10"/>
      <c r="P274" s="11"/>
      <c r="Q274" s="10"/>
      <c r="R274" s="11"/>
      <c r="S274" s="10"/>
      <c r="T274" s="11"/>
      <c r="U274" s="10"/>
      <c r="V274" s="11"/>
      <c r="W274" s="10"/>
      <c r="X274" s="11"/>
      <c r="Y274" s="10"/>
      <c r="Z274" s="11"/>
      <c r="AA274" s="10"/>
      <c r="AB274" s="11"/>
      <c r="AC274" s="10"/>
      <c r="AD274" s="11"/>
      <c r="AE274" s="10"/>
      <c r="AF274" s="11"/>
      <c r="AG274" s="11"/>
      <c r="AH274" s="11"/>
      <c r="AI274" s="10"/>
      <c r="AJ274" s="10"/>
    </row>
    <row r="275" customFormat="false" ht="39.55" hidden="false" customHeight="false" outlineLevel="0" collapsed="false">
      <c r="A275" s="7" t="n">
        <v>273</v>
      </c>
      <c r="B275" s="7" t="str">
        <f aca="false">IF(I275="Y",IF(COUNTIF(I$3:I275,"Y")&lt;=20,"pilot",IF(COUNTIF(I$3:I275,"Y")&lt;=40,"dev",IF(COUNTIF(I$3:I275,"Y")&lt;=200,"test","extra"))),"")</f>
        <v/>
      </c>
      <c r="C275" s="7" t="str">
        <f aca="false">IF(I275="Y",IF(COUNTA(K275,M275,O275,Q275,S275,U275,W275,Y275,AA275,AC275,AE275)=11,"done","in progress"),IF(I275="N","excluded",""))</f>
        <v/>
      </c>
      <c r="D275" s="7" t="s">
        <v>750</v>
      </c>
      <c r="E275" s="8" t="s">
        <v>96</v>
      </c>
      <c r="F275" s="9" t="s">
        <v>751</v>
      </c>
      <c r="G275" s="7" t="s">
        <v>212</v>
      </c>
      <c r="H275" s="7" t="s">
        <v>752</v>
      </c>
      <c r="I275" s="10"/>
      <c r="J275" s="10"/>
      <c r="K275" s="10"/>
      <c r="L275" s="11"/>
      <c r="M275" s="10"/>
      <c r="N275" s="11"/>
      <c r="O275" s="10"/>
      <c r="P275" s="11"/>
      <c r="Q275" s="10"/>
      <c r="R275" s="11"/>
      <c r="S275" s="10"/>
      <c r="T275" s="11"/>
      <c r="U275" s="10"/>
      <c r="V275" s="11"/>
      <c r="W275" s="10"/>
      <c r="X275" s="11"/>
      <c r="Y275" s="10"/>
      <c r="Z275" s="11"/>
      <c r="AA275" s="10"/>
      <c r="AB275" s="11"/>
      <c r="AC275" s="10"/>
      <c r="AD275" s="11"/>
      <c r="AE275" s="10"/>
      <c r="AF275" s="11"/>
      <c r="AG275" s="11"/>
      <c r="AH275" s="11"/>
      <c r="AI275" s="10"/>
      <c r="AJ275" s="10"/>
    </row>
    <row r="276" customFormat="false" ht="39.55" hidden="false" customHeight="false" outlineLevel="0" collapsed="false">
      <c r="A276" s="7" t="n">
        <v>274</v>
      </c>
      <c r="B276" s="7" t="str">
        <f aca="false">IF(I276="Y",IF(COUNTIF(I$3:I276,"Y")&lt;=20,"pilot",IF(COUNTIF(I$3:I276,"Y")&lt;=40,"dev",IF(COUNTIF(I$3:I276,"Y")&lt;=200,"test","extra"))),"")</f>
        <v/>
      </c>
      <c r="C276" s="7" t="str">
        <f aca="false">IF(I276="Y",IF(COUNTA(K276,M276,O276,Q276,S276,U276,W276,Y276,AA276,AC276,AE276)=11,"done","in progress"),IF(I276="N","excluded",""))</f>
        <v/>
      </c>
      <c r="D276" s="7" t="s">
        <v>753</v>
      </c>
      <c r="E276" s="8" t="s">
        <v>96</v>
      </c>
      <c r="F276" s="9" t="s">
        <v>754</v>
      </c>
      <c r="G276" s="7" t="s">
        <v>370</v>
      </c>
      <c r="H276" s="7"/>
      <c r="I276" s="10"/>
      <c r="J276" s="10"/>
      <c r="K276" s="10"/>
      <c r="L276" s="11"/>
      <c r="M276" s="10"/>
      <c r="N276" s="11"/>
      <c r="O276" s="10"/>
      <c r="P276" s="11"/>
      <c r="Q276" s="10"/>
      <c r="R276" s="11"/>
      <c r="S276" s="10"/>
      <c r="T276" s="11"/>
      <c r="U276" s="10"/>
      <c r="V276" s="11"/>
      <c r="W276" s="10"/>
      <c r="X276" s="11"/>
      <c r="Y276" s="10"/>
      <c r="Z276" s="11"/>
      <c r="AA276" s="10"/>
      <c r="AB276" s="11"/>
      <c r="AC276" s="10"/>
      <c r="AD276" s="11"/>
      <c r="AE276" s="10"/>
      <c r="AF276" s="11"/>
      <c r="AG276" s="11"/>
      <c r="AH276" s="11"/>
      <c r="AI276" s="10"/>
      <c r="AJ276" s="10"/>
    </row>
    <row r="277" customFormat="false" ht="26.85" hidden="false" customHeight="false" outlineLevel="0" collapsed="false">
      <c r="A277" s="7" t="n">
        <v>275</v>
      </c>
      <c r="B277" s="7" t="str">
        <f aca="false">IF(I277="Y",IF(COUNTIF(I$3:I277,"Y")&lt;=20,"pilot",IF(COUNTIF(I$3:I277,"Y")&lt;=40,"dev",IF(COUNTIF(I$3:I277,"Y")&lt;=200,"test","extra"))),"")</f>
        <v/>
      </c>
      <c r="C277" s="7" t="str">
        <f aca="false">IF(I277="Y",IF(COUNTA(K277,M277,O277,Q277,S277,U277,W277,Y277,AA277,AC277,AE277)=11,"done","in progress"),IF(I277="N","excluded",""))</f>
        <v/>
      </c>
      <c r="D277" s="7" t="s">
        <v>755</v>
      </c>
      <c r="E277" s="8" t="s">
        <v>96</v>
      </c>
      <c r="F277" s="9" t="s">
        <v>756</v>
      </c>
      <c r="G277" s="7" t="s">
        <v>176</v>
      </c>
      <c r="H277" s="7"/>
      <c r="I277" s="10"/>
      <c r="J277" s="10"/>
      <c r="K277" s="10"/>
      <c r="L277" s="11"/>
      <c r="M277" s="10"/>
      <c r="N277" s="11"/>
      <c r="O277" s="10"/>
      <c r="P277" s="11"/>
      <c r="Q277" s="10"/>
      <c r="R277" s="11"/>
      <c r="S277" s="10"/>
      <c r="T277" s="11"/>
      <c r="U277" s="10"/>
      <c r="V277" s="11"/>
      <c r="W277" s="10"/>
      <c r="X277" s="11"/>
      <c r="Y277" s="10"/>
      <c r="Z277" s="11"/>
      <c r="AA277" s="10"/>
      <c r="AB277" s="11"/>
      <c r="AC277" s="10"/>
      <c r="AD277" s="11"/>
      <c r="AE277" s="10"/>
      <c r="AF277" s="11"/>
      <c r="AG277" s="11"/>
      <c r="AH277" s="11"/>
      <c r="AI277" s="10"/>
      <c r="AJ277" s="10"/>
    </row>
    <row r="278" customFormat="false" ht="39.55" hidden="false" customHeight="false" outlineLevel="0" collapsed="false">
      <c r="A278" s="7" t="n">
        <v>276</v>
      </c>
      <c r="B278" s="7" t="str">
        <f aca="false">IF(I278="Y",IF(COUNTIF(I$3:I278,"Y")&lt;=20,"pilot",IF(COUNTIF(I$3:I278,"Y")&lt;=40,"dev",IF(COUNTIF(I$3:I278,"Y")&lt;=200,"test","extra"))),"")</f>
        <v/>
      </c>
      <c r="C278" s="7" t="str">
        <f aca="false">IF(I278="Y",IF(COUNTA(K278,M278,O278,Q278,S278,U278,W278,Y278,AA278,AC278,AE278)=11,"done","in progress"),IF(I278="N","excluded",""))</f>
        <v/>
      </c>
      <c r="D278" s="7" t="s">
        <v>757</v>
      </c>
      <c r="E278" s="8" t="s">
        <v>96</v>
      </c>
      <c r="F278" s="9" t="s">
        <v>758</v>
      </c>
      <c r="G278" s="7" t="s">
        <v>125</v>
      </c>
      <c r="H278" s="7"/>
      <c r="I278" s="10"/>
      <c r="J278" s="10"/>
      <c r="K278" s="10"/>
      <c r="L278" s="11"/>
      <c r="M278" s="10"/>
      <c r="N278" s="11"/>
      <c r="O278" s="10"/>
      <c r="P278" s="11"/>
      <c r="Q278" s="10"/>
      <c r="R278" s="11"/>
      <c r="S278" s="10"/>
      <c r="T278" s="11"/>
      <c r="U278" s="10"/>
      <c r="V278" s="11"/>
      <c r="W278" s="10"/>
      <c r="X278" s="11"/>
      <c r="Y278" s="10"/>
      <c r="Z278" s="11"/>
      <c r="AA278" s="10"/>
      <c r="AB278" s="11"/>
      <c r="AC278" s="10"/>
      <c r="AD278" s="11"/>
      <c r="AE278" s="10"/>
      <c r="AF278" s="11"/>
      <c r="AG278" s="11"/>
      <c r="AH278" s="11"/>
      <c r="AI278" s="10"/>
      <c r="AJ278" s="10"/>
    </row>
    <row r="279" customFormat="false" ht="39.55" hidden="false" customHeight="false" outlineLevel="0" collapsed="false">
      <c r="A279" s="7" t="n">
        <v>277</v>
      </c>
      <c r="B279" s="7" t="str">
        <f aca="false">IF(I279="Y",IF(COUNTIF(I$3:I279,"Y")&lt;=20,"pilot",IF(COUNTIF(I$3:I279,"Y")&lt;=40,"dev",IF(COUNTIF(I$3:I279,"Y")&lt;=200,"test","extra"))),"")</f>
        <v/>
      </c>
      <c r="C279" s="7" t="str">
        <f aca="false">IF(I279="Y",IF(COUNTA(K279,M279,O279,Q279,S279,U279,W279,Y279,AA279,AC279,AE279)=11,"done","in progress"),IF(I279="N","excluded",""))</f>
        <v/>
      </c>
      <c r="D279" s="7" t="s">
        <v>759</v>
      </c>
      <c r="E279" s="8" t="s">
        <v>96</v>
      </c>
      <c r="F279" s="9" t="s">
        <v>760</v>
      </c>
      <c r="G279" s="7" t="s">
        <v>302</v>
      </c>
      <c r="H279" s="7"/>
      <c r="I279" s="10"/>
      <c r="J279" s="10"/>
      <c r="K279" s="10"/>
      <c r="L279" s="11"/>
      <c r="M279" s="10"/>
      <c r="N279" s="11"/>
      <c r="O279" s="10"/>
      <c r="P279" s="11"/>
      <c r="Q279" s="10"/>
      <c r="R279" s="11"/>
      <c r="S279" s="10"/>
      <c r="T279" s="11"/>
      <c r="U279" s="10"/>
      <c r="V279" s="11"/>
      <c r="W279" s="10"/>
      <c r="X279" s="11"/>
      <c r="Y279" s="10"/>
      <c r="Z279" s="11"/>
      <c r="AA279" s="10"/>
      <c r="AB279" s="11"/>
      <c r="AC279" s="10"/>
      <c r="AD279" s="11"/>
      <c r="AE279" s="10"/>
      <c r="AF279" s="11"/>
      <c r="AG279" s="11"/>
      <c r="AH279" s="11"/>
      <c r="AI279" s="10"/>
      <c r="AJ279" s="10"/>
    </row>
    <row r="280" customFormat="false" ht="39.55" hidden="false" customHeight="false" outlineLevel="0" collapsed="false">
      <c r="A280" s="7" t="n">
        <v>278</v>
      </c>
      <c r="B280" s="7" t="str">
        <f aca="false">IF(I280="Y",IF(COUNTIF(I$3:I280,"Y")&lt;=20,"pilot",IF(COUNTIF(I$3:I280,"Y")&lt;=40,"dev",IF(COUNTIF(I$3:I280,"Y")&lt;=200,"test","extra"))),"")</f>
        <v/>
      </c>
      <c r="C280" s="7" t="str">
        <f aca="false">IF(I280="Y",IF(COUNTA(K280,M280,O280,Q280,S280,U280,W280,Y280,AA280,AC280,AE280)=11,"done","in progress"),IF(I280="N","excluded",""))</f>
        <v/>
      </c>
      <c r="D280" s="7" t="s">
        <v>761</v>
      </c>
      <c r="E280" s="8" t="s">
        <v>96</v>
      </c>
      <c r="F280" s="9" t="s">
        <v>762</v>
      </c>
      <c r="G280" s="7" t="s">
        <v>747</v>
      </c>
      <c r="H280" s="7"/>
      <c r="I280" s="10"/>
      <c r="J280" s="10"/>
      <c r="K280" s="10"/>
      <c r="L280" s="11"/>
      <c r="M280" s="10"/>
      <c r="N280" s="11"/>
      <c r="O280" s="10"/>
      <c r="P280" s="11"/>
      <c r="Q280" s="10"/>
      <c r="R280" s="11"/>
      <c r="S280" s="10"/>
      <c r="T280" s="11"/>
      <c r="U280" s="10"/>
      <c r="V280" s="11"/>
      <c r="W280" s="10"/>
      <c r="X280" s="11"/>
      <c r="Y280" s="10"/>
      <c r="Z280" s="11"/>
      <c r="AA280" s="10"/>
      <c r="AB280" s="11"/>
      <c r="AC280" s="10"/>
      <c r="AD280" s="11"/>
      <c r="AE280" s="10"/>
      <c r="AF280" s="11"/>
      <c r="AG280" s="11"/>
      <c r="AH280" s="11"/>
      <c r="AI280" s="10"/>
      <c r="AJ280" s="10"/>
    </row>
    <row r="281" customFormat="false" ht="39.55" hidden="false" customHeight="false" outlineLevel="0" collapsed="false">
      <c r="A281" s="7" t="n">
        <v>279</v>
      </c>
      <c r="B281" s="7" t="str">
        <f aca="false">IF(I281="Y",IF(COUNTIF(I$3:I281,"Y")&lt;=20,"pilot",IF(COUNTIF(I$3:I281,"Y")&lt;=40,"dev",IF(COUNTIF(I$3:I281,"Y")&lt;=200,"test","extra"))),"")</f>
        <v/>
      </c>
      <c r="C281" s="7" t="str">
        <f aca="false">IF(I281="Y",IF(COUNTA(K281,M281,O281,Q281,S281,U281,W281,Y281,AA281,AC281,AE281)=11,"done","in progress"),IF(I281="N","excluded",""))</f>
        <v/>
      </c>
      <c r="D281" s="7" t="s">
        <v>763</v>
      </c>
      <c r="E281" s="8" t="s">
        <v>96</v>
      </c>
      <c r="F281" s="9" t="s">
        <v>764</v>
      </c>
      <c r="G281" s="7" t="s">
        <v>171</v>
      </c>
      <c r="H281" s="7"/>
      <c r="I281" s="10"/>
      <c r="J281" s="10"/>
      <c r="K281" s="10"/>
      <c r="L281" s="11"/>
      <c r="M281" s="10"/>
      <c r="N281" s="11"/>
      <c r="O281" s="10"/>
      <c r="P281" s="11"/>
      <c r="Q281" s="10"/>
      <c r="R281" s="11"/>
      <c r="S281" s="10"/>
      <c r="T281" s="11"/>
      <c r="U281" s="10"/>
      <c r="V281" s="11"/>
      <c r="W281" s="10"/>
      <c r="X281" s="11"/>
      <c r="Y281" s="10"/>
      <c r="Z281" s="11"/>
      <c r="AA281" s="10"/>
      <c r="AB281" s="11"/>
      <c r="AC281" s="10"/>
      <c r="AD281" s="11"/>
      <c r="AE281" s="10"/>
      <c r="AF281" s="11"/>
      <c r="AG281" s="11"/>
      <c r="AH281" s="11"/>
      <c r="AI281" s="10"/>
      <c r="AJ281" s="10"/>
    </row>
    <row r="282" customFormat="false" ht="39.55" hidden="false" customHeight="false" outlineLevel="0" collapsed="false">
      <c r="A282" s="7" t="n">
        <v>280</v>
      </c>
      <c r="B282" s="7" t="str">
        <f aca="false">IF(I282="Y",IF(COUNTIF(I$3:I282,"Y")&lt;=20,"pilot",IF(COUNTIF(I$3:I282,"Y")&lt;=40,"dev",IF(COUNTIF(I$3:I282,"Y")&lt;=200,"test","extra"))),"")</f>
        <v/>
      </c>
      <c r="C282" s="7" t="str">
        <f aca="false">IF(I282="Y",IF(COUNTA(K282,M282,O282,Q282,S282,U282,W282,Y282,AA282,AC282,AE282)=11,"done","in progress"),IF(I282="N","excluded",""))</f>
        <v/>
      </c>
      <c r="D282" s="7" t="s">
        <v>765</v>
      </c>
      <c r="E282" s="8" t="s">
        <v>96</v>
      </c>
      <c r="F282" s="9" t="s">
        <v>766</v>
      </c>
      <c r="G282" s="7" t="s">
        <v>625</v>
      </c>
      <c r="H282" s="7"/>
      <c r="I282" s="10"/>
      <c r="J282" s="10"/>
      <c r="K282" s="10"/>
      <c r="L282" s="11"/>
      <c r="M282" s="10"/>
      <c r="N282" s="11"/>
      <c r="O282" s="10"/>
      <c r="P282" s="11"/>
      <c r="Q282" s="10"/>
      <c r="R282" s="11"/>
      <c r="S282" s="10"/>
      <c r="T282" s="11"/>
      <c r="U282" s="10"/>
      <c r="V282" s="11"/>
      <c r="W282" s="10"/>
      <c r="X282" s="11"/>
      <c r="Y282" s="10"/>
      <c r="Z282" s="11"/>
      <c r="AA282" s="10"/>
      <c r="AB282" s="11"/>
      <c r="AC282" s="10"/>
      <c r="AD282" s="11"/>
      <c r="AE282" s="10"/>
      <c r="AF282" s="11"/>
      <c r="AG282" s="11"/>
      <c r="AH282" s="11"/>
      <c r="AI282" s="10"/>
      <c r="AJ282" s="10"/>
    </row>
    <row r="283" customFormat="false" ht="39.55" hidden="false" customHeight="false" outlineLevel="0" collapsed="false">
      <c r="A283" s="7" t="n">
        <v>281</v>
      </c>
      <c r="B283" s="7" t="str">
        <f aca="false">IF(I283="Y",IF(COUNTIF(I$3:I283,"Y")&lt;=20,"pilot",IF(COUNTIF(I$3:I283,"Y")&lt;=40,"dev",IF(COUNTIF(I$3:I283,"Y")&lt;=200,"test","extra"))),"")</f>
        <v/>
      </c>
      <c r="C283" s="7" t="str">
        <f aca="false">IF(I283="Y",IF(COUNTA(K283,M283,O283,Q283,S283,U283,W283,Y283,AA283,AC283,AE283)=11,"done","in progress"),IF(I283="N","excluded",""))</f>
        <v/>
      </c>
      <c r="D283" s="7" t="s">
        <v>767</v>
      </c>
      <c r="E283" s="8" t="s">
        <v>96</v>
      </c>
      <c r="F283" s="9" t="s">
        <v>768</v>
      </c>
      <c r="G283" s="7" t="s">
        <v>138</v>
      </c>
      <c r="H283" s="7"/>
      <c r="I283" s="10"/>
      <c r="J283" s="10"/>
      <c r="K283" s="10"/>
      <c r="L283" s="11"/>
      <c r="M283" s="10"/>
      <c r="N283" s="11"/>
      <c r="O283" s="10"/>
      <c r="P283" s="11"/>
      <c r="Q283" s="10"/>
      <c r="R283" s="11"/>
      <c r="S283" s="10"/>
      <c r="T283" s="11"/>
      <c r="U283" s="10"/>
      <c r="V283" s="11"/>
      <c r="W283" s="10"/>
      <c r="X283" s="11"/>
      <c r="Y283" s="10"/>
      <c r="Z283" s="11"/>
      <c r="AA283" s="10"/>
      <c r="AB283" s="11"/>
      <c r="AC283" s="10"/>
      <c r="AD283" s="11"/>
      <c r="AE283" s="10"/>
      <c r="AF283" s="11"/>
      <c r="AG283" s="11"/>
      <c r="AH283" s="11"/>
      <c r="AI283" s="10"/>
      <c r="AJ283" s="10"/>
    </row>
    <row r="284" customFormat="false" ht="39.55" hidden="false" customHeight="false" outlineLevel="0" collapsed="false">
      <c r="A284" s="7" t="n">
        <v>282</v>
      </c>
      <c r="B284" s="7" t="str">
        <f aca="false">IF(I284="Y",IF(COUNTIF(I$3:I284,"Y")&lt;=20,"pilot",IF(COUNTIF(I$3:I284,"Y")&lt;=40,"dev",IF(COUNTIF(I$3:I284,"Y")&lt;=200,"test","extra"))),"")</f>
        <v/>
      </c>
      <c r="C284" s="7" t="str">
        <f aca="false">IF(I284="Y",IF(COUNTA(K284,M284,O284,Q284,S284,U284,W284,Y284,AA284,AC284,AE284)=11,"done","in progress"),IF(I284="N","excluded",""))</f>
        <v/>
      </c>
      <c r="D284" s="7" t="s">
        <v>769</v>
      </c>
      <c r="E284" s="8" t="s">
        <v>96</v>
      </c>
      <c r="F284" s="9" t="s">
        <v>770</v>
      </c>
      <c r="G284" s="7" t="s">
        <v>771</v>
      </c>
      <c r="H284" s="7"/>
      <c r="I284" s="10"/>
      <c r="J284" s="10"/>
      <c r="K284" s="10"/>
      <c r="L284" s="11"/>
      <c r="M284" s="10"/>
      <c r="N284" s="11"/>
      <c r="O284" s="10"/>
      <c r="P284" s="11"/>
      <c r="Q284" s="10"/>
      <c r="R284" s="11"/>
      <c r="S284" s="10"/>
      <c r="T284" s="11"/>
      <c r="U284" s="10"/>
      <c r="V284" s="11"/>
      <c r="W284" s="10"/>
      <c r="X284" s="11"/>
      <c r="Y284" s="10"/>
      <c r="Z284" s="11"/>
      <c r="AA284" s="10"/>
      <c r="AB284" s="11"/>
      <c r="AC284" s="10"/>
      <c r="AD284" s="11"/>
      <c r="AE284" s="10"/>
      <c r="AF284" s="11"/>
      <c r="AG284" s="11"/>
      <c r="AH284" s="11"/>
      <c r="AI284" s="10"/>
      <c r="AJ284" s="10"/>
    </row>
    <row r="285" customFormat="false" ht="39.55" hidden="false" customHeight="false" outlineLevel="0" collapsed="false">
      <c r="A285" s="7" t="n">
        <v>283</v>
      </c>
      <c r="B285" s="7" t="str">
        <f aca="false">IF(I285="Y",IF(COUNTIF(I$3:I285,"Y")&lt;=20,"pilot",IF(COUNTIF(I$3:I285,"Y")&lt;=40,"dev",IF(COUNTIF(I$3:I285,"Y")&lt;=200,"test","extra"))),"")</f>
        <v/>
      </c>
      <c r="C285" s="7" t="str">
        <f aca="false">IF(I285="Y",IF(COUNTA(K285,M285,O285,Q285,S285,U285,W285,Y285,AA285,AC285,AE285)=11,"done","in progress"),IF(I285="N","excluded",""))</f>
        <v/>
      </c>
      <c r="D285" s="7" t="s">
        <v>772</v>
      </c>
      <c r="E285" s="8" t="s">
        <v>96</v>
      </c>
      <c r="F285" s="9" t="s">
        <v>773</v>
      </c>
      <c r="G285" s="7" t="s">
        <v>238</v>
      </c>
      <c r="H285" s="7"/>
      <c r="I285" s="10"/>
      <c r="J285" s="10"/>
      <c r="K285" s="10"/>
      <c r="L285" s="11"/>
      <c r="M285" s="10"/>
      <c r="N285" s="11"/>
      <c r="O285" s="10"/>
      <c r="P285" s="11"/>
      <c r="Q285" s="10"/>
      <c r="R285" s="11"/>
      <c r="S285" s="10"/>
      <c r="T285" s="11"/>
      <c r="U285" s="10"/>
      <c r="V285" s="11"/>
      <c r="W285" s="10"/>
      <c r="X285" s="11"/>
      <c r="Y285" s="10"/>
      <c r="Z285" s="11"/>
      <c r="AA285" s="10"/>
      <c r="AB285" s="11"/>
      <c r="AC285" s="10"/>
      <c r="AD285" s="11"/>
      <c r="AE285" s="10"/>
      <c r="AF285" s="11"/>
      <c r="AG285" s="11"/>
      <c r="AH285" s="11"/>
      <c r="AI285" s="10"/>
      <c r="AJ285" s="10"/>
    </row>
    <row r="286" customFormat="false" ht="39.55" hidden="false" customHeight="false" outlineLevel="0" collapsed="false">
      <c r="A286" s="7" t="n">
        <v>284</v>
      </c>
      <c r="B286" s="7" t="str">
        <f aca="false">IF(I286="Y",IF(COUNTIF(I$3:I286,"Y")&lt;=20,"pilot",IF(COUNTIF(I$3:I286,"Y")&lt;=40,"dev",IF(COUNTIF(I$3:I286,"Y")&lt;=200,"test","extra"))),"")</f>
        <v/>
      </c>
      <c r="C286" s="7" t="str">
        <f aca="false">IF(I286="Y",IF(COUNTA(K286,M286,O286,Q286,S286,U286,W286,Y286,AA286,AC286,AE286)=11,"done","in progress"),IF(I286="N","excluded",""))</f>
        <v/>
      </c>
      <c r="D286" s="7" t="s">
        <v>774</v>
      </c>
      <c r="E286" s="8" t="s">
        <v>96</v>
      </c>
      <c r="F286" s="9" t="s">
        <v>775</v>
      </c>
      <c r="G286" s="7" t="s">
        <v>104</v>
      </c>
      <c r="H286" s="7"/>
      <c r="I286" s="10"/>
      <c r="J286" s="10"/>
      <c r="K286" s="10"/>
      <c r="L286" s="11"/>
      <c r="M286" s="10"/>
      <c r="N286" s="11"/>
      <c r="O286" s="10"/>
      <c r="P286" s="11"/>
      <c r="Q286" s="10"/>
      <c r="R286" s="11"/>
      <c r="S286" s="10"/>
      <c r="T286" s="11"/>
      <c r="U286" s="10"/>
      <c r="V286" s="11"/>
      <c r="W286" s="10"/>
      <c r="X286" s="11"/>
      <c r="Y286" s="10"/>
      <c r="Z286" s="11"/>
      <c r="AA286" s="10"/>
      <c r="AB286" s="11"/>
      <c r="AC286" s="10"/>
      <c r="AD286" s="11"/>
      <c r="AE286" s="10"/>
      <c r="AF286" s="11"/>
      <c r="AG286" s="11"/>
      <c r="AH286" s="11"/>
      <c r="AI286" s="10"/>
      <c r="AJ286" s="10"/>
    </row>
    <row r="287" customFormat="false" ht="39.55" hidden="false" customHeight="false" outlineLevel="0" collapsed="false">
      <c r="A287" s="7" t="n">
        <v>285</v>
      </c>
      <c r="B287" s="7" t="str">
        <f aca="false">IF(I287="Y",IF(COUNTIF(I$3:I287,"Y")&lt;=20,"pilot",IF(COUNTIF(I$3:I287,"Y")&lt;=40,"dev",IF(COUNTIF(I$3:I287,"Y")&lt;=200,"test","extra"))),"")</f>
        <v/>
      </c>
      <c r="C287" s="7" t="str">
        <f aca="false">IF(I287="Y",IF(COUNTA(K287,M287,O287,Q287,S287,U287,W287,Y287,AA287,AC287,AE287)=11,"done","in progress"),IF(I287="N","excluded",""))</f>
        <v/>
      </c>
      <c r="D287" s="7" t="s">
        <v>776</v>
      </c>
      <c r="E287" s="8" t="s">
        <v>96</v>
      </c>
      <c r="F287" s="9" t="s">
        <v>777</v>
      </c>
      <c r="G287" s="7" t="s">
        <v>251</v>
      </c>
      <c r="H287" s="7"/>
      <c r="I287" s="10"/>
      <c r="J287" s="10"/>
      <c r="K287" s="10"/>
      <c r="L287" s="11"/>
      <c r="M287" s="10"/>
      <c r="N287" s="11"/>
      <c r="O287" s="10"/>
      <c r="P287" s="11"/>
      <c r="Q287" s="10"/>
      <c r="R287" s="11"/>
      <c r="S287" s="10"/>
      <c r="T287" s="11"/>
      <c r="U287" s="10"/>
      <c r="V287" s="11"/>
      <c r="W287" s="10"/>
      <c r="X287" s="11"/>
      <c r="Y287" s="10"/>
      <c r="Z287" s="11"/>
      <c r="AA287" s="10"/>
      <c r="AB287" s="11"/>
      <c r="AC287" s="10"/>
      <c r="AD287" s="11"/>
      <c r="AE287" s="10"/>
      <c r="AF287" s="11"/>
      <c r="AG287" s="11"/>
      <c r="AH287" s="11"/>
      <c r="AI287" s="10"/>
      <c r="AJ287" s="10"/>
    </row>
    <row r="288" customFormat="false" ht="26.85" hidden="false" customHeight="false" outlineLevel="0" collapsed="false">
      <c r="A288" s="7" t="n">
        <v>286</v>
      </c>
      <c r="B288" s="7" t="str">
        <f aca="false">IF(I288="Y",IF(COUNTIF(I$3:I288,"Y")&lt;=20,"pilot",IF(COUNTIF(I$3:I288,"Y")&lt;=40,"dev",IF(COUNTIF(I$3:I288,"Y")&lt;=200,"test","extra"))),"")</f>
        <v/>
      </c>
      <c r="C288" s="7" t="str">
        <f aca="false">IF(I288="Y",IF(COUNTA(K288,M288,O288,Q288,S288,U288,W288,Y288,AA288,AC288,AE288)=11,"done","in progress"),IF(I288="N","excluded",""))</f>
        <v/>
      </c>
      <c r="D288" s="7" t="s">
        <v>778</v>
      </c>
      <c r="E288" s="8" t="s">
        <v>96</v>
      </c>
      <c r="F288" s="9" t="s">
        <v>779</v>
      </c>
      <c r="G288" s="7" t="s">
        <v>125</v>
      </c>
      <c r="H288" s="7"/>
      <c r="I288" s="10"/>
      <c r="J288" s="10"/>
      <c r="K288" s="10"/>
      <c r="L288" s="11"/>
      <c r="M288" s="10"/>
      <c r="N288" s="11"/>
      <c r="O288" s="10"/>
      <c r="P288" s="11"/>
      <c r="Q288" s="10"/>
      <c r="R288" s="11"/>
      <c r="S288" s="10"/>
      <c r="T288" s="11"/>
      <c r="U288" s="10"/>
      <c r="V288" s="11"/>
      <c r="W288" s="10"/>
      <c r="X288" s="11"/>
      <c r="Y288" s="10"/>
      <c r="Z288" s="11"/>
      <c r="AA288" s="10"/>
      <c r="AB288" s="11"/>
      <c r="AC288" s="10"/>
      <c r="AD288" s="11"/>
      <c r="AE288" s="10"/>
      <c r="AF288" s="11"/>
      <c r="AG288" s="11"/>
      <c r="AH288" s="11"/>
      <c r="AI288" s="10"/>
      <c r="AJ288" s="10"/>
    </row>
    <row r="289" customFormat="false" ht="39.55" hidden="false" customHeight="false" outlineLevel="0" collapsed="false">
      <c r="A289" s="7" t="n">
        <v>287</v>
      </c>
      <c r="B289" s="7" t="str">
        <f aca="false">IF(I289="Y",IF(COUNTIF(I$3:I289,"Y")&lt;=20,"pilot",IF(COUNTIF(I$3:I289,"Y")&lt;=40,"dev",IF(COUNTIF(I$3:I289,"Y")&lt;=200,"test","extra"))),"")</f>
        <v/>
      </c>
      <c r="C289" s="7" t="str">
        <f aca="false">IF(I289="Y",IF(COUNTA(K289,M289,O289,Q289,S289,U289,W289,Y289,AA289,AC289,AE289)=11,"done","in progress"),IF(I289="N","excluded",""))</f>
        <v/>
      </c>
      <c r="D289" s="7" t="s">
        <v>780</v>
      </c>
      <c r="E289" s="8" t="s">
        <v>96</v>
      </c>
      <c r="F289" s="9" t="s">
        <v>781</v>
      </c>
      <c r="G289" s="7" t="s">
        <v>116</v>
      </c>
      <c r="H289" s="7"/>
      <c r="I289" s="10"/>
      <c r="J289" s="10"/>
      <c r="K289" s="10"/>
      <c r="L289" s="11"/>
      <c r="M289" s="10"/>
      <c r="N289" s="11"/>
      <c r="O289" s="10"/>
      <c r="P289" s="11"/>
      <c r="Q289" s="10"/>
      <c r="R289" s="11"/>
      <c r="S289" s="10"/>
      <c r="T289" s="11"/>
      <c r="U289" s="10"/>
      <c r="V289" s="11"/>
      <c r="W289" s="10"/>
      <c r="X289" s="11"/>
      <c r="Y289" s="10"/>
      <c r="Z289" s="11"/>
      <c r="AA289" s="10"/>
      <c r="AB289" s="11"/>
      <c r="AC289" s="10"/>
      <c r="AD289" s="11"/>
      <c r="AE289" s="10"/>
      <c r="AF289" s="11"/>
      <c r="AG289" s="11"/>
      <c r="AH289" s="11"/>
      <c r="AI289" s="10"/>
      <c r="AJ289" s="10"/>
    </row>
    <row r="290" customFormat="false" ht="26.85" hidden="false" customHeight="false" outlineLevel="0" collapsed="false">
      <c r="A290" s="7" t="n">
        <v>288</v>
      </c>
      <c r="B290" s="7" t="str">
        <f aca="false">IF(I290="Y",IF(COUNTIF(I$3:I290,"Y")&lt;=20,"pilot",IF(COUNTIF(I$3:I290,"Y")&lt;=40,"dev",IF(COUNTIF(I$3:I290,"Y")&lt;=200,"test","extra"))),"")</f>
        <v/>
      </c>
      <c r="C290" s="7" t="str">
        <f aca="false">IF(I290="Y",IF(COUNTA(K290,M290,O290,Q290,S290,U290,W290,Y290,AA290,AC290,AE290)=11,"done","in progress"),IF(I290="N","excluded",""))</f>
        <v/>
      </c>
      <c r="D290" s="7" t="s">
        <v>782</v>
      </c>
      <c r="E290" s="8" t="s">
        <v>96</v>
      </c>
      <c r="F290" s="9" t="s">
        <v>783</v>
      </c>
      <c r="G290" s="7" t="s">
        <v>148</v>
      </c>
      <c r="H290" s="7"/>
      <c r="I290" s="10"/>
      <c r="J290" s="10"/>
      <c r="K290" s="10"/>
      <c r="L290" s="11"/>
      <c r="M290" s="10"/>
      <c r="N290" s="11"/>
      <c r="O290" s="10"/>
      <c r="P290" s="11"/>
      <c r="Q290" s="10"/>
      <c r="R290" s="11"/>
      <c r="S290" s="10"/>
      <c r="T290" s="11"/>
      <c r="U290" s="10"/>
      <c r="V290" s="11"/>
      <c r="W290" s="10"/>
      <c r="X290" s="11"/>
      <c r="Y290" s="10"/>
      <c r="Z290" s="11"/>
      <c r="AA290" s="10"/>
      <c r="AB290" s="11"/>
      <c r="AC290" s="10"/>
      <c r="AD290" s="11"/>
      <c r="AE290" s="10"/>
      <c r="AF290" s="11"/>
      <c r="AG290" s="11"/>
      <c r="AH290" s="11"/>
      <c r="AI290" s="10"/>
      <c r="AJ290" s="10"/>
    </row>
    <row r="291" customFormat="false" ht="39.55" hidden="false" customHeight="false" outlineLevel="0" collapsed="false">
      <c r="A291" s="7" t="n">
        <v>289</v>
      </c>
      <c r="B291" s="7" t="str">
        <f aca="false">IF(I291="Y",IF(COUNTIF(I$3:I291,"Y")&lt;=20,"pilot",IF(COUNTIF(I$3:I291,"Y")&lt;=40,"dev",IF(COUNTIF(I$3:I291,"Y")&lt;=200,"test","extra"))),"")</f>
        <v/>
      </c>
      <c r="C291" s="7" t="str">
        <f aca="false">IF(I291="Y",IF(COUNTA(K291,M291,O291,Q291,S291,U291,W291,Y291,AA291,AC291,AE291)=11,"done","in progress"),IF(I291="N","excluded",""))</f>
        <v/>
      </c>
      <c r="D291" s="7" t="s">
        <v>784</v>
      </c>
      <c r="E291" s="8" t="s">
        <v>96</v>
      </c>
      <c r="F291" s="9" t="s">
        <v>785</v>
      </c>
      <c r="G291" s="7" t="s">
        <v>138</v>
      </c>
      <c r="H291" s="7"/>
      <c r="I291" s="10"/>
      <c r="J291" s="10"/>
      <c r="K291" s="10"/>
      <c r="L291" s="11"/>
      <c r="M291" s="10"/>
      <c r="N291" s="11"/>
      <c r="O291" s="10"/>
      <c r="P291" s="11"/>
      <c r="Q291" s="10"/>
      <c r="R291" s="11"/>
      <c r="S291" s="10"/>
      <c r="T291" s="11"/>
      <c r="U291" s="10"/>
      <c r="V291" s="11"/>
      <c r="W291" s="10"/>
      <c r="X291" s="11"/>
      <c r="Y291" s="10"/>
      <c r="Z291" s="11"/>
      <c r="AA291" s="10"/>
      <c r="AB291" s="11"/>
      <c r="AC291" s="10"/>
      <c r="AD291" s="11"/>
      <c r="AE291" s="10"/>
      <c r="AF291" s="11"/>
      <c r="AG291" s="11"/>
      <c r="AH291" s="11"/>
      <c r="AI291" s="10"/>
      <c r="AJ291" s="10"/>
    </row>
    <row r="292" customFormat="false" ht="26.85" hidden="false" customHeight="false" outlineLevel="0" collapsed="false">
      <c r="A292" s="7" t="n">
        <v>290</v>
      </c>
      <c r="B292" s="7" t="str">
        <f aca="false">IF(I292="Y",IF(COUNTIF(I$3:I292,"Y")&lt;=20,"pilot",IF(COUNTIF(I$3:I292,"Y")&lt;=40,"dev",IF(COUNTIF(I$3:I292,"Y")&lt;=200,"test","extra"))),"")</f>
        <v/>
      </c>
      <c r="C292" s="7" t="str">
        <f aca="false">IF(I292="Y",IF(COUNTA(K292,M292,O292,Q292,S292,U292,W292,Y292,AA292,AC292,AE292)=11,"done","in progress"),IF(I292="N","excluded",""))</f>
        <v/>
      </c>
      <c r="D292" s="7" t="s">
        <v>786</v>
      </c>
      <c r="E292" s="8" t="s">
        <v>96</v>
      </c>
      <c r="F292" s="9" t="s">
        <v>787</v>
      </c>
      <c r="G292" s="7" t="s">
        <v>788</v>
      </c>
      <c r="H292" s="7"/>
      <c r="I292" s="10"/>
      <c r="J292" s="10"/>
      <c r="K292" s="10"/>
      <c r="L292" s="11"/>
      <c r="M292" s="10"/>
      <c r="N292" s="11"/>
      <c r="O292" s="10"/>
      <c r="P292" s="11"/>
      <c r="Q292" s="10"/>
      <c r="R292" s="11"/>
      <c r="S292" s="10"/>
      <c r="T292" s="11"/>
      <c r="U292" s="10"/>
      <c r="V292" s="11"/>
      <c r="W292" s="10"/>
      <c r="X292" s="11"/>
      <c r="Y292" s="10"/>
      <c r="Z292" s="11"/>
      <c r="AA292" s="10"/>
      <c r="AB292" s="11"/>
      <c r="AC292" s="10"/>
      <c r="AD292" s="11"/>
      <c r="AE292" s="10"/>
      <c r="AF292" s="11"/>
      <c r="AG292" s="11"/>
      <c r="AH292" s="11"/>
      <c r="AI292" s="10"/>
      <c r="AJ292" s="10"/>
    </row>
    <row r="293" customFormat="false" ht="39.55" hidden="false" customHeight="false" outlineLevel="0" collapsed="false">
      <c r="A293" s="7" t="n">
        <v>291</v>
      </c>
      <c r="B293" s="7" t="str">
        <f aca="false">IF(I293="Y",IF(COUNTIF(I$3:I293,"Y")&lt;=20,"pilot",IF(COUNTIF(I$3:I293,"Y")&lt;=40,"dev",IF(COUNTIF(I$3:I293,"Y")&lt;=200,"test","extra"))),"")</f>
        <v/>
      </c>
      <c r="C293" s="7" t="str">
        <f aca="false">IF(I293="Y",IF(COUNTA(K293,M293,O293,Q293,S293,U293,W293,Y293,AA293,AC293,AE293)=11,"done","in progress"),IF(I293="N","excluded",""))</f>
        <v/>
      </c>
      <c r="D293" s="7" t="s">
        <v>789</v>
      </c>
      <c r="E293" s="8" t="s">
        <v>96</v>
      </c>
      <c r="F293" s="9" t="s">
        <v>790</v>
      </c>
      <c r="G293" s="7" t="s">
        <v>138</v>
      </c>
      <c r="H293" s="7"/>
      <c r="I293" s="10"/>
      <c r="J293" s="10"/>
      <c r="K293" s="10"/>
      <c r="L293" s="11"/>
      <c r="M293" s="10"/>
      <c r="N293" s="11"/>
      <c r="O293" s="10"/>
      <c r="P293" s="11"/>
      <c r="Q293" s="10"/>
      <c r="R293" s="11"/>
      <c r="S293" s="10"/>
      <c r="T293" s="11"/>
      <c r="U293" s="10"/>
      <c r="V293" s="11"/>
      <c r="W293" s="10"/>
      <c r="X293" s="11"/>
      <c r="Y293" s="10"/>
      <c r="Z293" s="11"/>
      <c r="AA293" s="10"/>
      <c r="AB293" s="11"/>
      <c r="AC293" s="10"/>
      <c r="AD293" s="11"/>
      <c r="AE293" s="10"/>
      <c r="AF293" s="11"/>
      <c r="AG293" s="11"/>
      <c r="AH293" s="11"/>
      <c r="AI293" s="10"/>
      <c r="AJ293" s="10"/>
    </row>
    <row r="294" customFormat="false" ht="39.55" hidden="false" customHeight="false" outlineLevel="0" collapsed="false">
      <c r="A294" s="7" t="n">
        <v>292</v>
      </c>
      <c r="B294" s="7" t="str">
        <f aca="false">IF(I294="Y",IF(COUNTIF(I$3:I294,"Y")&lt;=20,"pilot",IF(COUNTIF(I$3:I294,"Y")&lt;=40,"dev",IF(COUNTIF(I$3:I294,"Y")&lt;=200,"test","extra"))),"")</f>
        <v/>
      </c>
      <c r="C294" s="7" t="str">
        <f aca="false">IF(I294="Y",IF(COUNTA(K294,M294,O294,Q294,S294,U294,W294,Y294,AA294,AC294,AE294)=11,"done","in progress"),IF(I294="N","excluded",""))</f>
        <v/>
      </c>
      <c r="D294" s="7" t="s">
        <v>791</v>
      </c>
      <c r="E294" s="8" t="s">
        <v>96</v>
      </c>
      <c r="F294" s="9" t="s">
        <v>792</v>
      </c>
      <c r="G294" s="7" t="s">
        <v>98</v>
      </c>
      <c r="H294" s="7"/>
      <c r="I294" s="10"/>
      <c r="J294" s="10"/>
      <c r="K294" s="10"/>
      <c r="L294" s="11"/>
      <c r="M294" s="10"/>
      <c r="N294" s="11"/>
      <c r="O294" s="10"/>
      <c r="P294" s="11"/>
      <c r="Q294" s="10"/>
      <c r="R294" s="11"/>
      <c r="S294" s="10"/>
      <c r="T294" s="11"/>
      <c r="U294" s="10"/>
      <c r="V294" s="11"/>
      <c r="W294" s="10"/>
      <c r="X294" s="11"/>
      <c r="Y294" s="10"/>
      <c r="Z294" s="11"/>
      <c r="AA294" s="10"/>
      <c r="AB294" s="11"/>
      <c r="AC294" s="10"/>
      <c r="AD294" s="11"/>
      <c r="AE294" s="10"/>
      <c r="AF294" s="11"/>
      <c r="AG294" s="11"/>
      <c r="AH294" s="11"/>
      <c r="AI294" s="10"/>
      <c r="AJ294" s="10"/>
    </row>
    <row r="295" customFormat="false" ht="39.55" hidden="false" customHeight="false" outlineLevel="0" collapsed="false">
      <c r="A295" s="7" t="n">
        <v>293</v>
      </c>
      <c r="B295" s="7" t="str">
        <f aca="false">IF(I295="Y",IF(COUNTIF(I$3:I295,"Y")&lt;=20,"pilot",IF(COUNTIF(I$3:I295,"Y")&lt;=40,"dev",IF(COUNTIF(I$3:I295,"Y")&lt;=200,"test","extra"))),"")</f>
        <v/>
      </c>
      <c r="C295" s="7" t="str">
        <f aca="false">IF(I295="Y",IF(COUNTA(K295,M295,O295,Q295,S295,U295,W295,Y295,AA295,AC295,AE295)=11,"done","in progress"),IF(I295="N","excluded",""))</f>
        <v/>
      </c>
      <c r="D295" s="7" t="s">
        <v>793</v>
      </c>
      <c r="E295" s="8" t="s">
        <v>96</v>
      </c>
      <c r="F295" s="9" t="s">
        <v>794</v>
      </c>
      <c r="G295" s="7" t="s">
        <v>133</v>
      </c>
      <c r="H295" s="7"/>
      <c r="I295" s="10"/>
      <c r="J295" s="10"/>
      <c r="K295" s="10"/>
      <c r="L295" s="11"/>
      <c r="M295" s="10"/>
      <c r="N295" s="11"/>
      <c r="O295" s="10"/>
      <c r="P295" s="11"/>
      <c r="Q295" s="10"/>
      <c r="R295" s="11"/>
      <c r="S295" s="10"/>
      <c r="T295" s="11"/>
      <c r="U295" s="10"/>
      <c r="V295" s="11"/>
      <c r="W295" s="10"/>
      <c r="X295" s="11"/>
      <c r="Y295" s="10"/>
      <c r="Z295" s="11"/>
      <c r="AA295" s="10"/>
      <c r="AB295" s="11"/>
      <c r="AC295" s="10"/>
      <c r="AD295" s="11"/>
      <c r="AE295" s="10"/>
      <c r="AF295" s="11"/>
      <c r="AG295" s="11"/>
      <c r="AH295" s="11"/>
      <c r="AI295" s="10"/>
      <c r="AJ295" s="10"/>
    </row>
    <row r="296" customFormat="false" ht="52.2" hidden="false" customHeight="false" outlineLevel="0" collapsed="false">
      <c r="A296" s="7" t="n">
        <v>294</v>
      </c>
      <c r="B296" s="7" t="str">
        <f aca="false">IF(I296="Y",IF(COUNTIF(I$3:I296,"Y")&lt;=20,"pilot",IF(COUNTIF(I$3:I296,"Y")&lt;=40,"dev",IF(COUNTIF(I$3:I296,"Y")&lt;=200,"test","extra"))),"")</f>
        <v/>
      </c>
      <c r="C296" s="7" t="str">
        <f aca="false">IF(I296="Y",IF(COUNTA(K296,M296,O296,Q296,S296,U296,W296,Y296,AA296,AC296,AE296)=11,"done","in progress"),IF(I296="N","excluded",""))</f>
        <v/>
      </c>
      <c r="D296" s="7" t="s">
        <v>795</v>
      </c>
      <c r="E296" s="8" t="s">
        <v>96</v>
      </c>
      <c r="F296" s="9" t="s">
        <v>796</v>
      </c>
      <c r="G296" s="7" t="s">
        <v>125</v>
      </c>
      <c r="H296" s="7"/>
      <c r="I296" s="10"/>
      <c r="J296" s="10"/>
      <c r="K296" s="10"/>
      <c r="L296" s="11"/>
      <c r="M296" s="10"/>
      <c r="N296" s="11"/>
      <c r="O296" s="10"/>
      <c r="P296" s="11"/>
      <c r="Q296" s="10"/>
      <c r="R296" s="11"/>
      <c r="S296" s="10"/>
      <c r="T296" s="11"/>
      <c r="U296" s="10"/>
      <c r="V296" s="11"/>
      <c r="W296" s="10"/>
      <c r="X296" s="11"/>
      <c r="Y296" s="10"/>
      <c r="Z296" s="11"/>
      <c r="AA296" s="10"/>
      <c r="AB296" s="11"/>
      <c r="AC296" s="10"/>
      <c r="AD296" s="11"/>
      <c r="AE296" s="10"/>
      <c r="AF296" s="11"/>
      <c r="AG296" s="11"/>
      <c r="AH296" s="11"/>
      <c r="AI296" s="10"/>
      <c r="AJ296" s="10"/>
    </row>
    <row r="297" customFormat="false" ht="39.55" hidden="false" customHeight="false" outlineLevel="0" collapsed="false">
      <c r="A297" s="7" t="n">
        <v>295</v>
      </c>
      <c r="B297" s="7" t="str">
        <f aca="false">IF(I297="Y",IF(COUNTIF(I$3:I297,"Y")&lt;=20,"pilot",IF(COUNTIF(I$3:I297,"Y")&lt;=40,"dev",IF(COUNTIF(I$3:I297,"Y")&lt;=200,"test","extra"))),"")</f>
        <v/>
      </c>
      <c r="C297" s="7" t="str">
        <f aca="false">IF(I297="Y",IF(COUNTA(K297,M297,O297,Q297,S297,U297,W297,Y297,AA297,AC297,AE297)=11,"done","in progress"),IF(I297="N","excluded",""))</f>
        <v/>
      </c>
      <c r="D297" s="7" t="s">
        <v>797</v>
      </c>
      <c r="E297" s="8" t="s">
        <v>96</v>
      </c>
      <c r="F297" s="9" t="s">
        <v>798</v>
      </c>
      <c r="G297" s="7" t="s">
        <v>799</v>
      </c>
      <c r="H297" s="7"/>
      <c r="I297" s="10"/>
      <c r="J297" s="10"/>
      <c r="K297" s="10"/>
      <c r="L297" s="11"/>
      <c r="M297" s="10"/>
      <c r="N297" s="11"/>
      <c r="O297" s="10"/>
      <c r="P297" s="11"/>
      <c r="Q297" s="10"/>
      <c r="R297" s="11"/>
      <c r="S297" s="10"/>
      <c r="T297" s="11"/>
      <c r="U297" s="10"/>
      <c r="V297" s="11"/>
      <c r="W297" s="10"/>
      <c r="X297" s="11"/>
      <c r="Y297" s="10"/>
      <c r="Z297" s="11"/>
      <c r="AA297" s="10"/>
      <c r="AB297" s="11"/>
      <c r="AC297" s="10"/>
      <c r="AD297" s="11"/>
      <c r="AE297" s="10"/>
      <c r="AF297" s="11"/>
      <c r="AG297" s="11"/>
      <c r="AH297" s="11"/>
      <c r="AI297" s="10"/>
      <c r="AJ297" s="10"/>
    </row>
    <row r="298" customFormat="false" ht="39.55" hidden="false" customHeight="false" outlineLevel="0" collapsed="false">
      <c r="A298" s="7" t="n">
        <v>296</v>
      </c>
      <c r="B298" s="7" t="str">
        <f aca="false">IF(I298="Y",IF(COUNTIF(I$3:I298,"Y")&lt;=20,"pilot",IF(COUNTIF(I$3:I298,"Y")&lt;=40,"dev",IF(COUNTIF(I$3:I298,"Y")&lt;=200,"test","extra"))),"")</f>
        <v/>
      </c>
      <c r="C298" s="7" t="str">
        <f aca="false">IF(I298="Y",IF(COUNTA(K298,M298,O298,Q298,S298,U298,W298,Y298,AA298,AC298,AE298)=11,"done","in progress"),IF(I298="N","excluded",""))</f>
        <v/>
      </c>
      <c r="D298" s="7" t="s">
        <v>800</v>
      </c>
      <c r="E298" s="8" t="s">
        <v>96</v>
      </c>
      <c r="F298" s="9" t="s">
        <v>801</v>
      </c>
      <c r="G298" s="7" t="s">
        <v>98</v>
      </c>
      <c r="H298" s="7"/>
      <c r="I298" s="10"/>
      <c r="J298" s="10"/>
      <c r="K298" s="10"/>
      <c r="L298" s="11"/>
      <c r="M298" s="10"/>
      <c r="N298" s="11"/>
      <c r="O298" s="10"/>
      <c r="P298" s="11"/>
      <c r="Q298" s="10"/>
      <c r="R298" s="11"/>
      <c r="S298" s="10"/>
      <c r="T298" s="11"/>
      <c r="U298" s="10"/>
      <c r="V298" s="11"/>
      <c r="W298" s="10"/>
      <c r="X298" s="11"/>
      <c r="Y298" s="10"/>
      <c r="Z298" s="11"/>
      <c r="AA298" s="10"/>
      <c r="AB298" s="11"/>
      <c r="AC298" s="10"/>
      <c r="AD298" s="11"/>
      <c r="AE298" s="10"/>
      <c r="AF298" s="11"/>
      <c r="AG298" s="11"/>
      <c r="AH298" s="11"/>
      <c r="AI298" s="10"/>
      <c r="AJ298" s="10"/>
    </row>
    <row r="299" customFormat="false" ht="39.55" hidden="false" customHeight="false" outlineLevel="0" collapsed="false">
      <c r="A299" s="7" t="n">
        <v>297</v>
      </c>
      <c r="B299" s="7" t="str">
        <f aca="false">IF(I299="Y",IF(COUNTIF(I$3:I299,"Y")&lt;=20,"pilot",IF(COUNTIF(I$3:I299,"Y")&lt;=40,"dev",IF(COUNTIF(I$3:I299,"Y")&lt;=200,"test","extra"))),"")</f>
        <v/>
      </c>
      <c r="C299" s="7" t="str">
        <f aca="false">IF(I299="Y",IF(COUNTA(K299,M299,O299,Q299,S299,U299,W299,Y299,AA299,AC299,AE299)=11,"done","in progress"),IF(I299="N","excluded",""))</f>
        <v/>
      </c>
      <c r="D299" s="7" t="s">
        <v>802</v>
      </c>
      <c r="E299" s="8" t="s">
        <v>96</v>
      </c>
      <c r="F299" s="9" t="s">
        <v>803</v>
      </c>
      <c r="G299" s="7" t="s">
        <v>462</v>
      </c>
      <c r="H299" s="7"/>
      <c r="I299" s="10"/>
      <c r="J299" s="10"/>
      <c r="K299" s="10"/>
      <c r="L299" s="11"/>
      <c r="M299" s="10"/>
      <c r="N299" s="11"/>
      <c r="O299" s="10"/>
      <c r="P299" s="11"/>
      <c r="Q299" s="10"/>
      <c r="R299" s="11"/>
      <c r="S299" s="10"/>
      <c r="T299" s="11"/>
      <c r="U299" s="10"/>
      <c r="V299" s="11"/>
      <c r="W299" s="10"/>
      <c r="X299" s="11"/>
      <c r="Y299" s="10"/>
      <c r="Z299" s="11"/>
      <c r="AA299" s="10"/>
      <c r="AB299" s="11"/>
      <c r="AC299" s="10"/>
      <c r="AD299" s="11"/>
      <c r="AE299" s="10"/>
      <c r="AF299" s="11"/>
      <c r="AG299" s="11"/>
      <c r="AH299" s="11"/>
      <c r="AI299" s="10"/>
      <c r="AJ299" s="10"/>
    </row>
    <row r="300" customFormat="false" ht="39.55" hidden="false" customHeight="false" outlineLevel="0" collapsed="false">
      <c r="A300" s="7" t="n">
        <v>298</v>
      </c>
      <c r="B300" s="7" t="str">
        <f aca="false">IF(I300="Y",IF(COUNTIF(I$3:I300,"Y")&lt;=20,"pilot",IF(COUNTIF(I$3:I300,"Y")&lt;=40,"dev",IF(COUNTIF(I$3:I300,"Y")&lt;=200,"test","extra"))),"")</f>
        <v/>
      </c>
      <c r="C300" s="7" t="str">
        <f aca="false">IF(I300="Y",IF(COUNTA(K300,M300,O300,Q300,S300,U300,W300,Y300,AA300,AC300,AE300)=11,"done","in progress"),IF(I300="N","excluded",""))</f>
        <v/>
      </c>
      <c r="D300" s="7" t="s">
        <v>804</v>
      </c>
      <c r="E300" s="8" t="s">
        <v>96</v>
      </c>
      <c r="F300" s="9" t="s">
        <v>805</v>
      </c>
      <c r="G300" s="7" t="s">
        <v>133</v>
      </c>
      <c r="H300" s="7"/>
      <c r="I300" s="10"/>
      <c r="J300" s="10"/>
      <c r="K300" s="10"/>
      <c r="L300" s="11"/>
      <c r="M300" s="10"/>
      <c r="N300" s="11"/>
      <c r="O300" s="10"/>
      <c r="P300" s="11"/>
      <c r="Q300" s="10"/>
      <c r="R300" s="11"/>
      <c r="S300" s="10"/>
      <c r="T300" s="11"/>
      <c r="U300" s="10"/>
      <c r="V300" s="11"/>
      <c r="W300" s="10"/>
      <c r="X300" s="11"/>
      <c r="Y300" s="10"/>
      <c r="Z300" s="11"/>
      <c r="AA300" s="10"/>
      <c r="AB300" s="11"/>
      <c r="AC300" s="10"/>
      <c r="AD300" s="11"/>
      <c r="AE300" s="10"/>
      <c r="AF300" s="11"/>
      <c r="AG300" s="11"/>
      <c r="AH300" s="11"/>
      <c r="AI300" s="10"/>
      <c r="AJ300" s="10"/>
    </row>
    <row r="301" customFormat="false" ht="26.85" hidden="false" customHeight="false" outlineLevel="0" collapsed="false">
      <c r="A301" s="7" t="n">
        <v>299</v>
      </c>
      <c r="B301" s="7" t="str">
        <f aca="false">IF(I301="Y",IF(COUNTIF(I$3:I301,"Y")&lt;=20,"pilot",IF(COUNTIF(I$3:I301,"Y")&lt;=40,"dev",IF(COUNTIF(I$3:I301,"Y")&lt;=200,"test","extra"))),"")</f>
        <v/>
      </c>
      <c r="C301" s="7" t="str">
        <f aca="false">IF(I301="Y",IF(COUNTA(K301,M301,O301,Q301,S301,U301,W301,Y301,AA301,AC301,AE301)=11,"done","in progress"),IF(I301="N","excluded",""))</f>
        <v/>
      </c>
      <c r="D301" s="7" t="s">
        <v>806</v>
      </c>
      <c r="E301" s="8" t="s">
        <v>96</v>
      </c>
      <c r="F301" s="9" t="s">
        <v>807</v>
      </c>
      <c r="G301" s="7" t="s">
        <v>116</v>
      </c>
      <c r="H301" s="7"/>
      <c r="I301" s="10"/>
      <c r="J301" s="10"/>
      <c r="K301" s="10"/>
      <c r="L301" s="11"/>
      <c r="M301" s="10"/>
      <c r="N301" s="11"/>
      <c r="O301" s="10"/>
      <c r="P301" s="11"/>
      <c r="Q301" s="10"/>
      <c r="R301" s="11"/>
      <c r="S301" s="10"/>
      <c r="T301" s="11"/>
      <c r="U301" s="10"/>
      <c r="V301" s="11"/>
      <c r="W301" s="10"/>
      <c r="X301" s="11"/>
      <c r="Y301" s="10"/>
      <c r="Z301" s="11"/>
      <c r="AA301" s="10"/>
      <c r="AB301" s="11"/>
      <c r="AC301" s="10"/>
      <c r="AD301" s="11"/>
      <c r="AE301" s="10"/>
      <c r="AF301" s="11"/>
      <c r="AG301" s="11"/>
      <c r="AH301" s="11"/>
      <c r="AI301" s="10"/>
      <c r="AJ301" s="10"/>
    </row>
    <row r="302" customFormat="false" ht="39.55" hidden="false" customHeight="false" outlineLevel="0" collapsed="false">
      <c r="A302" s="7" t="n">
        <v>300</v>
      </c>
      <c r="B302" s="7" t="str">
        <f aca="false">IF(I302="Y",IF(COUNTIF(I$3:I302,"Y")&lt;=20,"pilot",IF(COUNTIF(I$3:I302,"Y")&lt;=40,"dev",IF(COUNTIF(I$3:I302,"Y")&lt;=200,"test","extra"))),"")</f>
        <v/>
      </c>
      <c r="C302" s="7" t="str">
        <f aca="false">IF(I302="Y",IF(COUNTA(K302,M302,O302,Q302,S302,U302,W302,Y302,AA302,AC302,AE302)=11,"done","in progress"),IF(I302="N","excluded",""))</f>
        <v/>
      </c>
      <c r="D302" s="7" t="s">
        <v>808</v>
      </c>
      <c r="E302" s="8" t="s">
        <v>96</v>
      </c>
      <c r="F302" s="9" t="s">
        <v>809</v>
      </c>
      <c r="G302" s="7" t="s">
        <v>212</v>
      </c>
      <c r="H302" s="7"/>
      <c r="I302" s="10"/>
      <c r="J302" s="10"/>
      <c r="K302" s="10"/>
      <c r="L302" s="11"/>
      <c r="M302" s="10"/>
      <c r="N302" s="11"/>
      <c r="O302" s="10"/>
      <c r="P302" s="11"/>
      <c r="Q302" s="10"/>
      <c r="R302" s="11"/>
      <c r="S302" s="10"/>
      <c r="T302" s="11"/>
      <c r="U302" s="10"/>
      <c r="V302" s="11"/>
      <c r="W302" s="10"/>
      <c r="X302" s="11"/>
      <c r="Y302" s="10"/>
      <c r="Z302" s="11"/>
      <c r="AA302" s="10"/>
      <c r="AB302" s="11"/>
      <c r="AC302" s="10"/>
      <c r="AD302" s="11"/>
      <c r="AE302" s="10"/>
      <c r="AF302" s="11"/>
      <c r="AG302" s="11"/>
      <c r="AH302" s="11"/>
      <c r="AI302" s="10"/>
      <c r="AJ302" s="10"/>
    </row>
    <row r="303" customFormat="false" ht="39.55" hidden="false" customHeight="false" outlineLevel="0" collapsed="false">
      <c r="A303" s="7" t="n">
        <v>301</v>
      </c>
      <c r="B303" s="7" t="str">
        <f aca="false">IF(I303="Y",IF(COUNTIF(I$3:I303,"Y")&lt;=20,"pilot",IF(COUNTIF(I$3:I303,"Y")&lt;=40,"dev",IF(COUNTIF(I$3:I303,"Y")&lt;=200,"test","extra"))),"")</f>
        <v/>
      </c>
      <c r="C303" s="7" t="str">
        <f aca="false">IF(I303="Y",IF(COUNTA(K303,M303,O303,Q303,S303,U303,W303,Y303,AA303,AC303,AE303)=11,"done","in progress"),IF(I303="N","excluded",""))</f>
        <v/>
      </c>
      <c r="D303" s="7" t="s">
        <v>810</v>
      </c>
      <c r="E303" s="8" t="s">
        <v>96</v>
      </c>
      <c r="F303" s="9" t="s">
        <v>811</v>
      </c>
      <c r="G303" s="7" t="s">
        <v>405</v>
      </c>
      <c r="H303" s="7"/>
      <c r="I303" s="10"/>
      <c r="J303" s="10"/>
      <c r="K303" s="10"/>
      <c r="L303" s="11"/>
      <c r="M303" s="10"/>
      <c r="N303" s="11"/>
      <c r="O303" s="10"/>
      <c r="P303" s="11"/>
      <c r="Q303" s="10"/>
      <c r="R303" s="11"/>
      <c r="S303" s="10"/>
      <c r="T303" s="11"/>
      <c r="U303" s="10"/>
      <c r="V303" s="11"/>
      <c r="W303" s="10"/>
      <c r="X303" s="11"/>
      <c r="Y303" s="10"/>
      <c r="Z303" s="11"/>
      <c r="AA303" s="10"/>
      <c r="AB303" s="11"/>
      <c r="AC303" s="10"/>
      <c r="AD303" s="11"/>
      <c r="AE303" s="10"/>
      <c r="AF303" s="11"/>
      <c r="AG303" s="11"/>
      <c r="AH303" s="11"/>
      <c r="AI303" s="10"/>
      <c r="AJ303" s="10"/>
    </row>
    <row r="304" customFormat="false" ht="39.55" hidden="false" customHeight="false" outlineLevel="0" collapsed="false">
      <c r="A304" s="7" t="n">
        <v>302</v>
      </c>
      <c r="B304" s="7" t="str">
        <f aca="false">IF(I304="Y",IF(COUNTIF(I$3:I304,"Y")&lt;=20,"pilot",IF(COUNTIF(I$3:I304,"Y")&lt;=40,"dev",IF(COUNTIF(I$3:I304,"Y")&lt;=200,"test","extra"))),"")</f>
        <v/>
      </c>
      <c r="C304" s="7" t="str">
        <f aca="false">IF(I304="Y",IF(COUNTA(K304,M304,O304,Q304,S304,U304,W304,Y304,AA304,AC304,AE304)=11,"done","in progress"),IF(I304="N","excluded",""))</f>
        <v/>
      </c>
      <c r="D304" s="7" t="s">
        <v>812</v>
      </c>
      <c r="E304" s="8" t="s">
        <v>96</v>
      </c>
      <c r="F304" s="9" t="s">
        <v>813</v>
      </c>
      <c r="G304" s="7" t="s">
        <v>814</v>
      </c>
      <c r="H304" s="7"/>
      <c r="I304" s="10"/>
      <c r="J304" s="10"/>
      <c r="K304" s="10"/>
      <c r="L304" s="11"/>
      <c r="M304" s="10"/>
      <c r="N304" s="11"/>
      <c r="O304" s="10"/>
      <c r="P304" s="11"/>
      <c r="Q304" s="10"/>
      <c r="R304" s="11"/>
      <c r="S304" s="10"/>
      <c r="T304" s="11"/>
      <c r="U304" s="10"/>
      <c r="V304" s="11"/>
      <c r="W304" s="10"/>
      <c r="X304" s="11"/>
      <c r="Y304" s="10"/>
      <c r="Z304" s="11"/>
      <c r="AA304" s="10"/>
      <c r="AB304" s="11"/>
      <c r="AC304" s="10"/>
      <c r="AD304" s="11"/>
      <c r="AE304" s="10"/>
      <c r="AF304" s="11"/>
      <c r="AG304" s="11"/>
      <c r="AH304" s="11"/>
      <c r="AI304" s="10"/>
      <c r="AJ304" s="10"/>
    </row>
    <row r="305" customFormat="false" ht="39.55" hidden="false" customHeight="false" outlineLevel="0" collapsed="false">
      <c r="A305" s="7" t="n">
        <v>303</v>
      </c>
      <c r="B305" s="7" t="str">
        <f aca="false">IF(I305="Y",IF(COUNTIF(I$3:I305,"Y")&lt;=20,"pilot",IF(COUNTIF(I$3:I305,"Y")&lt;=40,"dev",IF(COUNTIF(I$3:I305,"Y")&lt;=200,"test","extra"))),"")</f>
        <v/>
      </c>
      <c r="C305" s="7" t="str">
        <f aca="false">IF(I305="Y",IF(COUNTA(K305,M305,O305,Q305,S305,U305,W305,Y305,AA305,AC305,AE305)=11,"done","in progress"),IF(I305="N","excluded",""))</f>
        <v/>
      </c>
      <c r="D305" s="7" t="s">
        <v>815</v>
      </c>
      <c r="E305" s="8" t="s">
        <v>96</v>
      </c>
      <c r="F305" s="9" t="s">
        <v>816</v>
      </c>
      <c r="G305" s="7" t="s">
        <v>251</v>
      </c>
      <c r="H305" s="7"/>
      <c r="I305" s="10"/>
      <c r="J305" s="10"/>
      <c r="K305" s="10"/>
      <c r="L305" s="11"/>
      <c r="M305" s="10"/>
      <c r="N305" s="11"/>
      <c r="O305" s="10"/>
      <c r="P305" s="11"/>
      <c r="Q305" s="10"/>
      <c r="R305" s="11"/>
      <c r="S305" s="10"/>
      <c r="T305" s="11"/>
      <c r="U305" s="10"/>
      <c r="V305" s="11"/>
      <c r="W305" s="10"/>
      <c r="X305" s="11"/>
      <c r="Y305" s="10"/>
      <c r="Z305" s="11"/>
      <c r="AA305" s="10"/>
      <c r="AB305" s="11"/>
      <c r="AC305" s="10"/>
      <c r="AD305" s="11"/>
      <c r="AE305" s="10"/>
      <c r="AF305" s="11"/>
      <c r="AG305" s="11"/>
      <c r="AH305" s="11"/>
      <c r="AI305" s="10"/>
      <c r="AJ305" s="10"/>
    </row>
    <row r="306" customFormat="false" ht="26.85" hidden="false" customHeight="false" outlineLevel="0" collapsed="false">
      <c r="A306" s="7" t="n">
        <v>304</v>
      </c>
      <c r="B306" s="7" t="str">
        <f aca="false">IF(I306="Y",IF(COUNTIF(I$3:I306,"Y")&lt;=20,"pilot",IF(COUNTIF(I$3:I306,"Y")&lt;=40,"dev",IF(COUNTIF(I$3:I306,"Y")&lt;=200,"test","extra"))),"")</f>
        <v/>
      </c>
      <c r="C306" s="7" t="str">
        <f aca="false">IF(I306="Y",IF(COUNTA(K306,M306,O306,Q306,S306,U306,W306,Y306,AA306,AC306,AE306)=11,"done","in progress"),IF(I306="N","excluded",""))</f>
        <v/>
      </c>
      <c r="D306" s="7" t="s">
        <v>817</v>
      </c>
      <c r="E306" s="8" t="s">
        <v>96</v>
      </c>
      <c r="F306" s="9" t="s">
        <v>818</v>
      </c>
      <c r="G306" s="7" t="s">
        <v>113</v>
      </c>
      <c r="H306" s="7"/>
      <c r="I306" s="10"/>
      <c r="J306" s="10"/>
      <c r="K306" s="10"/>
      <c r="L306" s="11"/>
      <c r="M306" s="10"/>
      <c r="N306" s="11"/>
      <c r="O306" s="10"/>
      <c r="P306" s="11"/>
      <c r="Q306" s="10"/>
      <c r="R306" s="11"/>
      <c r="S306" s="10"/>
      <c r="T306" s="11"/>
      <c r="U306" s="10"/>
      <c r="V306" s="11"/>
      <c r="W306" s="10"/>
      <c r="X306" s="11"/>
      <c r="Y306" s="10"/>
      <c r="Z306" s="11"/>
      <c r="AA306" s="10"/>
      <c r="AB306" s="11"/>
      <c r="AC306" s="10"/>
      <c r="AD306" s="11"/>
      <c r="AE306" s="10"/>
      <c r="AF306" s="11"/>
      <c r="AG306" s="11"/>
      <c r="AH306" s="11"/>
      <c r="AI306" s="10"/>
      <c r="AJ306" s="10"/>
    </row>
    <row r="307" customFormat="false" ht="26.85" hidden="false" customHeight="false" outlineLevel="0" collapsed="false">
      <c r="A307" s="7" t="n">
        <v>305</v>
      </c>
      <c r="B307" s="7" t="str">
        <f aca="false">IF(I307="Y",IF(COUNTIF(I$3:I307,"Y")&lt;=20,"pilot",IF(COUNTIF(I$3:I307,"Y")&lt;=40,"dev",IF(COUNTIF(I$3:I307,"Y")&lt;=200,"test","extra"))),"")</f>
        <v/>
      </c>
      <c r="C307" s="7" t="str">
        <f aca="false">IF(I307="Y",IF(COUNTA(K307,M307,O307,Q307,S307,U307,W307,Y307,AA307,AC307,AE307)=11,"done","in progress"),IF(I307="N","excluded",""))</f>
        <v/>
      </c>
      <c r="D307" s="7" t="s">
        <v>819</v>
      </c>
      <c r="E307" s="8" t="s">
        <v>96</v>
      </c>
      <c r="F307" s="9" t="s">
        <v>820</v>
      </c>
      <c r="G307" s="7" t="s">
        <v>363</v>
      </c>
      <c r="H307" s="7"/>
      <c r="I307" s="10"/>
      <c r="J307" s="10"/>
      <c r="K307" s="10"/>
      <c r="L307" s="11"/>
      <c r="M307" s="10"/>
      <c r="N307" s="11"/>
      <c r="O307" s="10"/>
      <c r="P307" s="11"/>
      <c r="Q307" s="10"/>
      <c r="R307" s="11"/>
      <c r="S307" s="10"/>
      <c r="T307" s="11"/>
      <c r="U307" s="10"/>
      <c r="V307" s="11"/>
      <c r="W307" s="10"/>
      <c r="X307" s="11"/>
      <c r="Y307" s="10"/>
      <c r="Z307" s="11"/>
      <c r="AA307" s="10"/>
      <c r="AB307" s="11"/>
      <c r="AC307" s="10"/>
      <c r="AD307" s="11"/>
      <c r="AE307" s="10"/>
      <c r="AF307" s="11"/>
      <c r="AG307" s="11"/>
      <c r="AH307" s="11"/>
      <c r="AI307" s="10"/>
      <c r="AJ307" s="10"/>
    </row>
    <row r="308" customFormat="false" ht="39.55" hidden="false" customHeight="false" outlineLevel="0" collapsed="false">
      <c r="A308" s="7" t="n">
        <v>306</v>
      </c>
      <c r="B308" s="7" t="str">
        <f aca="false">IF(I308="Y",IF(COUNTIF(I$3:I308,"Y")&lt;=20,"pilot",IF(COUNTIF(I$3:I308,"Y")&lt;=40,"dev",IF(COUNTIF(I$3:I308,"Y")&lt;=200,"test","extra"))),"")</f>
        <v/>
      </c>
      <c r="C308" s="7" t="str">
        <f aca="false">IF(I308="Y",IF(COUNTA(K308,M308,O308,Q308,S308,U308,W308,Y308,AA308,AC308,AE308)=11,"done","in progress"),IF(I308="N","excluded",""))</f>
        <v/>
      </c>
      <c r="D308" s="7" t="s">
        <v>821</v>
      </c>
      <c r="E308" s="8" t="s">
        <v>96</v>
      </c>
      <c r="F308" s="9" t="s">
        <v>822</v>
      </c>
      <c r="G308" s="7" t="s">
        <v>125</v>
      </c>
      <c r="H308" s="7" t="s">
        <v>193</v>
      </c>
      <c r="I308" s="10"/>
      <c r="J308" s="10"/>
      <c r="K308" s="10"/>
      <c r="L308" s="11"/>
      <c r="M308" s="10"/>
      <c r="N308" s="11"/>
      <c r="O308" s="10"/>
      <c r="P308" s="11"/>
      <c r="Q308" s="10"/>
      <c r="R308" s="11"/>
      <c r="S308" s="10"/>
      <c r="T308" s="11"/>
      <c r="U308" s="10"/>
      <c r="V308" s="11"/>
      <c r="W308" s="10"/>
      <c r="X308" s="11"/>
      <c r="Y308" s="10"/>
      <c r="Z308" s="11"/>
      <c r="AA308" s="10"/>
      <c r="AB308" s="11"/>
      <c r="AC308" s="10"/>
      <c r="AD308" s="11"/>
      <c r="AE308" s="10"/>
      <c r="AF308" s="11"/>
      <c r="AG308" s="11"/>
      <c r="AH308" s="11"/>
      <c r="AI308" s="10"/>
      <c r="AJ308" s="10"/>
    </row>
    <row r="309" customFormat="false" ht="26.85" hidden="false" customHeight="false" outlineLevel="0" collapsed="false">
      <c r="A309" s="7" t="n">
        <v>307</v>
      </c>
      <c r="B309" s="7" t="str">
        <f aca="false">IF(I309="Y",IF(COUNTIF(I$3:I309,"Y")&lt;=20,"pilot",IF(COUNTIF(I$3:I309,"Y")&lt;=40,"dev",IF(COUNTIF(I$3:I309,"Y")&lt;=200,"test","extra"))),"")</f>
        <v/>
      </c>
      <c r="C309" s="7" t="str">
        <f aca="false">IF(I309="Y",IF(COUNTA(K309,M309,O309,Q309,S309,U309,W309,Y309,AA309,AC309,AE309)=11,"done","in progress"),IF(I309="N","excluded",""))</f>
        <v/>
      </c>
      <c r="D309" s="7" t="s">
        <v>823</v>
      </c>
      <c r="E309" s="8" t="s">
        <v>96</v>
      </c>
      <c r="F309" s="9" t="s">
        <v>824</v>
      </c>
      <c r="G309" s="7" t="s">
        <v>825</v>
      </c>
      <c r="H309" s="7"/>
      <c r="I309" s="10"/>
      <c r="J309" s="10"/>
      <c r="K309" s="10"/>
      <c r="L309" s="11"/>
      <c r="M309" s="10"/>
      <c r="N309" s="11"/>
      <c r="O309" s="10"/>
      <c r="P309" s="11"/>
      <c r="Q309" s="10"/>
      <c r="R309" s="11"/>
      <c r="S309" s="10"/>
      <c r="T309" s="11"/>
      <c r="U309" s="10"/>
      <c r="V309" s="11"/>
      <c r="W309" s="10"/>
      <c r="X309" s="11"/>
      <c r="Y309" s="10"/>
      <c r="Z309" s="11"/>
      <c r="AA309" s="10"/>
      <c r="AB309" s="11"/>
      <c r="AC309" s="10"/>
      <c r="AD309" s="11"/>
      <c r="AE309" s="10"/>
      <c r="AF309" s="11"/>
      <c r="AG309" s="11"/>
      <c r="AH309" s="11"/>
      <c r="AI309" s="10"/>
      <c r="AJ309" s="10"/>
    </row>
    <row r="310" customFormat="false" ht="26.85" hidden="false" customHeight="false" outlineLevel="0" collapsed="false">
      <c r="A310" s="7" t="n">
        <v>308</v>
      </c>
      <c r="B310" s="7" t="str">
        <f aca="false">IF(I310="Y",IF(COUNTIF(I$3:I310,"Y")&lt;=20,"pilot",IF(COUNTIF(I$3:I310,"Y")&lt;=40,"dev",IF(COUNTIF(I$3:I310,"Y")&lt;=200,"test","extra"))),"")</f>
        <v/>
      </c>
      <c r="C310" s="7" t="str">
        <f aca="false">IF(I310="Y",IF(COUNTA(K310,M310,O310,Q310,S310,U310,W310,Y310,AA310,AC310,AE310)=11,"done","in progress"),IF(I310="N","excluded",""))</f>
        <v/>
      </c>
      <c r="D310" s="7" t="s">
        <v>826</v>
      </c>
      <c r="E310" s="8" t="s">
        <v>96</v>
      </c>
      <c r="F310" s="9" t="s">
        <v>827</v>
      </c>
      <c r="G310" s="7" t="s">
        <v>125</v>
      </c>
      <c r="H310" s="7"/>
      <c r="I310" s="10"/>
      <c r="J310" s="10"/>
      <c r="K310" s="10"/>
      <c r="L310" s="11"/>
      <c r="M310" s="10"/>
      <c r="N310" s="11"/>
      <c r="O310" s="10"/>
      <c r="P310" s="11"/>
      <c r="Q310" s="10"/>
      <c r="R310" s="11"/>
      <c r="S310" s="10"/>
      <c r="T310" s="11"/>
      <c r="U310" s="10"/>
      <c r="V310" s="11"/>
      <c r="W310" s="10"/>
      <c r="X310" s="11"/>
      <c r="Y310" s="10"/>
      <c r="Z310" s="11"/>
      <c r="AA310" s="10"/>
      <c r="AB310" s="11"/>
      <c r="AC310" s="10"/>
      <c r="AD310" s="11"/>
      <c r="AE310" s="10"/>
      <c r="AF310" s="11"/>
      <c r="AG310" s="11"/>
      <c r="AH310" s="11"/>
      <c r="AI310" s="10"/>
      <c r="AJ310" s="10"/>
    </row>
    <row r="311" customFormat="false" ht="26.85" hidden="false" customHeight="false" outlineLevel="0" collapsed="false">
      <c r="A311" s="7" t="n">
        <v>309</v>
      </c>
      <c r="B311" s="7" t="str">
        <f aca="false">IF(I311="Y",IF(COUNTIF(I$3:I311,"Y")&lt;=20,"pilot",IF(COUNTIF(I$3:I311,"Y")&lt;=40,"dev",IF(COUNTIF(I$3:I311,"Y")&lt;=200,"test","extra"))),"")</f>
        <v/>
      </c>
      <c r="C311" s="7" t="str">
        <f aca="false">IF(I311="Y",IF(COUNTA(K311,M311,O311,Q311,S311,U311,W311,Y311,AA311,AC311,AE311)=11,"done","in progress"),IF(I311="N","excluded",""))</f>
        <v/>
      </c>
      <c r="D311" s="7" t="s">
        <v>828</v>
      </c>
      <c r="E311" s="8" t="s">
        <v>96</v>
      </c>
      <c r="F311" s="9" t="s">
        <v>829</v>
      </c>
      <c r="G311" s="7" t="s">
        <v>256</v>
      </c>
      <c r="H311" s="7"/>
      <c r="I311" s="10"/>
      <c r="J311" s="10"/>
      <c r="K311" s="10"/>
      <c r="L311" s="11"/>
      <c r="M311" s="10"/>
      <c r="N311" s="11"/>
      <c r="O311" s="10"/>
      <c r="P311" s="11"/>
      <c r="Q311" s="10"/>
      <c r="R311" s="11"/>
      <c r="S311" s="10"/>
      <c r="T311" s="11"/>
      <c r="U311" s="10"/>
      <c r="V311" s="11"/>
      <c r="W311" s="10"/>
      <c r="X311" s="11"/>
      <c r="Y311" s="10"/>
      <c r="Z311" s="11"/>
      <c r="AA311" s="10"/>
      <c r="AB311" s="11"/>
      <c r="AC311" s="10"/>
      <c r="AD311" s="11"/>
      <c r="AE311" s="10"/>
      <c r="AF311" s="11"/>
      <c r="AG311" s="11"/>
      <c r="AH311" s="11"/>
      <c r="AI311" s="10"/>
      <c r="AJ311" s="10"/>
    </row>
    <row r="312" customFormat="false" ht="52.2" hidden="false" customHeight="false" outlineLevel="0" collapsed="false">
      <c r="A312" s="7" t="n">
        <v>310</v>
      </c>
      <c r="B312" s="7" t="str">
        <f aca="false">IF(I312="Y",IF(COUNTIF(I$3:I312,"Y")&lt;=20,"pilot",IF(COUNTIF(I$3:I312,"Y")&lt;=40,"dev",IF(COUNTIF(I$3:I312,"Y")&lt;=200,"test","extra"))),"")</f>
        <v/>
      </c>
      <c r="C312" s="7" t="str">
        <f aca="false">IF(I312="Y",IF(COUNTA(K312,M312,O312,Q312,S312,U312,W312,Y312,AA312,AC312,AE312)=11,"done","in progress"),IF(I312="N","excluded",""))</f>
        <v/>
      </c>
      <c r="D312" s="7" t="s">
        <v>830</v>
      </c>
      <c r="E312" s="8" t="s">
        <v>96</v>
      </c>
      <c r="F312" s="9" t="s">
        <v>831</v>
      </c>
      <c r="G312" s="7" t="s">
        <v>238</v>
      </c>
      <c r="H312" s="7"/>
      <c r="I312" s="10"/>
      <c r="J312" s="10"/>
      <c r="K312" s="10"/>
      <c r="L312" s="11"/>
      <c r="M312" s="10"/>
      <c r="N312" s="11"/>
      <c r="O312" s="10"/>
      <c r="P312" s="11"/>
      <c r="Q312" s="10"/>
      <c r="R312" s="11"/>
      <c r="S312" s="10"/>
      <c r="T312" s="11"/>
      <c r="U312" s="10"/>
      <c r="V312" s="11"/>
      <c r="W312" s="10"/>
      <c r="X312" s="11"/>
      <c r="Y312" s="10"/>
      <c r="Z312" s="11"/>
      <c r="AA312" s="10"/>
      <c r="AB312" s="11"/>
      <c r="AC312" s="10"/>
      <c r="AD312" s="11"/>
      <c r="AE312" s="10"/>
      <c r="AF312" s="11"/>
      <c r="AG312" s="11"/>
      <c r="AH312" s="11"/>
      <c r="AI312" s="10"/>
      <c r="AJ312" s="10"/>
    </row>
    <row r="313" customFormat="false" ht="39.55" hidden="false" customHeight="false" outlineLevel="0" collapsed="false">
      <c r="A313" s="7" t="n">
        <v>311</v>
      </c>
      <c r="B313" s="7" t="str">
        <f aca="false">IF(I313="Y",IF(COUNTIF(I$3:I313,"Y")&lt;=20,"pilot",IF(COUNTIF(I$3:I313,"Y")&lt;=40,"dev",IF(COUNTIF(I$3:I313,"Y")&lt;=200,"test","extra"))),"")</f>
        <v/>
      </c>
      <c r="C313" s="7" t="str">
        <f aca="false">IF(I313="Y",IF(COUNTA(K313,M313,O313,Q313,S313,U313,W313,Y313,AA313,AC313,AE313)=11,"done","in progress"),IF(I313="N","excluded",""))</f>
        <v/>
      </c>
      <c r="D313" s="7" t="s">
        <v>832</v>
      </c>
      <c r="E313" s="8" t="s">
        <v>96</v>
      </c>
      <c r="F313" s="9" t="s">
        <v>833</v>
      </c>
      <c r="G313" s="7" t="s">
        <v>125</v>
      </c>
      <c r="H313" s="7"/>
      <c r="I313" s="10"/>
      <c r="J313" s="10"/>
      <c r="K313" s="10"/>
      <c r="L313" s="11"/>
      <c r="M313" s="10"/>
      <c r="N313" s="11"/>
      <c r="O313" s="10"/>
      <c r="P313" s="11"/>
      <c r="Q313" s="10"/>
      <c r="R313" s="11"/>
      <c r="S313" s="10"/>
      <c r="T313" s="11"/>
      <c r="U313" s="10"/>
      <c r="V313" s="11"/>
      <c r="W313" s="10"/>
      <c r="X313" s="11"/>
      <c r="Y313" s="10"/>
      <c r="Z313" s="11"/>
      <c r="AA313" s="10"/>
      <c r="AB313" s="11"/>
      <c r="AC313" s="10"/>
      <c r="AD313" s="11"/>
      <c r="AE313" s="10"/>
      <c r="AF313" s="11"/>
      <c r="AG313" s="11"/>
      <c r="AH313" s="11"/>
      <c r="AI313" s="10"/>
      <c r="AJ313" s="10"/>
    </row>
    <row r="314" customFormat="false" ht="39.55" hidden="false" customHeight="false" outlineLevel="0" collapsed="false">
      <c r="A314" s="7" t="n">
        <v>312</v>
      </c>
      <c r="B314" s="7" t="str">
        <f aca="false">IF(I314="Y",IF(COUNTIF(I$3:I314,"Y")&lt;=20,"pilot",IF(COUNTIF(I$3:I314,"Y")&lt;=40,"dev",IF(COUNTIF(I$3:I314,"Y")&lt;=200,"test","extra"))),"")</f>
        <v/>
      </c>
      <c r="C314" s="7" t="str">
        <f aca="false">IF(I314="Y",IF(COUNTA(K314,M314,O314,Q314,S314,U314,W314,Y314,AA314,AC314,AE314)=11,"done","in progress"),IF(I314="N","excluded",""))</f>
        <v/>
      </c>
      <c r="D314" s="7" t="s">
        <v>834</v>
      </c>
      <c r="E314" s="8" t="s">
        <v>96</v>
      </c>
      <c r="F314" s="9" t="s">
        <v>835</v>
      </c>
      <c r="G314" s="7" t="s">
        <v>125</v>
      </c>
      <c r="H314" s="7"/>
      <c r="I314" s="10"/>
      <c r="J314" s="10"/>
      <c r="K314" s="10"/>
      <c r="L314" s="11"/>
      <c r="M314" s="10"/>
      <c r="N314" s="11"/>
      <c r="O314" s="10"/>
      <c r="P314" s="11"/>
      <c r="Q314" s="10"/>
      <c r="R314" s="11"/>
      <c r="S314" s="10"/>
      <c r="T314" s="11"/>
      <c r="U314" s="10"/>
      <c r="V314" s="11"/>
      <c r="W314" s="10"/>
      <c r="X314" s="11"/>
      <c r="Y314" s="10"/>
      <c r="Z314" s="11"/>
      <c r="AA314" s="10"/>
      <c r="AB314" s="11"/>
      <c r="AC314" s="10"/>
      <c r="AD314" s="11"/>
      <c r="AE314" s="10"/>
      <c r="AF314" s="11"/>
      <c r="AG314" s="11"/>
      <c r="AH314" s="11"/>
      <c r="AI314" s="10"/>
      <c r="AJ314" s="10"/>
    </row>
    <row r="315" customFormat="false" ht="39.55" hidden="false" customHeight="false" outlineLevel="0" collapsed="false">
      <c r="A315" s="7" t="n">
        <v>313</v>
      </c>
      <c r="B315" s="7" t="str">
        <f aca="false">IF(I315="Y",IF(COUNTIF(I$3:I315,"Y")&lt;=20,"pilot",IF(COUNTIF(I$3:I315,"Y")&lt;=40,"dev",IF(COUNTIF(I$3:I315,"Y")&lt;=200,"test","extra"))),"")</f>
        <v/>
      </c>
      <c r="C315" s="7" t="str">
        <f aca="false">IF(I315="Y",IF(COUNTA(K315,M315,O315,Q315,S315,U315,W315,Y315,AA315,AC315,AE315)=11,"done","in progress"),IF(I315="N","excluded",""))</f>
        <v/>
      </c>
      <c r="D315" s="7" t="s">
        <v>836</v>
      </c>
      <c r="E315" s="8" t="s">
        <v>96</v>
      </c>
      <c r="F315" s="9" t="s">
        <v>837</v>
      </c>
      <c r="G315" s="7" t="s">
        <v>326</v>
      </c>
      <c r="H315" s="7"/>
      <c r="I315" s="10"/>
      <c r="J315" s="10"/>
      <c r="K315" s="10"/>
      <c r="L315" s="11"/>
      <c r="M315" s="10"/>
      <c r="N315" s="11"/>
      <c r="O315" s="10"/>
      <c r="P315" s="11"/>
      <c r="Q315" s="10"/>
      <c r="R315" s="11"/>
      <c r="S315" s="10"/>
      <c r="T315" s="11"/>
      <c r="U315" s="10"/>
      <c r="V315" s="11"/>
      <c r="W315" s="10"/>
      <c r="X315" s="11"/>
      <c r="Y315" s="10"/>
      <c r="Z315" s="11"/>
      <c r="AA315" s="10"/>
      <c r="AB315" s="11"/>
      <c r="AC315" s="10"/>
      <c r="AD315" s="11"/>
      <c r="AE315" s="10"/>
      <c r="AF315" s="11"/>
      <c r="AG315" s="11"/>
      <c r="AH315" s="11"/>
      <c r="AI315" s="10"/>
      <c r="AJ315" s="10"/>
    </row>
    <row r="316" customFormat="false" ht="26.85" hidden="false" customHeight="false" outlineLevel="0" collapsed="false">
      <c r="A316" s="7" t="n">
        <v>314</v>
      </c>
      <c r="B316" s="7" t="str">
        <f aca="false">IF(I316="Y",IF(COUNTIF(I$3:I316,"Y")&lt;=20,"pilot",IF(COUNTIF(I$3:I316,"Y")&lt;=40,"dev",IF(COUNTIF(I$3:I316,"Y")&lt;=200,"test","extra"))),"")</f>
        <v/>
      </c>
      <c r="C316" s="7" t="str">
        <f aca="false">IF(I316="Y",IF(COUNTA(K316,M316,O316,Q316,S316,U316,W316,Y316,AA316,AC316,AE316)=11,"done","in progress"),IF(I316="N","excluded",""))</f>
        <v/>
      </c>
      <c r="D316" s="7" t="s">
        <v>838</v>
      </c>
      <c r="E316" s="8" t="s">
        <v>96</v>
      </c>
      <c r="F316" s="9" t="s">
        <v>839</v>
      </c>
      <c r="G316" s="7" t="s">
        <v>113</v>
      </c>
      <c r="H316" s="7"/>
      <c r="I316" s="10"/>
      <c r="J316" s="10"/>
      <c r="K316" s="10"/>
      <c r="L316" s="11"/>
      <c r="M316" s="10"/>
      <c r="N316" s="11"/>
      <c r="O316" s="10"/>
      <c r="P316" s="11"/>
      <c r="Q316" s="10"/>
      <c r="R316" s="11"/>
      <c r="S316" s="10"/>
      <c r="T316" s="11"/>
      <c r="U316" s="10"/>
      <c r="V316" s="11"/>
      <c r="W316" s="10"/>
      <c r="X316" s="11"/>
      <c r="Y316" s="10"/>
      <c r="Z316" s="11"/>
      <c r="AA316" s="10"/>
      <c r="AB316" s="11"/>
      <c r="AC316" s="10"/>
      <c r="AD316" s="11"/>
      <c r="AE316" s="10"/>
      <c r="AF316" s="11"/>
      <c r="AG316" s="11"/>
      <c r="AH316" s="11"/>
      <c r="AI316" s="10"/>
      <c r="AJ316" s="10"/>
    </row>
    <row r="317" customFormat="false" ht="39.55" hidden="false" customHeight="false" outlineLevel="0" collapsed="false">
      <c r="A317" s="7" t="n">
        <v>315</v>
      </c>
      <c r="B317" s="7" t="str">
        <f aca="false">IF(I317="Y",IF(COUNTIF(I$3:I317,"Y")&lt;=20,"pilot",IF(COUNTIF(I$3:I317,"Y")&lt;=40,"dev",IF(COUNTIF(I$3:I317,"Y")&lt;=200,"test","extra"))),"")</f>
        <v/>
      </c>
      <c r="C317" s="7" t="str">
        <f aca="false">IF(I317="Y",IF(COUNTA(K317,M317,O317,Q317,S317,U317,W317,Y317,AA317,AC317,AE317)=11,"done","in progress"),IF(I317="N","excluded",""))</f>
        <v/>
      </c>
      <c r="D317" s="7" t="s">
        <v>840</v>
      </c>
      <c r="E317" s="8" t="s">
        <v>96</v>
      </c>
      <c r="F317" s="9" t="s">
        <v>841</v>
      </c>
      <c r="G317" s="7" t="s">
        <v>842</v>
      </c>
      <c r="H317" s="7"/>
      <c r="I317" s="10"/>
      <c r="J317" s="10"/>
      <c r="K317" s="10"/>
      <c r="L317" s="11"/>
      <c r="M317" s="10"/>
      <c r="N317" s="11"/>
      <c r="O317" s="10"/>
      <c r="P317" s="11"/>
      <c r="Q317" s="10"/>
      <c r="R317" s="11"/>
      <c r="S317" s="10"/>
      <c r="T317" s="11"/>
      <c r="U317" s="10"/>
      <c r="V317" s="11"/>
      <c r="W317" s="10"/>
      <c r="X317" s="11"/>
      <c r="Y317" s="10"/>
      <c r="Z317" s="11"/>
      <c r="AA317" s="10"/>
      <c r="AB317" s="11"/>
      <c r="AC317" s="10"/>
      <c r="AD317" s="11"/>
      <c r="AE317" s="10"/>
      <c r="AF317" s="11"/>
      <c r="AG317" s="11"/>
      <c r="AH317" s="11"/>
      <c r="AI317" s="10"/>
      <c r="AJ317" s="10"/>
    </row>
    <row r="318" customFormat="false" ht="39.55" hidden="false" customHeight="false" outlineLevel="0" collapsed="false">
      <c r="A318" s="7" t="n">
        <v>316</v>
      </c>
      <c r="B318" s="7" t="str">
        <f aca="false">IF(I318="Y",IF(COUNTIF(I$3:I318,"Y")&lt;=20,"pilot",IF(COUNTIF(I$3:I318,"Y")&lt;=40,"dev",IF(COUNTIF(I$3:I318,"Y")&lt;=200,"test","extra"))),"")</f>
        <v/>
      </c>
      <c r="C318" s="7" t="str">
        <f aca="false">IF(I318="Y",IF(COUNTA(K318,M318,O318,Q318,S318,U318,W318,Y318,AA318,AC318,AE318)=11,"done","in progress"),IF(I318="N","excluded",""))</f>
        <v/>
      </c>
      <c r="D318" s="7" t="s">
        <v>843</v>
      </c>
      <c r="E318" s="8" t="s">
        <v>96</v>
      </c>
      <c r="F318" s="9" t="s">
        <v>844</v>
      </c>
      <c r="G318" s="7" t="s">
        <v>500</v>
      </c>
      <c r="H318" s="7"/>
      <c r="I318" s="10"/>
      <c r="J318" s="10"/>
      <c r="K318" s="10"/>
      <c r="L318" s="11"/>
      <c r="M318" s="10"/>
      <c r="N318" s="11"/>
      <c r="O318" s="10"/>
      <c r="P318" s="11"/>
      <c r="Q318" s="10"/>
      <c r="R318" s="11"/>
      <c r="S318" s="10"/>
      <c r="T318" s="11"/>
      <c r="U318" s="10"/>
      <c r="V318" s="11"/>
      <c r="W318" s="10"/>
      <c r="X318" s="11"/>
      <c r="Y318" s="10"/>
      <c r="Z318" s="11"/>
      <c r="AA318" s="10"/>
      <c r="AB318" s="11"/>
      <c r="AC318" s="10"/>
      <c r="AD318" s="11"/>
      <c r="AE318" s="10"/>
      <c r="AF318" s="11"/>
      <c r="AG318" s="11"/>
      <c r="AH318" s="11"/>
      <c r="AI318" s="10"/>
      <c r="AJ318" s="10"/>
    </row>
    <row r="319" customFormat="false" ht="39.55" hidden="false" customHeight="false" outlineLevel="0" collapsed="false">
      <c r="A319" s="7" t="n">
        <v>317</v>
      </c>
      <c r="B319" s="7" t="str">
        <f aca="false">IF(I319="Y",IF(COUNTIF(I$3:I319,"Y")&lt;=20,"pilot",IF(COUNTIF(I$3:I319,"Y")&lt;=40,"dev",IF(COUNTIF(I$3:I319,"Y")&lt;=200,"test","extra"))),"")</f>
        <v/>
      </c>
      <c r="C319" s="7" t="str">
        <f aca="false">IF(I319="Y",IF(COUNTA(K319,M319,O319,Q319,S319,U319,W319,Y319,AA319,AC319,AE319)=11,"done","in progress"),IF(I319="N","excluded",""))</f>
        <v/>
      </c>
      <c r="D319" s="7" t="s">
        <v>845</v>
      </c>
      <c r="E319" s="8" t="s">
        <v>96</v>
      </c>
      <c r="F319" s="9" t="s">
        <v>846</v>
      </c>
      <c r="G319" s="7" t="s">
        <v>494</v>
      </c>
      <c r="H319" s="7"/>
      <c r="I319" s="10"/>
      <c r="J319" s="10"/>
      <c r="K319" s="10"/>
      <c r="L319" s="11"/>
      <c r="M319" s="10"/>
      <c r="N319" s="11"/>
      <c r="O319" s="10"/>
      <c r="P319" s="11"/>
      <c r="Q319" s="10"/>
      <c r="R319" s="11"/>
      <c r="S319" s="10"/>
      <c r="T319" s="11"/>
      <c r="U319" s="10"/>
      <c r="V319" s="11"/>
      <c r="W319" s="10"/>
      <c r="X319" s="11"/>
      <c r="Y319" s="10"/>
      <c r="Z319" s="11"/>
      <c r="AA319" s="10"/>
      <c r="AB319" s="11"/>
      <c r="AC319" s="10"/>
      <c r="AD319" s="11"/>
      <c r="AE319" s="10"/>
      <c r="AF319" s="11"/>
      <c r="AG319" s="11"/>
      <c r="AH319" s="11"/>
      <c r="AI319" s="10"/>
      <c r="AJ319" s="10"/>
    </row>
    <row r="320" customFormat="false" ht="39.55" hidden="false" customHeight="false" outlineLevel="0" collapsed="false">
      <c r="A320" s="7" t="n">
        <v>318</v>
      </c>
      <c r="B320" s="7" t="str">
        <f aca="false">IF(I320="Y",IF(COUNTIF(I$3:I320,"Y")&lt;=20,"pilot",IF(COUNTIF(I$3:I320,"Y")&lt;=40,"dev",IF(COUNTIF(I$3:I320,"Y")&lt;=200,"test","extra"))),"")</f>
        <v/>
      </c>
      <c r="C320" s="7" t="str">
        <f aca="false">IF(I320="Y",IF(COUNTA(K320,M320,O320,Q320,S320,U320,W320,Y320,AA320,AC320,AE320)=11,"done","in progress"),IF(I320="N","excluded",""))</f>
        <v/>
      </c>
      <c r="D320" s="7" t="s">
        <v>847</v>
      </c>
      <c r="E320" s="8" t="s">
        <v>96</v>
      </c>
      <c r="F320" s="9" t="s">
        <v>848</v>
      </c>
      <c r="G320" s="7" t="s">
        <v>104</v>
      </c>
      <c r="H320" s="7"/>
      <c r="I320" s="10"/>
      <c r="J320" s="10"/>
      <c r="K320" s="10"/>
      <c r="L320" s="11"/>
      <c r="M320" s="10"/>
      <c r="N320" s="11"/>
      <c r="O320" s="10"/>
      <c r="P320" s="11"/>
      <c r="Q320" s="10"/>
      <c r="R320" s="11"/>
      <c r="S320" s="10"/>
      <c r="T320" s="11"/>
      <c r="U320" s="10"/>
      <c r="V320" s="11"/>
      <c r="W320" s="10"/>
      <c r="X320" s="11"/>
      <c r="Y320" s="10"/>
      <c r="Z320" s="11"/>
      <c r="AA320" s="10"/>
      <c r="AB320" s="11"/>
      <c r="AC320" s="10"/>
      <c r="AD320" s="11"/>
      <c r="AE320" s="10"/>
      <c r="AF320" s="11"/>
      <c r="AG320" s="11"/>
      <c r="AH320" s="11"/>
      <c r="AI320" s="10"/>
      <c r="AJ320" s="10"/>
    </row>
    <row r="321" customFormat="false" ht="52.2" hidden="false" customHeight="false" outlineLevel="0" collapsed="false">
      <c r="A321" s="7" t="n">
        <v>319</v>
      </c>
      <c r="B321" s="7" t="str">
        <f aca="false">IF(I321="Y",IF(COUNTIF(I$3:I321,"Y")&lt;=20,"pilot",IF(COUNTIF(I$3:I321,"Y")&lt;=40,"dev",IF(COUNTIF(I$3:I321,"Y")&lt;=200,"test","extra"))),"")</f>
        <v/>
      </c>
      <c r="C321" s="7" t="str">
        <f aca="false">IF(I321="Y",IF(COUNTA(K321,M321,O321,Q321,S321,U321,W321,Y321,AA321,AC321,AE321)=11,"done","in progress"),IF(I321="N","excluded",""))</f>
        <v/>
      </c>
      <c r="D321" s="7" t="s">
        <v>849</v>
      </c>
      <c r="E321" s="8" t="s">
        <v>96</v>
      </c>
      <c r="F321" s="9" t="s">
        <v>850</v>
      </c>
      <c r="G321" s="7" t="s">
        <v>107</v>
      </c>
      <c r="H321" s="7"/>
      <c r="I321" s="10"/>
      <c r="J321" s="10"/>
      <c r="K321" s="10"/>
      <c r="L321" s="11"/>
      <c r="M321" s="10"/>
      <c r="N321" s="11"/>
      <c r="O321" s="10"/>
      <c r="P321" s="11"/>
      <c r="Q321" s="10"/>
      <c r="R321" s="11"/>
      <c r="S321" s="10"/>
      <c r="T321" s="11"/>
      <c r="U321" s="10"/>
      <c r="V321" s="11"/>
      <c r="W321" s="10"/>
      <c r="X321" s="11"/>
      <c r="Y321" s="10"/>
      <c r="Z321" s="11"/>
      <c r="AA321" s="10"/>
      <c r="AB321" s="11"/>
      <c r="AC321" s="10"/>
      <c r="AD321" s="11"/>
      <c r="AE321" s="10"/>
      <c r="AF321" s="11"/>
      <c r="AG321" s="11"/>
      <c r="AH321" s="11"/>
      <c r="AI321" s="10"/>
      <c r="AJ321" s="10"/>
    </row>
    <row r="322" customFormat="false" ht="39.55" hidden="false" customHeight="false" outlineLevel="0" collapsed="false">
      <c r="A322" s="7" t="n">
        <v>320</v>
      </c>
      <c r="B322" s="7" t="str">
        <f aca="false">IF(I322="Y",IF(COUNTIF(I$3:I322,"Y")&lt;=20,"pilot",IF(COUNTIF(I$3:I322,"Y")&lt;=40,"dev",IF(COUNTIF(I$3:I322,"Y")&lt;=200,"test","extra"))),"")</f>
        <v/>
      </c>
      <c r="C322" s="7" t="str">
        <f aca="false">IF(I322="Y",IF(COUNTA(K322,M322,O322,Q322,S322,U322,W322,Y322,AA322,AC322,AE322)=11,"done","in progress"),IF(I322="N","excluded",""))</f>
        <v/>
      </c>
      <c r="D322" s="7" t="s">
        <v>851</v>
      </c>
      <c r="E322" s="8" t="s">
        <v>96</v>
      </c>
      <c r="F322" s="9" t="s">
        <v>852</v>
      </c>
      <c r="G322" s="7" t="s">
        <v>853</v>
      </c>
      <c r="H322" s="7"/>
      <c r="I322" s="10"/>
      <c r="J322" s="10"/>
      <c r="K322" s="10"/>
      <c r="L322" s="11"/>
      <c r="M322" s="10"/>
      <c r="N322" s="11"/>
      <c r="O322" s="10"/>
      <c r="P322" s="11"/>
      <c r="Q322" s="10"/>
      <c r="R322" s="11"/>
      <c r="S322" s="10"/>
      <c r="T322" s="11"/>
      <c r="U322" s="10"/>
      <c r="V322" s="11"/>
      <c r="W322" s="10"/>
      <c r="X322" s="11"/>
      <c r="Y322" s="10"/>
      <c r="Z322" s="11"/>
      <c r="AA322" s="10"/>
      <c r="AB322" s="11"/>
      <c r="AC322" s="10"/>
      <c r="AD322" s="11"/>
      <c r="AE322" s="10"/>
      <c r="AF322" s="11"/>
      <c r="AG322" s="11"/>
      <c r="AH322" s="11"/>
      <c r="AI322" s="10"/>
      <c r="AJ322" s="10"/>
    </row>
    <row r="323" customFormat="false" ht="39.55" hidden="false" customHeight="false" outlineLevel="0" collapsed="false">
      <c r="A323" s="7" t="n">
        <v>321</v>
      </c>
      <c r="B323" s="7" t="str">
        <f aca="false">IF(I323="Y",IF(COUNTIF(I$3:I323,"Y")&lt;=20,"pilot",IF(COUNTIF(I$3:I323,"Y")&lt;=40,"dev",IF(COUNTIF(I$3:I323,"Y")&lt;=200,"test","extra"))),"")</f>
        <v/>
      </c>
      <c r="C323" s="7" t="str">
        <f aca="false">IF(I323="Y",IF(COUNTA(K323,M323,O323,Q323,S323,U323,W323,Y323,AA323,AC323,AE323)=11,"done","in progress"),IF(I323="N","excluded",""))</f>
        <v/>
      </c>
      <c r="D323" s="7" t="s">
        <v>854</v>
      </c>
      <c r="E323" s="8" t="s">
        <v>96</v>
      </c>
      <c r="F323" s="9" t="s">
        <v>855</v>
      </c>
      <c r="G323" s="7" t="s">
        <v>251</v>
      </c>
      <c r="H323" s="7"/>
      <c r="I323" s="10"/>
      <c r="J323" s="10"/>
      <c r="K323" s="10"/>
      <c r="L323" s="11"/>
      <c r="M323" s="10"/>
      <c r="N323" s="11"/>
      <c r="O323" s="10"/>
      <c r="P323" s="11"/>
      <c r="Q323" s="10"/>
      <c r="R323" s="11"/>
      <c r="S323" s="10"/>
      <c r="T323" s="11"/>
      <c r="U323" s="10"/>
      <c r="V323" s="11"/>
      <c r="W323" s="10"/>
      <c r="X323" s="11"/>
      <c r="Y323" s="10"/>
      <c r="Z323" s="11"/>
      <c r="AA323" s="10"/>
      <c r="AB323" s="11"/>
      <c r="AC323" s="10"/>
      <c r="AD323" s="11"/>
      <c r="AE323" s="10"/>
      <c r="AF323" s="11"/>
      <c r="AG323" s="11"/>
      <c r="AH323" s="11"/>
      <c r="AI323" s="10"/>
      <c r="AJ323" s="10"/>
    </row>
    <row r="324" customFormat="false" ht="26.85" hidden="false" customHeight="false" outlineLevel="0" collapsed="false">
      <c r="A324" s="7" t="n">
        <v>322</v>
      </c>
      <c r="B324" s="7" t="str">
        <f aca="false">IF(I324="Y",IF(COUNTIF(I$3:I324,"Y")&lt;=20,"pilot",IF(COUNTIF(I$3:I324,"Y")&lt;=40,"dev",IF(COUNTIF(I$3:I324,"Y")&lt;=200,"test","extra"))),"")</f>
        <v/>
      </c>
      <c r="C324" s="7" t="str">
        <f aca="false">IF(I324="Y",IF(COUNTA(K324,M324,O324,Q324,S324,U324,W324,Y324,AA324,AC324,AE324)=11,"done","in progress"),IF(I324="N","excluded",""))</f>
        <v/>
      </c>
      <c r="D324" s="7" t="s">
        <v>856</v>
      </c>
      <c r="E324" s="8" t="s">
        <v>96</v>
      </c>
      <c r="F324" s="9" t="s">
        <v>857</v>
      </c>
      <c r="G324" s="7" t="s">
        <v>858</v>
      </c>
      <c r="H324" s="7"/>
      <c r="I324" s="10"/>
      <c r="J324" s="10"/>
      <c r="K324" s="10"/>
      <c r="L324" s="11"/>
      <c r="M324" s="10"/>
      <c r="N324" s="11"/>
      <c r="O324" s="10"/>
      <c r="P324" s="11"/>
      <c r="Q324" s="10"/>
      <c r="R324" s="11"/>
      <c r="S324" s="10"/>
      <c r="T324" s="11"/>
      <c r="U324" s="10"/>
      <c r="V324" s="11"/>
      <c r="W324" s="10"/>
      <c r="X324" s="11"/>
      <c r="Y324" s="10"/>
      <c r="Z324" s="11"/>
      <c r="AA324" s="10"/>
      <c r="AB324" s="11"/>
      <c r="AC324" s="10"/>
      <c r="AD324" s="11"/>
      <c r="AE324" s="10"/>
      <c r="AF324" s="11"/>
      <c r="AG324" s="11"/>
      <c r="AH324" s="11"/>
      <c r="AI324" s="10"/>
      <c r="AJ324" s="10"/>
    </row>
    <row r="325" customFormat="false" ht="52.2" hidden="false" customHeight="false" outlineLevel="0" collapsed="false">
      <c r="A325" s="7" t="n">
        <v>323</v>
      </c>
      <c r="B325" s="7" t="str">
        <f aca="false">IF(I325="Y",IF(COUNTIF(I$3:I325,"Y")&lt;=20,"pilot",IF(COUNTIF(I$3:I325,"Y")&lt;=40,"dev",IF(COUNTIF(I$3:I325,"Y")&lt;=200,"test","extra"))),"")</f>
        <v/>
      </c>
      <c r="C325" s="7" t="str">
        <f aca="false">IF(I325="Y",IF(COUNTA(K325,M325,O325,Q325,S325,U325,W325,Y325,AA325,AC325,AE325)=11,"done","in progress"),IF(I325="N","excluded",""))</f>
        <v/>
      </c>
      <c r="D325" s="7" t="s">
        <v>859</v>
      </c>
      <c r="E325" s="8" t="s">
        <v>96</v>
      </c>
      <c r="F325" s="9" t="s">
        <v>860</v>
      </c>
      <c r="G325" s="7" t="s">
        <v>861</v>
      </c>
      <c r="H325" s="7"/>
      <c r="I325" s="10"/>
      <c r="J325" s="10"/>
      <c r="K325" s="10"/>
      <c r="L325" s="11"/>
      <c r="M325" s="10"/>
      <c r="N325" s="11"/>
      <c r="O325" s="10"/>
      <c r="P325" s="11"/>
      <c r="Q325" s="10"/>
      <c r="R325" s="11"/>
      <c r="S325" s="10"/>
      <c r="T325" s="11"/>
      <c r="U325" s="10"/>
      <c r="V325" s="11"/>
      <c r="W325" s="10"/>
      <c r="X325" s="11"/>
      <c r="Y325" s="10"/>
      <c r="Z325" s="11"/>
      <c r="AA325" s="10"/>
      <c r="AB325" s="11"/>
      <c r="AC325" s="10"/>
      <c r="AD325" s="11"/>
      <c r="AE325" s="10"/>
      <c r="AF325" s="11"/>
      <c r="AG325" s="11"/>
      <c r="AH325" s="11"/>
      <c r="AI325" s="10"/>
      <c r="AJ325" s="10"/>
    </row>
    <row r="326" customFormat="false" ht="39.55" hidden="false" customHeight="false" outlineLevel="0" collapsed="false">
      <c r="A326" s="7" t="n">
        <v>324</v>
      </c>
      <c r="B326" s="7" t="str">
        <f aca="false">IF(I326="Y",IF(COUNTIF(I$3:I326,"Y")&lt;=20,"pilot",IF(COUNTIF(I$3:I326,"Y")&lt;=40,"dev",IF(COUNTIF(I$3:I326,"Y")&lt;=200,"test","extra"))),"")</f>
        <v/>
      </c>
      <c r="C326" s="7" t="str">
        <f aca="false">IF(I326="Y",IF(COUNTA(K326,M326,O326,Q326,S326,U326,W326,Y326,AA326,AC326,AE326)=11,"done","in progress"),IF(I326="N","excluded",""))</f>
        <v/>
      </c>
      <c r="D326" s="7" t="s">
        <v>862</v>
      </c>
      <c r="E326" s="8" t="s">
        <v>96</v>
      </c>
      <c r="F326" s="9" t="s">
        <v>863</v>
      </c>
      <c r="G326" s="7" t="s">
        <v>176</v>
      </c>
      <c r="H326" s="7"/>
      <c r="I326" s="10"/>
      <c r="J326" s="10"/>
      <c r="K326" s="10"/>
      <c r="L326" s="11"/>
      <c r="M326" s="10"/>
      <c r="N326" s="11"/>
      <c r="O326" s="10"/>
      <c r="P326" s="11"/>
      <c r="Q326" s="10"/>
      <c r="R326" s="11"/>
      <c r="S326" s="10"/>
      <c r="T326" s="11"/>
      <c r="U326" s="10"/>
      <c r="V326" s="11"/>
      <c r="W326" s="10"/>
      <c r="X326" s="11"/>
      <c r="Y326" s="10"/>
      <c r="Z326" s="11"/>
      <c r="AA326" s="10"/>
      <c r="AB326" s="11"/>
      <c r="AC326" s="10"/>
      <c r="AD326" s="11"/>
      <c r="AE326" s="10"/>
      <c r="AF326" s="11"/>
      <c r="AG326" s="11"/>
      <c r="AH326" s="11"/>
      <c r="AI326" s="10"/>
      <c r="AJ326" s="10"/>
    </row>
    <row r="327" customFormat="false" ht="39.55" hidden="false" customHeight="false" outlineLevel="0" collapsed="false">
      <c r="A327" s="7" t="n">
        <v>325</v>
      </c>
      <c r="B327" s="7" t="str">
        <f aca="false">IF(I327="Y",IF(COUNTIF(I$3:I327,"Y")&lt;=20,"pilot",IF(COUNTIF(I$3:I327,"Y")&lt;=40,"dev",IF(COUNTIF(I$3:I327,"Y")&lt;=200,"test","extra"))),"")</f>
        <v/>
      </c>
      <c r="C327" s="7" t="str">
        <f aca="false">IF(I327="Y",IF(COUNTA(K327,M327,O327,Q327,S327,U327,W327,Y327,AA327,AC327,AE327)=11,"done","in progress"),IF(I327="N","excluded",""))</f>
        <v/>
      </c>
      <c r="D327" s="7" t="s">
        <v>864</v>
      </c>
      <c r="E327" s="8" t="s">
        <v>96</v>
      </c>
      <c r="F327" s="9" t="s">
        <v>865</v>
      </c>
      <c r="G327" s="7" t="s">
        <v>104</v>
      </c>
      <c r="H327" s="7"/>
      <c r="I327" s="10"/>
      <c r="J327" s="10"/>
      <c r="K327" s="10"/>
      <c r="L327" s="11"/>
      <c r="M327" s="10"/>
      <c r="N327" s="11"/>
      <c r="O327" s="10"/>
      <c r="P327" s="11"/>
      <c r="Q327" s="10"/>
      <c r="R327" s="11"/>
      <c r="S327" s="10"/>
      <c r="T327" s="11"/>
      <c r="U327" s="10"/>
      <c r="V327" s="11"/>
      <c r="W327" s="10"/>
      <c r="X327" s="11"/>
      <c r="Y327" s="10"/>
      <c r="Z327" s="11"/>
      <c r="AA327" s="10"/>
      <c r="AB327" s="11"/>
      <c r="AC327" s="10"/>
      <c r="AD327" s="11"/>
      <c r="AE327" s="10"/>
      <c r="AF327" s="11"/>
      <c r="AG327" s="11"/>
      <c r="AH327" s="11"/>
      <c r="AI327" s="10"/>
      <c r="AJ327" s="10"/>
    </row>
    <row r="328" customFormat="false" ht="39.55" hidden="false" customHeight="false" outlineLevel="0" collapsed="false">
      <c r="A328" s="7" t="n">
        <v>326</v>
      </c>
      <c r="B328" s="7" t="str">
        <f aca="false">IF(I328="Y",IF(COUNTIF(I$3:I328,"Y")&lt;=20,"pilot",IF(COUNTIF(I$3:I328,"Y")&lt;=40,"dev",IF(COUNTIF(I$3:I328,"Y")&lt;=200,"test","extra"))),"")</f>
        <v/>
      </c>
      <c r="C328" s="7" t="str">
        <f aca="false">IF(I328="Y",IF(COUNTA(K328,M328,O328,Q328,S328,U328,W328,Y328,AA328,AC328,AE328)=11,"done","in progress"),IF(I328="N","excluded",""))</f>
        <v/>
      </c>
      <c r="D328" s="7" t="s">
        <v>866</v>
      </c>
      <c r="E328" s="8" t="s">
        <v>96</v>
      </c>
      <c r="F328" s="9" t="s">
        <v>867</v>
      </c>
      <c r="G328" s="7" t="s">
        <v>104</v>
      </c>
      <c r="H328" s="7"/>
      <c r="I328" s="10"/>
      <c r="J328" s="10"/>
      <c r="K328" s="10"/>
      <c r="L328" s="11"/>
      <c r="M328" s="10"/>
      <c r="N328" s="11"/>
      <c r="O328" s="10"/>
      <c r="P328" s="11"/>
      <c r="Q328" s="10"/>
      <c r="R328" s="11"/>
      <c r="S328" s="10"/>
      <c r="T328" s="11"/>
      <c r="U328" s="10"/>
      <c r="V328" s="11"/>
      <c r="W328" s="10"/>
      <c r="X328" s="11"/>
      <c r="Y328" s="10"/>
      <c r="Z328" s="11"/>
      <c r="AA328" s="10"/>
      <c r="AB328" s="11"/>
      <c r="AC328" s="10"/>
      <c r="AD328" s="11"/>
      <c r="AE328" s="10"/>
      <c r="AF328" s="11"/>
      <c r="AG328" s="11"/>
      <c r="AH328" s="11"/>
      <c r="AI328" s="10"/>
      <c r="AJ328" s="10"/>
    </row>
    <row r="329" customFormat="false" ht="26.85" hidden="false" customHeight="false" outlineLevel="0" collapsed="false">
      <c r="A329" s="7" t="n">
        <v>327</v>
      </c>
      <c r="B329" s="7" t="str">
        <f aca="false">IF(I329="Y",IF(COUNTIF(I$3:I329,"Y")&lt;=20,"pilot",IF(COUNTIF(I$3:I329,"Y")&lt;=40,"dev",IF(COUNTIF(I$3:I329,"Y")&lt;=200,"test","extra"))),"")</f>
        <v/>
      </c>
      <c r="C329" s="7" t="str">
        <f aca="false">IF(I329="Y",IF(COUNTA(K329,M329,O329,Q329,S329,U329,W329,Y329,AA329,AC329,AE329)=11,"done","in progress"),IF(I329="N","excluded",""))</f>
        <v/>
      </c>
      <c r="D329" s="7" t="s">
        <v>868</v>
      </c>
      <c r="E329" s="8" t="s">
        <v>96</v>
      </c>
      <c r="F329" s="9" t="s">
        <v>869</v>
      </c>
      <c r="G329" s="7" t="s">
        <v>125</v>
      </c>
      <c r="H329" s="7"/>
      <c r="I329" s="10"/>
      <c r="J329" s="10"/>
      <c r="K329" s="10"/>
      <c r="L329" s="11"/>
      <c r="M329" s="10"/>
      <c r="N329" s="11"/>
      <c r="O329" s="10"/>
      <c r="P329" s="11"/>
      <c r="Q329" s="10"/>
      <c r="R329" s="11"/>
      <c r="S329" s="10"/>
      <c r="T329" s="11"/>
      <c r="U329" s="10"/>
      <c r="V329" s="11"/>
      <c r="W329" s="10"/>
      <c r="X329" s="11"/>
      <c r="Y329" s="10"/>
      <c r="Z329" s="11"/>
      <c r="AA329" s="10"/>
      <c r="AB329" s="11"/>
      <c r="AC329" s="10"/>
      <c r="AD329" s="11"/>
      <c r="AE329" s="10"/>
      <c r="AF329" s="11"/>
      <c r="AG329" s="11"/>
      <c r="AH329" s="11"/>
      <c r="AI329" s="10"/>
      <c r="AJ329" s="10"/>
    </row>
    <row r="330" customFormat="false" ht="26.85" hidden="false" customHeight="false" outlineLevel="0" collapsed="false">
      <c r="A330" s="7" t="n">
        <v>328</v>
      </c>
      <c r="B330" s="7" t="str">
        <f aca="false">IF(I330="Y",IF(COUNTIF(I$3:I330,"Y")&lt;=20,"pilot",IF(COUNTIF(I$3:I330,"Y")&lt;=40,"dev",IF(COUNTIF(I$3:I330,"Y")&lt;=200,"test","extra"))),"")</f>
        <v/>
      </c>
      <c r="C330" s="7" t="str">
        <f aca="false">IF(I330="Y",IF(COUNTA(K330,M330,O330,Q330,S330,U330,W330,Y330,AA330,AC330,AE330)=11,"done","in progress"),IF(I330="N","excluded",""))</f>
        <v/>
      </c>
      <c r="D330" s="7" t="s">
        <v>870</v>
      </c>
      <c r="E330" s="8" t="s">
        <v>96</v>
      </c>
      <c r="F330" s="9" t="s">
        <v>871</v>
      </c>
      <c r="G330" s="7" t="s">
        <v>444</v>
      </c>
      <c r="H330" s="7"/>
      <c r="I330" s="10"/>
      <c r="J330" s="10"/>
      <c r="K330" s="10"/>
      <c r="L330" s="11"/>
      <c r="M330" s="10"/>
      <c r="N330" s="11"/>
      <c r="O330" s="10"/>
      <c r="P330" s="11"/>
      <c r="Q330" s="10"/>
      <c r="R330" s="11"/>
      <c r="S330" s="10"/>
      <c r="T330" s="11"/>
      <c r="U330" s="10"/>
      <c r="V330" s="11"/>
      <c r="W330" s="10"/>
      <c r="X330" s="11"/>
      <c r="Y330" s="10"/>
      <c r="Z330" s="11"/>
      <c r="AA330" s="10"/>
      <c r="AB330" s="11"/>
      <c r="AC330" s="10"/>
      <c r="AD330" s="11"/>
      <c r="AE330" s="10"/>
      <c r="AF330" s="11"/>
      <c r="AG330" s="11"/>
      <c r="AH330" s="11"/>
      <c r="AI330" s="10"/>
      <c r="AJ330" s="10"/>
    </row>
    <row r="331" customFormat="false" ht="26.85" hidden="false" customHeight="false" outlineLevel="0" collapsed="false">
      <c r="A331" s="7" t="n">
        <v>329</v>
      </c>
      <c r="B331" s="7" t="str">
        <f aca="false">IF(I331="Y",IF(COUNTIF(I$3:I331,"Y")&lt;=20,"pilot",IF(COUNTIF(I$3:I331,"Y")&lt;=40,"dev",IF(COUNTIF(I$3:I331,"Y")&lt;=200,"test","extra"))),"")</f>
        <v/>
      </c>
      <c r="C331" s="7" t="str">
        <f aca="false">IF(I331="Y",IF(COUNTA(K331,M331,O331,Q331,S331,U331,W331,Y331,AA331,AC331,AE331)=11,"done","in progress"),IF(I331="N","excluded",""))</f>
        <v/>
      </c>
      <c r="D331" s="7" t="s">
        <v>872</v>
      </c>
      <c r="E331" s="8" t="s">
        <v>96</v>
      </c>
      <c r="F331" s="9" t="s">
        <v>873</v>
      </c>
      <c r="G331" s="7" t="s">
        <v>874</v>
      </c>
      <c r="H331" s="7"/>
      <c r="I331" s="10"/>
      <c r="J331" s="10"/>
      <c r="K331" s="10"/>
      <c r="L331" s="11"/>
      <c r="M331" s="10"/>
      <c r="N331" s="11"/>
      <c r="O331" s="10"/>
      <c r="P331" s="11"/>
      <c r="Q331" s="10"/>
      <c r="R331" s="11"/>
      <c r="S331" s="10"/>
      <c r="T331" s="11"/>
      <c r="U331" s="10"/>
      <c r="V331" s="11"/>
      <c r="W331" s="10"/>
      <c r="X331" s="11"/>
      <c r="Y331" s="10"/>
      <c r="Z331" s="11"/>
      <c r="AA331" s="10"/>
      <c r="AB331" s="11"/>
      <c r="AC331" s="10"/>
      <c r="AD331" s="11"/>
      <c r="AE331" s="10"/>
      <c r="AF331" s="11"/>
      <c r="AG331" s="11"/>
      <c r="AH331" s="11"/>
      <c r="AI331" s="10"/>
      <c r="AJ331" s="10"/>
    </row>
    <row r="332" customFormat="false" ht="26.85" hidden="false" customHeight="false" outlineLevel="0" collapsed="false">
      <c r="A332" s="7" t="n">
        <v>330</v>
      </c>
      <c r="B332" s="7" t="str">
        <f aca="false">IF(I332="Y",IF(COUNTIF(I$3:I332,"Y")&lt;=20,"pilot",IF(COUNTIF(I$3:I332,"Y")&lt;=40,"dev",IF(COUNTIF(I$3:I332,"Y")&lt;=200,"test","extra"))),"")</f>
        <v/>
      </c>
      <c r="C332" s="7" t="str">
        <f aca="false">IF(I332="Y",IF(COUNTA(K332,M332,O332,Q332,S332,U332,W332,Y332,AA332,AC332,AE332)=11,"done","in progress"),IF(I332="N","excluded",""))</f>
        <v/>
      </c>
      <c r="D332" s="7" t="s">
        <v>875</v>
      </c>
      <c r="E332" s="8" t="s">
        <v>96</v>
      </c>
      <c r="F332" s="9" t="s">
        <v>876</v>
      </c>
      <c r="G332" s="7" t="s">
        <v>877</v>
      </c>
      <c r="H332" s="7"/>
      <c r="I332" s="10"/>
      <c r="J332" s="10"/>
      <c r="K332" s="10"/>
      <c r="L332" s="11"/>
      <c r="M332" s="10"/>
      <c r="N332" s="11"/>
      <c r="O332" s="10"/>
      <c r="P332" s="11"/>
      <c r="Q332" s="10"/>
      <c r="R332" s="11"/>
      <c r="S332" s="10"/>
      <c r="T332" s="11"/>
      <c r="U332" s="10"/>
      <c r="V332" s="11"/>
      <c r="W332" s="10"/>
      <c r="X332" s="11"/>
      <c r="Y332" s="10"/>
      <c r="Z332" s="11"/>
      <c r="AA332" s="10"/>
      <c r="AB332" s="11"/>
      <c r="AC332" s="10"/>
      <c r="AD332" s="11"/>
      <c r="AE332" s="10"/>
      <c r="AF332" s="11"/>
      <c r="AG332" s="11"/>
      <c r="AH332" s="11"/>
      <c r="AI332" s="10"/>
      <c r="AJ332" s="10"/>
    </row>
    <row r="333" customFormat="false" ht="39.55" hidden="false" customHeight="false" outlineLevel="0" collapsed="false">
      <c r="A333" s="7" t="n">
        <v>331</v>
      </c>
      <c r="B333" s="7" t="str">
        <f aca="false">IF(I333="Y",IF(COUNTIF(I$3:I333,"Y")&lt;=20,"pilot",IF(COUNTIF(I$3:I333,"Y")&lt;=40,"dev",IF(COUNTIF(I$3:I333,"Y")&lt;=200,"test","extra"))),"")</f>
        <v/>
      </c>
      <c r="C333" s="7" t="str">
        <f aca="false">IF(I333="Y",IF(COUNTA(K333,M333,O333,Q333,S333,U333,W333,Y333,AA333,AC333,AE333)=11,"done","in progress"),IF(I333="N","excluded",""))</f>
        <v/>
      </c>
      <c r="D333" s="7" t="s">
        <v>878</v>
      </c>
      <c r="E333" s="8" t="s">
        <v>96</v>
      </c>
      <c r="F333" s="9" t="s">
        <v>879</v>
      </c>
      <c r="G333" s="7" t="s">
        <v>880</v>
      </c>
      <c r="H333" s="7"/>
      <c r="I333" s="10"/>
      <c r="J333" s="10"/>
      <c r="K333" s="10"/>
      <c r="L333" s="11"/>
      <c r="M333" s="10"/>
      <c r="N333" s="11"/>
      <c r="O333" s="10"/>
      <c r="P333" s="11"/>
      <c r="Q333" s="10"/>
      <c r="R333" s="11"/>
      <c r="S333" s="10"/>
      <c r="T333" s="11"/>
      <c r="U333" s="10"/>
      <c r="V333" s="11"/>
      <c r="W333" s="10"/>
      <c r="X333" s="11"/>
      <c r="Y333" s="10"/>
      <c r="Z333" s="11"/>
      <c r="AA333" s="10"/>
      <c r="AB333" s="11"/>
      <c r="AC333" s="10"/>
      <c r="AD333" s="11"/>
      <c r="AE333" s="10"/>
      <c r="AF333" s="11"/>
      <c r="AG333" s="11"/>
      <c r="AH333" s="11"/>
      <c r="AI333" s="10"/>
      <c r="AJ333" s="10"/>
    </row>
    <row r="334" customFormat="false" ht="39.55" hidden="false" customHeight="false" outlineLevel="0" collapsed="false">
      <c r="A334" s="7" t="n">
        <v>332</v>
      </c>
      <c r="B334" s="7" t="str">
        <f aca="false">IF(I334="Y",IF(COUNTIF(I$3:I334,"Y")&lt;=20,"pilot",IF(COUNTIF(I$3:I334,"Y")&lt;=40,"dev",IF(COUNTIF(I$3:I334,"Y")&lt;=200,"test","extra"))),"")</f>
        <v/>
      </c>
      <c r="C334" s="7" t="str">
        <f aca="false">IF(I334="Y",IF(COUNTA(K334,M334,O334,Q334,S334,U334,W334,Y334,AA334,AC334,AE334)=11,"done","in progress"),IF(I334="N","excluded",""))</f>
        <v/>
      </c>
      <c r="D334" s="7" t="s">
        <v>881</v>
      </c>
      <c r="E334" s="8" t="s">
        <v>96</v>
      </c>
      <c r="F334" s="9" t="s">
        <v>882</v>
      </c>
      <c r="G334" s="7" t="s">
        <v>363</v>
      </c>
      <c r="H334" s="7"/>
      <c r="I334" s="10"/>
      <c r="J334" s="10"/>
      <c r="K334" s="10"/>
      <c r="L334" s="11"/>
      <c r="M334" s="10"/>
      <c r="N334" s="11"/>
      <c r="O334" s="10"/>
      <c r="P334" s="11"/>
      <c r="Q334" s="10"/>
      <c r="R334" s="11"/>
      <c r="S334" s="10"/>
      <c r="T334" s="11"/>
      <c r="U334" s="10"/>
      <c r="V334" s="11"/>
      <c r="W334" s="10"/>
      <c r="X334" s="11"/>
      <c r="Y334" s="10"/>
      <c r="Z334" s="11"/>
      <c r="AA334" s="10"/>
      <c r="AB334" s="11"/>
      <c r="AC334" s="10"/>
      <c r="AD334" s="11"/>
      <c r="AE334" s="10"/>
      <c r="AF334" s="11"/>
      <c r="AG334" s="11"/>
      <c r="AH334" s="11"/>
      <c r="AI334" s="10"/>
      <c r="AJ334" s="10"/>
    </row>
    <row r="335" customFormat="false" ht="39.55" hidden="false" customHeight="false" outlineLevel="0" collapsed="false">
      <c r="A335" s="7" t="n">
        <v>333</v>
      </c>
      <c r="B335" s="7" t="str">
        <f aca="false">IF(I335="Y",IF(COUNTIF(I$3:I335,"Y")&lt;=20,"pilot",IF(COUNTIF(I$3:I335,"Y")&lt;=40,"dev",IF(COUNTIF(I$3:I335,"Y")&lt;=200,"test","extra"))),"")</f>
        <v/>
      </c>
      <c r="C335" s="7" t="str">
        <f aca="false">IF(I335="Y",IF(COUNTA(K335,M335,O335,Q335,S335,U335,W335,Y335,AA335,AC335,AE335)=11,"done","in progress"),IF(I335="N","excluded",""))</f>
        <v/>
      </c>
      <c r="D335" s="7" t="s">
        <v>883</v>
      </c>
      <c r="E335" s="8" t="s">
        <v>96</v>
      </c>
      <c r="F335" s="9" t="s">
        <v>884</v>
      </c>
      <c r="G335" s="7" t="s">
        <v>133</v>
      </c>
      <c r="H335" s="7"/>
      <c r="I335" s="10"/>
      <c r="J335" s="10"/>
      <c r="K335" s="10"/>
      <c r="L335" s="11"/>
      <c r="M335" s="10"/>
      <c r="N335" s="11"/>
      <c r="O335" s="10"/>
      <c r="P335" s="11"/>
      <c r="Q335" s="10"/>
      <c r="R335" s="11"/>
      <c r="S335" s="10"/>
      <c r="T335" s="11"/>
      <c r="U335" s="10"/>
      <c r="V335" s="11"/>
      <c r="W335" s="10"/>
      <c r="X335" s="11"/>
      <c r="Y335" s="10"/>
      <c r="Z335" s="11"/>
      <c r="AA335" s="10"/>
      <c r="AB335" s="11"/>
      <c r="AC335" s="10"/>
      <c r="AD335" s="11"/>
      <c r="AE335" s="10"/>
      <c r="AF335" s="11"/>
      <c r="AG335" s="11"/>
      <c r="AH335" s="11"/>
      <c r="AI335" s="10"/>
      <c r="AJ335" s="10"/>
    </row>
    <row r="336" customFormat="false" ht="39.55" hidden="false" customHeight="false" outlineLevel="0" collapsed="false">
      <c r="A336" s="7" t="n">
        <v>334</v>
      </c>
      <c r="B336" s="7" t="str">
        <f aca="false">IF(I336="Y",IF(COUNTIF(I$3:I336,"Y")&lt;=20,"pilot",IF(COUNTIF(I$3:I336,"Y")&lt;=40,"dev",IF(COUNTIF(I$3:I336,"Y")&lt;=200,"test","extra"))),"")</f>
        <v/>
      </c>
      <c r="C336" s="7" t="str">
        <f aca="false">IF(I336="Y",IF(COUNTA(K336,M336,O336,Q336,S336,U336,W336,Y336,AA336,AC336,AE336)=11,"done","in progress"),IF(I336="N","excluded",""))</f>
        <v/>
      </c>
      <c r="D336" s="7" t="s">
        <v>885</v>
      </c>
      <c r="E336" s="8" t="s">
        <v>96</v>
      </c>
      <c r="F336" s="9" t="s">
        <v>886</v>
      </c>
      <c r="G336" s="7" t="s">
        <v>116</v>
      </c>
      <c r="H336" s="7"/>
      <c r="I336" s="10"/>
      <c r="J336" s="10"/>
      <c r="K336" s="10"/>
      <c r="L336" s="11"/>
      <c r="M336" s="10"/>
      <c r="N336" s="11"/>
      <c r="O336" s="10"/>
      <c r="P336" s="11"/>
      <c r="Q336" s="10"/>
      <c r="R336" s="11"/>
      <c r="S336" s="10"/>
      <c r="T336" s="11"/>
      <c r="U336" s="10"/>
      <c r="V336" s="11"/>
      <c r="W336" s="10"/>
      <c r="X336" s="11"/>
      <c r="Y336" s="10"/>
      <c r="Z336" s="11"/>
      <c r="AA336" s="10"/>
      <c r="AB336" s="11"/>
      <c r="AC336" s="10"/>
      <c r="AD336" s="11"/>
      <c r="AE336" s="10"/>
      <c r="AF336" s="11"/>
      <c r="AG336" s="11"/>
      <c r="AH336" s="11"/>
      <c r="AI336" s="10"/>
      <c r="AJ336" s="10"/>
    </row>
    <row r="337" customFormat="false" ht="26.85" hidden="false" customHeight="false" outlineLevel="0" collapsed="false">
      <c r="A337" s="7" t="n">
        <v>335</v>
      </c>
      <c r="B337" s="7" t="str">
        <f aca="false">IF(I337="Y",IF(COUNTIF(I$3:I337,"Y")&lt;=20,"pilot",IF(COUNTIF(I$3:I337,"Y")&lt;=40,"dev",IF(COUNTIF(I$3:I337,"Y")&lt;=200,"test","extra"))),"")</f>
        <v/>
      </c>
      <c r="C337" s="7" t="str">
        <f aca="false">IF(I337="Y",IF(COUNTA(K337,M337,O337,Q337,S337,U337,W337,Y337,AA337,AC337,AE337)=11,"done","in progress"),IF(I337="N","excluded",""))</f>
        <v/>
      </c>
      <c r="D337" s="7" t="s">
        <v>887</v>
      </c>
      <c r="E337" s="8" t="s">
        <v>96</v>
      </c>
      <c r="F337" s="9" t="s">
        <v>888</v>
      </c>
      <c r="G337" s="7" t="s">
        <v>133</v>
      </c>
      <c r="H337" s="7"/>
      <c r="I337" s="10"/>
      <c r="J337" s="10"/>
      <c r="K337" s="10"/>
      <c r="L337" s="11"/>
      <c r="M337" s="10"/>
      <c r="N337" s="11"/>
      <c r="O337" s="10"/>
      <c r="P337" s="11"/>
      <c r="Q337" s="10"/>
      <c r="R337" s="11"/>
      <c r="S337" s="10"/>
      <c r="T337" s="11"/>
      <c r="U337" s="10"/>
      <c r="V337" s="11"/>
      <c r="W337" s="10"/>
      <c r="X337" s="11"/>
      <c r="Y337" s="10"/>
      <c r="Z337" s="11"/>
      <c r="AA337" s="10"/>
      <c r="AB337" s="11"/>
      <c r="AC337" s="10"/>
      <c r="AD337" s="11"/>
      <c r="AE337" s="10"/>
      <c r="AF337" s="11"/>
      <c r="AG337" s="11"/>
      <c r="AH337" s="11"/>
      <c r="AI337" s="10"/>
      <c r="AJ337" s="10"/>
    </row>
    <row r="338" customFormat="false" ht="39.55" hidden="false" customHeight="false" outlineLevel="0" collapsed="false">
      <c r="A338" s="7" t="n">
        <v>336</v>
      </c>
      <c r="B338" s="7" t="str">
        <f aca="false">IF(I338="Y",IF(COUNTIF(I$3:I338,"Y")&lt;=20,"pilot",IF(COUNTIF(I$3:I338,"Y")&lt;=40,"dev",IF(COUNTIF(I$3:I338,"Y")&lt;=200,"test","extra"))),"")</f>
        <v/>
      </c>
      <c r="C338" s="7" t="str">
        <f aca="false">IF(I338="Y",IF(COUNTA(K338,M338,O338,Q338,S338,U338,W338,Y338,AA338,AC338,AE338)=11,"done","in progress"),IF(I338="N","excluded",""))</f>
        <v/>
      </c>
      <c r="D338" s="7" t="s">
        <v>889</v>
      </c>
      <c r="E338" s="8" t="s">
        <v>96</v>
      </c>
      <c r="F338" s="9" t="s">
        <v>890</v>
      </c>
      <c r="G338" s="7" t="s">
        <v>125</v>
      </c>
      <c r="H338" s="7"/>
      <c r="I338" s="10"/>
      <c r="J338" s="10"/>
      <c r="K338" s="10"/>
      <c r="L338" s="11"/>
      <c r="M338" s="10"/>
      <c r="N338" s="11"/>
      <c r="O338" s="10"/>
      <c r="P338" s="11"/>
      <c r="Q338" s="10"/>
      <c r="R338" s="11"/>
      <c r="S338" s="10"/>
      <c r="T338" s="11"/>
      <c r="U338" s="10"/>
      <c r="V338" s="11"/>
      <c r="W338" s="10"/>
      <c r="X338" s="11"/>
      <c r="Y338" s="10"/>
      <c r="Z338" s="11"/>
      <c r="AA338" s="10"/>
      <c r="AB338" s="11"/>
      <c r="AC338" s="10"/>
      <c r="AD338" s="11"/>
      <c r="AE338" s="10"/>
      <c r="AF338" s="11"/>
      <c r="AG338" s="11"/>
      <c r="AH338" s="11"/>
      <c r="AI338" s="10"/>
      <c r="AJ338" s="10"/>
    </row>
    <row r="339" customFormat="false" ht="26.85" hidden="false" customHeight="false" outlineLevel="0" collapsed="false">
      <c r="A339" s="7" t="n">
        <v>337</v>
      </c>
      <c r="B339" s="7" t="str">
        <f aca="false">IF(I339="Y",IF(COUNTIF(I$3:I339,"Y")&lt;=20,"pilot",IF(COUNTIF(I$3:I339,"Y")&lt;=40,"dev",IF(COUNTIF(I$3:I339,"Y")&lt;=200,"test","extra"))),"")</f>
        <v/>
      </c>
      <c r="C339" s="7" t="str">
        <f aca="false">IF(I339="Y",IF(COUNTA(K339,M339,O339,Q339,S339,U339,W339,Y339,AA339,AC339,AE339)=11,"done","in progress"),IF(I339="N","excluded",""))</f>
        <v/>
      </c>
      <c r="D339" s="7" t="s">
        <v>891</v>
      </c>
      <c r="E339" s="8" t="s">
        <v>96</v>
      </c>
      <c r="F339" s="9" t="s">
        <v>892</v>
      </c>
      <c r="G339" s="7" t="s">
        <v>893</v>
      </c>
      <c r="H339" s="7"/>
      <c r="I339" s="10"/>
      <c r="J339" s="10"/>
      <c r="K339" s="10"/>
      <c r="L339" s="11"/>
      <c r="M339" s="10"/>
      <c r="N339" s="11"/>
      <c r="O339" s="10"/>
      <c r="P339" s="11"/>
      <c r="Q339" s="10"/>
      <c r="R339" s="11"/>
      <c r="S339" s="10"/>
      <c r="T339" s="11"/>
      <c r="U339" s="10"/>
      <c r="V339" s="11"/>
      <c r="W339" s="10"/>
      <c r="X339" s="11"/>
      <c r="Y339" s="10"/>
      <c r="Z339" s="11"/>
      <c r="AA339" s="10"/>
      <c r="AB339" s="11"/>
      <c r="AC339" s="10"/>
      <c r="AD339" s="11"/>
      <c r="AE339" s="10"/>
      <c r="AF339" s="11"/>
      <c r="AG339" s="11"/>
      <c r="AH339" s="11"/>
      <c r="AI339" s="10"/>
      <c r="AJ339" s="10"/>
    </row>
    <row r="340" customFormat="false" ht="26.85" hidden="false" customHeight="false" outlineLevel="0" collapsed="false">
      <c r="A340" s="7" t="n">
        <v>338</v>
      </c>
      <c r="B340" s="7" t="str">
        <f aca="false">IF(I340="Y",IF(COUNTIF(I$3:I340,"Y")&lt;=20,"pilot",IF(COUNTIF(I$3:I340,"Y")&lt;=40,"dev",IF(COUNTIF(I$3:I340,"Y")&lt;=200,"test","extra"))),"")</f>
        <v/>
      </c>
      <c r="C340" s="7" t="str">
        <f aca="false">IF(I340="Y",IF(COUNTA(K340,M340,O340,Q340,S340,U340,W340,Y340,AA340,AC340,AE340)=11,"done","in progress"),IF(I340="N","excluded",""))</f>
        <v/>
      </c>
      <c r="D340" s="7" t="s">
        <v>894</v>
      </c>
      <c r="E340" s="8" t="s">
        <v>96</v>
      </c>
      <c r="F340" s="9" t="s">
        <v>895</v>
      </c>
      <c r="G340" s="7" t="s">
        <v>896</v>
      </c>
      <c r="H340" s="7" t="s">
        <v>897</v>
      </c>
      <c r="I340" s="10"/>
      <c r="J340" s="10"/>
      <c r="K340" s="10"/>
      <c r="L340" s="11"/>
      <c r="M340" s="10"/>
      <c r="N340" s="11"/>
      <c r="O340" s="10"/>
      <c r="P340" s="11"/>
      <c r="Q340" s="10"/>
      <c r="R340" s="11"/>
      <c r="S340" s="10"/>
      <c r="T340" s="11"/>
      <c r="U340" s="10"/>
      <c r="V340" s="11"/>
      <c r="W340" s="10"/>
      <c r="X340" s="11"/>
      <c r="Y340" s="10"/>
      <c r="Z340" s="11"/>
      <c r="AA340" s="10"/>
      <c r="AB340" s="11"/>
      <c r="AC340" s="10"/>
      <c r="AD340" s="11"/>
      <c r="AE340" s="10"/>
      <c r="AF340" s="11"/>
      <c r="AG340" s="11"/>
      <c r="AH340" s="11"/>
      <c r="AI340" s="10"/>
      <c r="AJ340" s="10"/>
    </row>
    <row r="341" customFormat="false" ht="26.85" hidden="false" customHeight="false" outlineLevel="0" collapsed="false">
      <c r="A341" s="7" t="n">
        <v>339</v>
      </c>
      <c r="B341" s="7" t="str">
        <f aca="false">IF(I341="Y",IF(COUNTIF(I$3:I341,"Y")&lt;=20,"pilot",IF(COUNTIF(I$3:I341,"Y")&lt;=40,"dev",IF(COUNTIF(I$3:I341,"Y")&lt;=200,"test","extra"))),"")</f>
        <v/>
      </c>
      <c r="C341" s="7" t="str">
        <f aca="false">IF(I341="Y",IF(COUNTA(K341,M341,O341,Q341,S341,U341,W341,Y341,AA341,AC341,AE341)=11,"done","in progress"),IF(I341="N","excluded",""))</f>
        <v/>
      </c>
      <c r="D341" s="7" t="s">
        <v>898</v>
      </c>
      <c r="E341" s="8" t="s">
        <v>96</v>
      </c>
      <c r="F341" s="9" t="s">
        <v>899</v>
      </c>
      <c r="G341" s="7" t="s">
        <v>125</v>
      </c>
      <c r="H341" s="7" t="s">
        <v>193</v>
      </c>
      <c r="I341" s="10"/>
      <c r="J341" s="10"/>
      <c r="K341" s="10"/>
      <c r="L341" s="11"/>
      <c r="M341" s="10"/>
      <c r="N341" s="11"/>
      <c r="O341" s="10"/>
      <c r="P341" s="11"/>
      <c r="Q341" s="10"/>
      <c r="R341" s="11"/>
      <c r="S341" s="10"/>
      <c r="T341" s="11"/>
      <c r="U341" s="10"/>
      <c r="V341" s="11"/>
      <c r="W341" s="10"/>
      <c r="X341" s="11"/>
      <c r="Y341" s="10"/>
      <c r="Z341" s="11"/>
      <c r="AA341" s="10"/>
      <c r="AB341" s="11"/>
      <c r="AC341" s="10"/>
      <c r="AD341" s="11"/>
      <c r="AE341" s="10"/>
      <c r="AF341" s="11"/>
      <c r="AG341" s="11"/>
      <c r="AH341" s="11"/>
      <c r="AI341" s="10"/>
      <c r="AJ341" s="10"/>
    </row>
    <row r="342" customFormat="false" ht="39.55" hidden="false" customHeight="false" outlineLevel="0" collapsed="false">
      <c r="A342" s="7" t="n">
        <v>340</v>
      </c>
      <c r="B342" s="7" t="str">
        <f aca="false">IF(I342="Y",IF(COUNTIF(I$3:I342,"Y")&lt;=20,"pilot",IF(COUNTIF(I$3:I342,"Y")&lt;=40,"dev",IF(COUNTIF(I$3:I342,"Y")&lt;=200,"test","extra"))),"")</f>
        <v/>
      </c>
      <c r="C342" s="7" t="str">
        <f aca="false">IF(I342="Y",IF(COUNTA(K342,M342,O342,Q342,S342,U342,W342,Y342,AA342,AC342,AE342)=11,"done","in progress"),IF(I342="N","excluded",""))</f>
        <v/>
      </c>
      <c r="D342" s="7" t="s">
        <v>900</v>
      </c>
      <c r="E342" s="8" t="s">
        <v>96</v>
      </c>
      <c r="F342" s="9" t="s">
        <v>901</v>
      </c>
      <c r="G342" s="7" t="s">
        <v>302</v>
      </c>
      <c r="H342" s="7"/>
      <c r="I342" s="10"/>
      <c r="J342" s="10"/>
      <c r="K342" s="10"/>
      <c r="L342" s="11"/>
      <c r="M342" s="10"/>
      <c r="N342" s="11"/>
      <c r="O342" s="10"/>
      <c r="P342" s="11"/>
      <c r="Q342" s="10"/>
      <c r="R342" s="11"/>
      <c r="S342" s="10"/>
      <c r="T342" s="11"/>
      <c r="U342" s="10"/>
      <c r="V342" s="11"/>
      <c r="W342" s="10"/>
      <c r="X342" s="11"/>
      <c r="Y342" s="10"/>
      <c r="Z342" s="11"/>
      <c r="AA342" s="10"/>
      <c r="AB342" s="11"/>
      <c r="AC342" s="10"/>
      <c r="AD342" s="11"/>
      <c r="AE342" s="10"/>
      <c r="AF342" s="11"/>
      <c r="AG342" s="11"/>
      <c r="AH342" s="11"/>
      <c r="AI342" s="10"/>
      <c r="AJ342" s="10"/>
    </row>
    <row r="343" customFormat="false" ht="39.55" hidden="false" customHeight="false" outlineLevel="0" collapsed="false">
      <c r="A343" s="7" t="n">
        <v>341</v>
      </c>
      <c r="B343" s="7" t="str">
        <f aca="false">IF(I343="Y",IF(COUNTIF(I$3:I343,"Y")&lt;=20,"pilot",IF(COUNTIF(I$3:I343,"Y")&lt;=40,"dev",IF(COUNTIF(I$3:I343,"Y")&lt;=200,"test","extra"))),"")</f>
        <v/>
      </c>
      <c r="C343" s="7" t="str">
        <f aca="false">IF(I343="Y",IF(COUNTA(K343,M343,O343,Q343,S343,U343,W343,Y343,AA343,AC343,AE343)=11,"done","in progress"),IF(I343="N","excluded",""))</f>
        <v/>
      </c>
      <c r="D343" s="7" t="s">
        <v>902</v>
      </c>
      <c r="E343" s="8" t="s">
        <v>96</v>
      </c>
      <c r="F343" s="9" t="s">
        <v>903</v>
      </c>
      <c r="G343" s="7" t="s">
        <v>444</v>
      </c>
      <c r="H343" s="7"/>
      <c r="I343" s="10"/>
      <c r="J343" s="10"/>
      <c r="K343" s="10"/>
      <c r="L343" s="11"/>
      <c r="M343" s="10"/>
      <c r="N343" s="11"/>
      <c r="O343" s="10"/>
      <c r="P343" s="11"/>
      <c r="Q343" s="10"/>
      <c r="R343" s="11"/>
      <c r="S343" s="10"/>
      <c r="T343" s="11"/>
      <c r="U343" s="10"/>
      <c r="V343" s="11"/>
      <c r="W343" s="10"/>
      <c r="X343" s="11"/>
      <c r="Y343" s="10"/>
      <c r="Z343" s="11"/>
      <c r="AA343" s="10"/>
      <c r="AB343" s="11"/>
      <c r="AC343" s="10"/>
      <c r="AD343" s="11"/>
      <c r="AE343" s="10"/>
      <c r="AF343" s="11"/>
      <c r="AG343" s="11"/>
      <c r="AH343" s="11"/>
      <c r="AI343" s="10"/>
      <c r="AJ343" s="10"/>
    </row>
    <row r="344" customFormat="false" ht="39.55" hidden="false" customHeight="false" outlineLevel="0" collapsed="false">
      <c r="A344" s="7" t="n">
        <v>342</v>
      </c>
      <c r="B344" s="7" t="str">
        <f aca="false">IF(I344="Y",IF(COUNTIF(I$3:I344,"Y")&lt;=20,"pilot",IF(COUNTIF(I$3:I344,"Y")&lt;=40,"dev",IF(COUNTIF(I$3:I344,"Y")&lt;=200,"test","extra"))),"")</f>
        <v/>
      </c>
      <c r="C344" s="7" t="str">
        <f aca="false">IF(I344="Y",IF(COUNTA(K344,M344,O344,Q344,S344,U344,W344,Y344,AA344,AC344,AE344)=11,"done","in progress"),IF(I344="N","excluded",""))</f>
        <v/>
      </c>
      <c r="D344" s="7" t="s">
        <v>904</v>
      </c>
      <c r="E344" s="8" t="s">
        <v>96</v>
      </c>
      <c r="F344" s="9" t="s">
        <v>905</v>
      </c>
      <c r="G344" s="7" t="s">
        <v>906</v>
      </c>
      <c r="H344" s="7"/>
      <c r="I344" s="10"/>
      <c r="J344" s="10"/>
      <c r="K344" s="10"/>
      <c r="L344" s="11"/>
      <c r="M344" s="10"/>
      <c r="N344" s="11"/>
      <c r="O344" s="10"/>
      <c r="P344" s="11"/>
      <c r="Q344" s="10"/>
      <c r="R344" s="11"/>
      <c r="S344" s="10"/>
      <c r="T344" s="11"/>
      <c r="U344" s="10"/>
      <c r="V344" s="11"/>
      <c r="W344" s="10"/>
      <c r="X344" s="11"/>
      <c r="Y344" s="10"/>
      <c r="Z344" s="11"/>
      <c r="AA344" s="10"/>
      <c r="AB344" s="11"/>
      <c r="AC344" s="10"/>
      <c r="AD344" s="11"/>
      <c r="AE344" s="10"/>
      <c r="AF344" s="11"/>
      <c r="AG344" s="11"/>
      <c r="AH344" s="11"/>
      <c r="AI344" s="10"/>
      <c r="AJ344" s="10"/>
    </row>
    <row r="345" customFormat="false" ht="52.2" hidden="false" customHeight="false" outlineLevel="0" collapsed="false">
      <c r="A345" s="7" t="n">
        <v>343</v>
      </c>
      <c r="B345" s="7" t="str">
        <f aca="false">IF(I345="Y",IF(COUNTIF(I$3:I345,"Y")&lt;=20,"pilot",IF(COUNTIF(I$3:I345,"Y")&lt;=40,"dev",IF(COUNTIF(I$3:I345,"Y")&lt;=200,"test","extra"))),"")</f>
        <v/>
      </c>
      <c r="C345" s="7" t="str">
        <f aca="false">IF(I345="Y",IF(COUNTA(K345,M345,O345,Q345,S345,U345,W345,Y345,AA345,AC345,AE345)=11,"done","in progress"),IF(I345="N","excluded",""))</f>
        <v/>
      </c>
      <c r="D345" s="7" t="s">
        <v>907</v>
      </c>
      <c r="E345" s="8" t="s">
        <v>96</v>
      </c>
      <c r="F345" s="9" t="s">
        <v>908</v>
      </c>
      <c r="G345" s="7" t="s">
        <v>909</v>
      </c>
      <c r="H345" s="7"/>
      <c r="I345" s="10"/>
      <c r="J345" s="10"/>
      <c r="K345" s="10"/>
      <c r="L345" s="11"/>
      <c r="M345" s="10"/>
      <c r="N345" s="11"/>
      <c r="O345" s="10"/>
      <c r="P345" s="11"/>
      <c r="Q345" s="10"/>
      <c r="R345" s="11"/>
      <c r="S345" s="10"/>
      <c r="T345" s="11"/>
      <c r="U345" s="10"/>
      <c r="V345" s="11"/>
      <c r="W345" s="10"/>
      <c r="X345" s="11"/>
      <c r="Y345" s="10"/>
      <c r="Z345" s="11"/>
      <c r="AA345" s="10"/>
      <c r="AB345" s="11"/>
      <c r="AC345" s="10"/>
      <c r="AD345" s="11"/>
      <c r="AE345" s="10"/>
      <c r="AF345" s="11"/>
      <c r="AG345" s="11"/>
      <c r="AH345" s="11"/>
      <c r="AI345" s="10"/>
      <c r="AJ345" s="10"/>
    </row>
    <row r="346" customFormat="false" ht="39.55" hidden="false" customHeight="false" outlineLevel="0" collapsed="false">
      <c r="A346" s="7" t="n">
        <v>344</v>
      </c>
      <c r="B346" s="7" t="str">
        <f aca="false">IF(I346="Y",IF(COUNTIF(I$3:I346,"Y")&lt;=20,"pilot",IF(COUNTIF(I$3:I346,"Y")&lt;=40,"dev",IF(COUNTIF(I$3:I346,"Y")&lt;=200,"test","extra"))),"")</f>
        <v/>
      </c>
      <c r="C346" s="7" t="str">
        <f aca="false">IF(I346="Y",IF(COUNTA(K346,M346,O346,Q346,S346,U346,W346,Y346,AA346,AC346,AE346)=11,"done","in progress"),IF(I346="N","excluded",""))</f>
        <v/>
      </c>
      <c r="D346" s="7" t="s">
        <v>910</v>
      </c>
      <c r="E346" s="8" t="s">
        <v>96</v>
      </c>
      <c r="F346" s="9" t="s">
        <v>911</v>
      </c>
      <c r="G346" s="7" t="s">
        <v>238</v>
      </c>
      <c r="H346" s="7"/>
      <c r="I346" s="10"/>
      <c r="J346" s="10"/>
      <c r="K346" s="10"/>
      <c r="L346" s="11"/>
      <c r="M346" s="10"/>
      <c r="N346" s="11"/>
      <c r="O346" s="10"/>
      <c r="P346" s="11"/>
      <c r="Q346" s="10"/>
      <c r="R346" s="11"/>
      <c r="S346" s="10"/>
      <c r="T346" s="11"/>
      <c r="U346" s="10"/>
      <c r="V346" s="11"/>
      <c r="W346" s="10"/>
      <c r="X346" s="11"/>
      <c r="Y346" s="10"/>
      <c r="Z346" s="11"/>
      <c r="AA346" s="10"/>
      <c r="AB346" s="11"/>
      <c r="AC346" s="10"/>
      <c r="AD346" s="11"/>
      <c r="AE346" s="10"/>
      <c r="AF346" s="11"/>
      <c r="AG346" s="11"/>
      <c r="AH346" s="11"/>
      <c r="AI346" s="10"/>
      <c r="AJ346" s="10"/>
    </row>
    <row r="347" customFormat="false" ht="26.85" hidden="false" customHeight="false" outlineLevel="0" collapsed="false">
      <c r="A347" s="7" t="n">
        <v>345</v>
      </c>
      <c r="B347" s="7" t="str">
        <f aca="false">IF(I347="Y",IF(COUNTIF(I$3:I347,"Y")&lt;=20,"pilot",IF(COUNTIF(I$3:I347,"Y")&lt;=40,"dev",IF(COUNTIF(I$3:I347,"Y")&lt;=200,"test","extra"))),"")</f>
        <v/>
      </c>
      <c r="C347" s="7" t="str">
        <f aca="false">IF(I347="Y",IF(COUNTA(K347,M347,O347,Q347,S347,U347,W347,Y347,AA347,AC347,AE347)=11,"done","in progress"),IF(I347="N","excluded",""))</f>
        <v/>
      </c>
      <c r="D347" s="7" t="s">
        <v>912</v>
      </c>
      <c r="E347" s="8" t="s">
        <v>96</v>
      </c>
      <c r="F347" s="9" t="s">
        <v>913</v>
      </c>
      <c r="G347" s="7" t="s">
        <v>98</v>
      </c>
      <c r="H347" s="7"/>
      <c r="I347" s="10"/>
      <c r="J347" s="10"/>
      <c r="K347" s="10"/>
      <c r="L347" s="11"/>
      <c r="M347" s="10"/>
      <c r="N347" s="11"/>
      <c r="O347" s="10"/>
      <c r="P347" s="11"/>
      <c r="Q347" s="10"/>
      <c r="R347" s="11"/>
      <c r="S347" s="10"/>
      <c r="T347" s="11"/>
      <c r="U347" s="10"/>
      <c r="V347" s="11"/>
      <c r="W347" s="10"/>
      <c r="X347" s="11"/>
      <c r="Y347" s="10"/>
      <c r="Z347" s="11"/>
      <c r="AA347" s="10"/>
      <c r="AB347" s="11"/>
      <c r="AC347" s="10"/>
      <c r="AD347" s="11"/>
      <c r="AE347" s="10"/>
      <c r="AF347" s="11"/>
      <c r="AG347" s="11"/>
      <c r="AH347" s="11"/>
      <c r="AI347" s="10"/>
      <c r="AJ347" s="10"/>
    </row>
    <row r="348" customFormat="false" ht="26.85" hidden="false" customHeight="false" outlineLevel="0" collapsed="false">
      <c r="A348" s="7" t="n">
        <v>346</v>
      </c>
      <c r="B348" s="7" t="str">
        <f aca="false">IF(I348="Y",IF(COUNTIF(I$3:I348,"Y")&lt;=20,"pilot",IF(COUNTIF(I$3:I348,"Y")&lt;=40,"dev",IF(COUNTIF(I$3:I348,"Y")&lt;=200,"test","extra"))),"")</f>
        <v/>
      </c>
      <c r="C348" s="7" t="str">
        <f aca="false">IF(I348="Y",IF(COUNTA(K348,M348,O348,Q348,S348,U348,W348,Y348,AA348,AC348,AE348)=11,"done","in progress"),IF(I348="N","excluded",""))</f>
        <v/>
      </c>
      <c r="D348" s="7" t="s">
        <v>914</v>
      </c>
      <c r="E348" s="8" t="s">
        <v>96</v>
      </c>
      <c r="F348" s="9" t="s">
        <v>915</v>
      </c>
      <c r="G348" s="7" t="s">
        <v>916</v>
      </c>
      <c r="H348" s="7"/>
      <c r="I348" s="10"/>
      <c r="J348" s="10"/>
      <c r="K348" s="10"/>
      <c r="L348" s="11"/>
      <c r="M348" s="10"/>
      <c r="N348" s="11"/>
      <c r="O348" s="10"/>
      <c r="P348" s="11"/>
      <c r="Q348" s="10"/>
      <c r="R348" s="11"/>
      <c r="S348" s="10"/>
      <c r="T348" s="11"/>
      <c r="U348" s="10"/>
      <c r="V348" s="11"/>
      <c r="W348" s="10"/>
      <c r="X348" s="11"/>
      <c r="Y348" s="10"/>
      <c r="Z348" s="11"/>
      <c r="AA348" s="10"/>
      <c r="AB348" s="11"/>
      <c r="AC348" s="10"/>
      <c r="AD348" s="11"/>
      <c r="AE348" s="10"/>
      <c r="AF348" s="11"/>
      <c r="AG348" s="11"/>
      <c r="AH348" s="11"/>
      <c r="AI348" s="10"/>
      <c r="AJ348" s="10"/>
    </row>
    <row r="349" customFormat="false" ht="39.55" hidden="false" customHeight="false" outlineLevel="0" collapsed="false">
      <c r="A349" s="7" t="n">
        <v>347</v>
      </c>
      <c r="B349" s="7" t="str">
        <f aca="false">IF(I349="Y",IF(COUNTIF(I$3:I349,"Y")&lt;=20,"pilot",IF(COUNTIF(I$3:I349,"Y")&lt;=40,"dev",IF(COUNTIF(I$3:I349,"Y")&lt;=200,"test","extra"))),"")</f>
        <v/>
      </c>
      <c r="C349" s="7" t="str">
        <f aca="false">IF(I349="Y",IF(COUNTA(K349,M349,O349,Q349,S349,U349,W349,Y349,AA349,AC349,AE349)=11,"done","in progress"),IF(I349="N","excluded",""))</f>
        <v/>
      </c>
      <c r="D349" s="7" t="s">
        <v>917</v>
      </c>
      <c r="E349" s="8" t="s">
        <v>96</v>
      </c>
      <c r="F349" s="9" t="s">
        <v>918</v>
      </c>
      <c r="G349" s="7" t="s">
        <v>125</v>
      </c>
      <c r="H349" s="7"/>
      <c r="I349" s="10"/>
      <c r="J349" s="10"/>
      <c r="K349" s="10"/>
      <c r="L349" s="11"/>
      <c r="M349" s="10"/>
      <c r="N349" s="11"/>
      <c r="O349" s="10"/>
      <c r="P349" s="11"/>
      <c r="Q349" s="10"/>
      <c r="R349" s="11"/>
      <c r="S349" s="10"/>
      <c r="T349" s="11"/>
      <c r="U349" s="10"/>
      <c r="V349" s="11"/>
      <c r="W349" s="10"/>
      <c r="X349" s="11"/>
      <c r="Y349" s="10"/>
      <c r="Z349" s="11"/>
      <c r="AA349" s="10"/>
      <c r="AB349" s="11"/>
      <c r="AC349" s="10"/>
      <c r="AD349" s="11"/>
      <c r="AE349" s="10"/>
      <c r="AF349" s="11"/>
      <c r="AG349" s="11"/>
      <c r="AH349" s="11"/>
      <c r="AI349" s="10"/>
      <c r="AJ349" s="10"/>
    </row>
    <row r="350" customFormat="false" ht="52.2" hidden="false" customHeight="false" outlineLevel="0" collapsed="false">
      <c r="A350" s="7" t="n">
        <v>348</v>
      </c>
      <c r="B350" s="7" t="str">
        <f aca="false">IF(I350="Y",IF(COUNTIF(I$3:I350,"Y")&lt;=20,"pilot",IF(COUNTIF(I$3:I350,"Y")&lt;=40,"dev",IF(COUNTIF(I$3:I350,"Y")&lt;=200,"test","extra"))),"")</f>
        <v/>
      </c>
      <c r="C350" s="7" t="str">
        <f aca="false">IF(I350="Y",IF(COUNTA(K350,M350,O350,Q350,S350,U350,W350,Y350,AA350,AC350,AE350)=11,"done","in progress"),IF(I350="N","excluded",""))</f>
        <v/>
      </c>
      <c r="D350" s="7" t="s">
        <v>919</v>
      </c>
      <c r="E350" s="8" t="s">
        <v>96</v>
      </c>
      <c r="F350" s="9" t="s">
        <v>920</v>
      </c>
      <c r="G350" s="7" t="s">
        <v>98</v>
      </c>
      <c r="H350" s="7"/>
      <c r="I350" s="10"/>
      <c r="J350" s="10"/>
      <c r="K350" s="10"/>
      <c r="L350" s="11"/>
      <c r="M350" s="10"/>
      <c r="N350" s="11"/>
      <c r="O350" s="10"/>
      <c r="P350" s="11"/>
      <c r="Q350" s="10"/>
      <c r="R350" s="11"/>
      <c r="S350" s="10"/>
      <c r="T350" s="11"/>
      <c r="U350" s="10"/>
      <c r="V350" s="11"/>
      <c r="W350" s="10"/>
      <c r="X350" s="11"/>
      <c r="Y350" s="10"/>
      <c r="Z350" s="11"/>
      <c r="AA350" s="10"/>
      <c r="AB350" s="11"/>
      <c r="AC350" s="10"/>
      <c r="AD350" s="11"/>
      <c r="AE350" s="10"/>
      <c r="AF350" s="11"/>
      <c r="AG350" s="11"/>
      <c r="AH350" s="11"/>
      <c r="AI350" s="10"/>
      <c r="AJ350" s="10"/>
    </row>
    <row r="351" customFormat="false" ht="39.55" hidden="false" customHeight="false" outlineLevel="0" collapsed="false">
      <c r="A351" s="7" t="n">
        <v>349</v>
      </c>
      <c r="B351" s="7" t="str">
        <f aca="false">IF(I351="Y",IF(COUNTIF(I$3:I351,"Y")&lt;=20,"pilot",IF(COUNTIF(I$3:I351,"Y")&lt;=40,"dev",IF(COUNTIF(I$3:I351,"Y")&lt;=200,"test","extra"))),"")</f>
        <v/>
      </c>
      <c r="C351" s="7" t="str">
        <f aca="false">IF(I351="Y",IF(COUNTA(K351,M351,O351,Q351,S351,U351,W351,Y351,AA351,AC351,AE351)=11,"done","in progress"),IF(I351="N","excluded",""))</f>
        <v/>
      </c>
      <c r="D351" s="7" t="s">
        <v>921</v>
      </c>
      <c r="E351" s="8" t="s">
        <v>96</v>
      </c>
      <c r="F351" s="9" t="s">
        <v>922</v>
      </c>
      <c r="G351" s="7" t="s">
        <v>107</v>
      </c>
      <c r="H351" s="7"/>
      <c r="I351" s="10"/>
      <c r="J351" s="10"/>
      <c r="K351" s="10"/>
      <c r="L351" s="11"/>
      <c r="M351" s="10"/>
      <c r="N351" s="11"/>
      <c r="O351" s="10"/>
      <c r="P351" s="11"/>
      <c r="Q351" s="10"/>
      <c r="R351" s="11"/>
      <c r="S351" s="10"/>
      <c r="T351" s="11"/>
      <c r="U351" s="10"/>
      <c r="V351" s="11"/>
      <c r="W351" s="10"/>
      <c r="X351" s="11"/>
      <c r="Y351" s="10"/>
      <c r="Z351" s="11"/>
      <c r="AA351" s="10"/>
      <c r="AB351" s="11"/>
      <c r="AC351" s="10"/>
      <c r="AD351" s="11"/>
      <c r="AE351" s="10"/>
      <c r="AF351" s="11"/>
      <c r="AG351" s="11"/>
      <c r="AH351" s="11"/>
      <c r="AI351" s="10"/>
      <c r="AJ351" s="10"/>
    </row>
    <row r="352" customFormat="false" ht="26.85" hidden="false" customHeight="false" outlineLevel="0" collapsed="false">
      <c r="A352" s="7" t="n">
        <v>350</v>
      </c>
      <c r="B352" s="7" t="str">
        <f aca="false">IF(I352="Y",IF(COUNTIF(I$3:I352,"Y")&lt;=20,"pilot",IF(COUNTIF(I$3:I352,"Y")&lt;=40,"dev",IF(COUNTIF(I$3:I352,"Y")&lt;=200,"test","extra"))),"")</f>
        <v/>
      </c>
      <c r="C352" s="7" t="str">
        <f aca="false">IF(I352="Y",IF(COUNTA(K352,M352,O352,Q352,S352,U352,W352,Y352,AA352,AC352,AE352)=11,"done","in progress"),IF(I352="N","excluded",""))</f>
        <v/>
      </c>
      <c r="D352" s="7" t="s">
        <v>923</v>
      </c>
      <c r="E352" s="8" t="s">
        <v>96</v>
      </c>
      <c r="F352" s="9" t="s">
        <v>924</v>
      </c>
      <c r="G352" s="7" t="s">
        <v>925</v>
      </c>
      <c r="H352" s="7"/>
      <c r="I352" s="10"/>
      <c r="J352" s="10"/>
      <c r="K352" s="10"/>
      <c r="L352" s="11"/>
      <c r="M352" s="10"/>
      <c r="N352" s="11"/>
      <c r="O352" s="10"/>
      <c r="P352" s="11"/>
      <c r="Q352" s="10"/>
      <c r="R352" s="11"/>
      <c r="S352" s="10"/>
      <c r="T352" s="11"/>
      <c r="U352" s="10"/>
      <c r="V352" s="11"/>
      <c r="W352" s="10"/>
      <c r="X352" s="11"/>
      <c r="Y352" s="10"/>
      <c r="Z352" s="11"/>
      <c r="AA352" s="10"/>
      <c r="AB352" s="11"/>
      <c r="AC352" s="10"/>
      <c r="AD352" s="11"/>
      <c r="AE352" s="10"/>
      <c r="AF352" s="11"/>
      <c r="AG352" s="11"/>
      <c r="AH352" s="11"/>
      <c r="AI352" s="10"/>
      <c r="AJ352" s="10"/>
    </row>
    <row r="353" customFormat="false" ht="39.55" hidden="false" customHeight="false" outlineLevel="0" collapsed="false">
      <c r="A353" s="7" t="n">
        <v>351</v>
      </c>
      <c r="B353" s="7" t="str">
        <f aca="false">IF(I353="Y",IF(COUNTIF(I$3:I353,"Y")&lt;=20,"pilot",IF(COUNTIF(I$3:I353,"Y")&lt;=40,"dev",IF(COUNTIF(I$3:I353,"Y")&lt;=200,"test","extra"))),"")</f>
        <v/>
      </c>
      <c r="C353" s="7" t="str">
        <f aca="false">IF(I353="Y",IF(COUNTA(K353,M353,O353,Q353,S353,U353,W353,Y353,AA353,AC353,AE353)=11,"done","in progress"),IF(I353="N","excluded",""))</f>
        <v/>
      </c>
      <c r="D353" s="7" t="s">
        <v>926</v>
      </c>
      <c r="E353" s="8" t="s">
        <v>96</v>
      </c>
      <c r="F353" s="9" t="s">
        <v>927</v>
      </c>
      <c r="G353" s="7" t="s">
        <v>928</v>
      </c>
      <c r="H353" s="7" t="s">
        <v>929</v>
      </c>
      <c r="I353" s="10"/>
      <c r="J353" s="10"/>
      <c r="K353" s="10"/>
      <c r="L353" s="11"/>
      <c r="M353" s="10"/>
      <c r="N353" s="11"/>
      <c r="O353" s="10"/>
      <c r="P353" s="11"/>
      <c r="Q353" s="10"/>
      <c r="R353" s="11"/>
      <c r="S353" s="10"/>
      <c r="T353" s="11"/>
      <c r="U353" s="10"/>
      <c r="V353" s="11"/>
      <c r="W353" s="10"/>
      <c r="X353" s="11"/>
      <c r="Y353" s="10"/>
      <c r="Z353" s="11"/>
      <c r="AA353" s="10"/>
      <c r="AB353" s="11"/>
      <c r="AC353" s="10"/>
      <c r="AD353" s="11"/>
      <c r="AE353" s="10"/>
      <c r="AF353" s="11"/>
      <c r="AG353" s="11"/>
      <c r="AH353" s="11"/>
      <c r="AI353" s="10"/>
      <c r="AJ353" s="10"/>
    </row>
    <row r="354" customFormat="false" ht="39.55" hidden="false" customHeight="false" outlineLevel="0" collapsed="false">
      <c r="A354" s="7" t="n">
        <v>352</v>
      </c>
      <c r="B354" s="7" t="str">
        <f aca="false">IF(I354="Y",IF(COUNTIF(I$3:I354,"Y")&lt;=20,"pilot",IF(COUNTIF(I$3:I354,"Y")&lt;=40,"dev",IF(COUNTIF(I$3:I354,"Y")&lt;=200,"test","extra"))),"")</f>
        <v/>
      </c>
      <c r="C354" s="7" t="str">
        <f aca="false">IF(I354="Y",IF(COUNTA(K354,M354,O354,Q354,S354,U354,W354,Y354,AA354,AC354,AE354)=11,"done","in progress"),IF(I354="N","excluded",""))</f>
        <v/>
      </c>
      <c r="D354" s="7" t="s">
        <v>930</v>
      </c>
      <c r="E354" s="8" t="s">
        <v>96</v>
      </c>
      <c r="F354" s="9" t="s">
        <v>931</v>
      </c>
      <c r="G354" s="7" t="s">
        <v>98</v>
      </c>
      <c r="H354" s="7"/>
      <c r="I354" s="10"/>
      <c r="J354" s="10"/>
      <c r="K354" s="10"/>
      <c r="L354" s="11"/>
      <c r="M354" s="10"/>
      <c r="N354" s="11"/>
      <c r="O354" s="10"/>
      <c r="P354" s="11"/>
      <c r="Q354" s="10"/>
      <c r="R354" s="11"/>
      <c r="S354" s="10"/>
      <c r="T354" s="11"/>
      <c r="U354" s="10"/>
      <c r="V354" s="11"/>
      <c r="W354" s="10"/>
      <c r="X354" s="11"/>
      <c r="Y354" s="10"/>
      <c r="Z354" s="11"/>
      <c r="AA354" s="10"/>
      <c r="AB354" s="11"/>
      <c r="AC354" s="10"/>
      <c r="AD354" s="11"/>
      <c r="AE354" s="10"/>
      <c r="AF354" s="11"/>
      <c r="AG354" s="11"/>
      <c r="AH354" s="11"/>
      <c r="AI354" s="10"/>
      <c r="AJ354" s="10"/>
    </row>
    <row r="355" customFormat="false" ht="26.85" hidden="false" customHeight="false" outlineLevel="0" collapsed="false">
      <c r="A355" s="7" t="n">
        <v>353</v>
      </c>
      <c r="B355" s="7" t="str">
        <f aca="false">IF(I355="Y",IF(COUNTIF(I$3:I355,"Y")&lt;=20,"pilot",IF(COUNTIF(I$3:I355,"Y")&lt;=40,"dev",IF(COUNTIF(I$3:I355,"Y")&lt;=200,"test","extra"))),"")</f>
        <v/>
      </c>
      <c r="C355" s="7" t="str">
        <f aca="false">IF(I355="Y",IF(COUNTA(K355,M355,O355,Q355,S355,U355,W355,Y355,AA355,AC355,AE355)=11,"done","in progress"),IF(I355="N","excluded",""))</f>
        <v/>
      </c>
      <c r="D355" s="7" t="s">
        <v>932</v>
      </c>
      <c r="E355" s="8" t="s">
        <v>96</v>
      </c>
      <c r="F355" s="9" t="s">
        <v>933</v>
      </c>
      <c r="G355" s="7" t="s">
        <v>133</v>
      </c>
      <c r="H355" s="7"/>
      <c r="I355" s="10"/>
      <c r="J355" s="10"/>
      <c r="K355" s="10"/>
      <c r="L355" s="11"/>
      <c r="M355" s="10"/>
      <c r="N355" s="11"/>
      <c r="O355" s="10"/>
      <c r="P355" s="11"/>
      <c r="Q355" s="10"/>
      <c r="R355" s="11"/>
      <c r="S355" s="10"/>
      <c r="T355" s="11"/>
      <c r="U355" s="10"/>
      <c r="V355" s="11"/>
      <c r="W355" s="10"/>
      <c r="X355" s="11"/>
      <c r="Y355" s="10"/>
      <c r="Z355" s="11"/>
      <c r="AA355" s="10"/>
      <c r="AB355" s="11"/>
      <c r="AC355" s="10"/>
      <c r="AD355" s="11"/>
      <c r="AE355" s="10"/>
      <c r="AF355" s="11"/>
      <c r="AG355" s="11"/>
      <c r="AH355" s="11"/>
      <c r="AI355" s="10"/>
      <c r="AJ355" s="10"/>
    </row>
    <row r="356" customFormat="false" ht="39.55" hidden="false" customHeight="false" outlineLevel="0" collapsed="false">
      <c r="A356" s="7" t="n">
        <v>354</v>
      </c>
      <c r="B356" s="7" t="str">
        <f aca="false">IF(I356="Y",IF(COUNTIF(I$3:I356,"Y")&lt;=20,"pilot",IF(COUNTIF(I$3:I356,"Y")&lt;=40,"dev",IF(COUNTIF(I$3:I356,"Y")&lt;=200,"test","extra"))),"")</f>
        <v/>
      </c>
      <c r="C356" s="7" t="str">
        <f aca="false">IF(I356="Y",IF(COUNTA(K356,M356,O356,Q356,S356,U356,W356,Y356,AA356,AC356,AE356)=11,"done","in progress"),IF(I356="N","excluded",""))</f>
        <v/>
      </c>
      <c r="D356" s="7" t="s">
        <v>934</v>
      </c>
      <c r="E356" s="8" t="s">
        <v>96</v>
      </c>
      <c r="F356" s="9" t="s">
        <v>935</v>
      </c>
      <c r="G356" s="7" t="s">
        <v>125</v>
      </c>
      <c r="H356" s="7"/>
      <c r="I356" s="10"/>
      <c r="J356" s="10"/>
      <c r="K356" s="10"/>
      <c r="L356" s="11"/>
      <c r="M356" s="10"/>
      <c r="N356" s="11"/>
      <c r="O356" s="10"/>
      <c r="P356" s="11"/>
      <c r="Q356" s="10"/>
      <c r="R356" s="11"/>
      <c r="S356" s="10"/>
      <c r="T356" s="11"/>
      <c r="U356" s="10"/>
      <c r="V356" s="11"/>
      <c r="W356" s="10"/>
      <c r="X356" s="11"/>
      <c r="Y356" s="10"/>
      <c r="Z356" s="11"/>
      <c r="AA356" s="10"/>
      <c r="AB356" s="11"/>
      <c r="AC356" s="10"/>
      <c r="AD356" s="11"/>
      <c r="AE356" s="10"/>
      <c r="AF356" s="11"/>
      <c r="AG356" s="11"/>
      <c r="AH356" s="11"/>
      <c r="AI356" s="10"/>
      <c r="AJ356" s="10"/>
    </row>
    <row r="357" customFormat="false" ht="39.55" hidden="false" customHeight="false" outlineLevel="0" collapsed="false">
      <c r="A357" s="7" t="n">
        <v>355</v>
      </c>
      <c r="B357" s="7" t="str">
        <f aca="false">IF(I357="Y",IF(COUNTIF(I$3:I357,"Y")&lt;=20,"pilot",IF(COUNTIF(I$3:I357,"Y")&lt;=40,"dev",IF(COUNTIF(I$3:I357,"Y")&lt;=200,"test","extra"))),"")</f>
        <v/>
      </c>
      <c r="C357" s="7" t="str">
        <f aca="false">IF(I357="Y",IF(COUNTA(K357,M357,O357,Q357,S357,U357,W357,Y357,AA357,AC357,AE357)=11,"done","in progress"),IF(I357="N","excluded",""))</f>
        <v/>
      </c>
      <c r="D357" s="7" t="s">
        <v>936</v>
      </c>
      <c r="E357" s="8" t="s">
        <v>96</v>
      </c>
      <c r="F357" s="9" t="s">
        <v>937</v>
      </c>
      <c r="G357" s="7" t="s">
        <v>107</v>
      </c>
      <c r="H357" s="7"/>
      <c r="I357" s="10"/>
      <c r="J357" s="10"/>
      <c r="K357" s="10"/>
      <c r="L357" s="11"/>
      <c r="M357" s="10"/>
      <c r="N357" s="11"/>
      <c r="O357" s="10"/>
      <c r="P357" s="11"/>
      <c r="Q357" s="10"/>
      <c r="R357" s="11"/>
      <c r="S357" s="10"/>
      <c r="T357" s="11"/>
      <c r="U357" s="10"/>
      <c r="V357" s="11"/>
      <c r="W357" s="10"/>
      <c r="X357" s="11"/>
      <c r="Y357" s="10"/>
      <c r="Z357" s="11"/>
      <c r="AA357" s="10"/>
      <c r="AB357" s="11"/>
      <c r="AC357" s="10"/>
      <c r="AD357" s="11"/>
      <c r="AE357" s="10"/>
      <c r="AF357" s="11"/>
      <c r="AG357" s="11"/>
      <c r="AH357" s="11"/>
      <c r="AI357" s="10"/>
      <c r="AJ357" s="10"/>
    </row>
    <row r="358" customFormat="false" ht="39.55" hidden="false" customHeight="false" outlineLevel="0" collapsed="false">
      <c r="A358" s="7" t="n">
        <v>356</v>
      </c>
      <c r="B358" s="7" t="str">
        <f aca="false">IF(I358="Y",IF(COUNTIF(I$3:I358,"Y")&lt;=20,"pilot",IF(COUNTIF(I$3:I358,"Y")&lt;=40,"dev",IF(COUNTIF(I$3:I358,"Y")&lt;=200,"test","extra"))),"")</f>
        <v/>
      </c>
      <c r="C358" s="7" t="str">
        <f aca="false">IF(I358="Y",IF(COUNTA(K358,M358,O358,Q358,S358,U358,W358,Y358,AA358,AC358,AE358)=11,"done","in progress"),IF(I358="N","excluded",""))</f>
        <v/>
      </c>
      <c r="D358" s="7" t="s">
        <v>938</v>
      </c>
      <c r="E358" s="8" t="s">
        <v>96</v>
      </c>
      <c r="F358" s="9" t="s">
        <v>939</v>
      </c>
      <c r="G358" s="7" t="s">
        <v>940</v>
      </c>
      <c r="H358" s="7"/>
      <c r="I358" s="10"/>
      <c r="J358" s="10"/>
      <c r="K358" s="10"/>
      <c r="L358" s="11"/>
      <c r="M358" s="10"/>
      <c r="N358" s="11"/>
      <c r="O358" s="10"/>
      <c r="P358" s="11"/>
      <c r="Q358" s="10"/>
      <c r="R358" s="11"/>
      <c r="S358" s="10"/>
      <c r="T358" s="11"/>
      <c r="U358" s="10"/>
      <c r="V358" s="11"/>
      <c r="W358" s="10"/>
      <c r="X358" s="11"/>
      <c r="Y358" s="10"/>
      <c r="Z358" s="11"/>
      <c r="AA358" s="10"/>
      <c r="AB358" s="11"/>
      <c r="AC358" s="10"/>
      <c r="AD358" s="11"/>
      <c r="AE358" s="10"/>
      <c r="AF358" s="11"/>
      <c r="AG358" s="11"/>
      <c r="AH358" s="11"/>
      <c r="AI358" s="10"/>
      <c r="AJ358" s="10"/>
    </row>
    <row r="359" customFormat="false" ht="39.55" hidden="false" customHeight="false" outlineLevel="0" collapsed="false">
      <c r="A359" s="7" t="n">
        <v>357</v>
      </c>
      <c r="B359" s="7" t="str">
        <f aca="false">IF(I359="Y",IF(COUNTIF(I$3:I359,"Y")&lt;=20,"pilot",IF(COUNTIF(I$3:I359,"Y")&lt;=40,"dev",IF(COUNTIF(I$3:I359,"Y")&lt;=200,"test","extra"))),"")</f>
        <v/>
      </c>
      <c r="C359" s="7" t="str">
        <f aca="false">IF(I359="Y",IF(COUNTA(K359,M359,O359,Q359,S359,U359,W359,Y359,AA359,AC359,AE359)=11,"done","in progress"),IF(I359="N","excluded",""))</f>
        <v/>
      </c>
      <c r="D359" s="7" t="s">
        <v>941</v>
      </c>
      <c r="E359" s="8" t="s">
        <v>96</v>
      </c>
      <c r="F359" s="9" t="s">
        <v>942</v>
      </c>
      <c r="G359" s="7" t="s">
        <v>166</v>
      </c>
      <c r="H359" s="7"/>
      <c r="I359" s="10"/>
      <c r="J359" s="10"/>
      <c r="K359" s="10"/>
      <c r="L359" s="11"/>
      <c r="M359" s="10"/>
      <c r="N359" s="11"/>
      <c r="O359" s="10"/>
      <c r="P359" s="11"/>
      <c r="Q359" s="10"/>
      <c r="R359" s="11"/>
      <c r="S359" s="10"/>
      <c r="T359" s="11"/>
      <c r="U359" s="10"/>
      <c r="V359" s="11"/>
      <c r="W359" s="10"/>
      <c r="X359" s="11"/>
      <c r="Y359" s="10"/>
      <c r="Z359" s="11"/>
      <c r="AA359" s="10"/>
      <c r="AB359" s="11"/>
      <c r="AC359" s="10"/>
      <c r="AD359" s="11"/>
      <c r="AE359" s="10"/>
      <c r="AF359" s="11"/>
      <c r="AG359" s="11"/>
      <c r="AH359" s="11"/>
      <c r="AI359" s="10"/>
      <c r="AJ359" s="10"/>
    </row>
    <row r="360" customFormat="false" ht="52.2" hidden="false" customHeight="false" outlineLevel="0" collapsed="false">
      <c r="A360" s="7" t="n">
        <v>358</v>
      </c>
      <c r="B360" s="7" t="str">
        <f aca="false">IF(I360="Y",IF(COUNTIF(I$3:I360,"Y")&lt;=20,"pilot",IF(COUNTIF(I$3:I360,"Y")&lt;=40,"dev",IF(COUNTIF(I$3:I360,"Y")&lt;=200,"test","extra"))),"")</f>
        <v/>
      </c>
      <c r="C360" s="7" t="str">
        <f aca="false">IF(I360="Y",IF(COUNTA(K360,M360,O360,Q360,S360,U360,W360,Y360,AA360,AC360,AE360)=11,"done","in progress"),IF(I360="N","excluded",""))</f>
        <v/>
      </c>
      <c r="D360" s="7" t="s">
        <v>943</v>
      </c>
      <c r="E360" s="8" t="s">
        <v>96</v>
      </c>
      <c r="F360" s="9" t="s">
        <v>944</v>
      </c>
      <c r="G360" s="7" t="s">
        <v>945</v>
      </c>
      <c r="H360" s="7"/>
      <c r="I360" s="10"/>
      <c r="J360" s="10"/>
      <c r="K360" s="10"/>
      <c r="L360" s="11"/>
      <c r="M360" s="10"/>
      <c r="N360" s="11"/>
      <c r="O360" s="10"/>
      <c r="P360" s="11"/>
      <c r="Q360" s="10"/>
      <c r="R360" s="11"/>
      <c r="S360" s="10"/>
      <c r="T360" s="11"/>
      <c r="U360" s="10"/>
      <c r="V360" s="11"/>
      <c r="W360" s="10"/>
      <c r="X360" s="11"/>
      <c r="Y360" s="10"/>
      <c r="Z360" s="11"/>
      <c r="AA360" s="10"/>
      <c r="AB360" s="11"/>
      <c r="AC360" s="10"/>
      <c r="AD360" s="11"/>
      <c r="AE360" s="10"/>
      <c r="AF360" s="11"/>
      <c r="AG360" s="11"/>
      <c r="AH360" s="11"/>
      <c r="AI360" s="10"/>
      <c r="AJ360" s="10"/>
    </row>
    <row r="361" customFormat="false" ht="52.2" hidden="false" customHeight="false" outlineLevel="0" collapsed="false">
      <c r="A361" s="7" t="n">
        <v>359</v>
      </c>
      <c r="B361" s="7" t="str">
        <f aca="false">IF(I361="Y",IF(COUNTIF(I$3:I361,"Y")&lt;=20,"pilot",IF(COUNTIF(I$3:I361,"Y")&lt;=40,"dev",IF(COUNTIF(I$3:I361,"Y")&lt;=200,"test","extra"))),"")</f>
        <v/>
      </c>
      <c r="C361" s="7" t="str">
        <f aca="false">IF(I361="Y",IF(COUNTA(K361,M361,O361,Q361,S361,U361,W361,Y361,AA361,AC361,AE361)=11,"done","in progress"),IF(I361="N","excluded",""))</f>
        <v/>
      </c>
      <c r="D361" s="7" t="s">
        <v>946</v>
      </c>
      <c r="E361" s="8" t="s">
        <v>96</v>
      </c>
      <c r="F361" s="9" t="s">
        <v>947</v>
      </c>
      <c r="G361" s="7" t="s">
        <v>948</v>
      </c>
      <c r="H361" s="7"/>
      <c r="I361" s="10"/>
      <c r="J361" s="10"/>
      <c r="K361" s="10"/>
      <c r="L361" s="11"/>
      <c r="M361" s="10"/>
      <c r="N361" s="11"/>
      <c r="O361" s="10"/>
      <c r="P361" s="11"/>
      <c r="Q361" s="10"/>
      <c r="R361" s="11"/>
      <c r="S361" s="10"/>
      <c r="T361" s="11"/>
      <c r="U361" s="10"/>
      <c r="V361" s="11"/>
      <c r="W361" s="10"/>
      <c r="X361" s="11"/>
      <c r="Y361" s="10"/>
      <c r="Z361" s="11"/>
      <c r="AA361" s="10"/>
      <c r="AB361" s="11"/>
      <c r="AC361" s="10"/>
      <c r="AD361" s="11"/>
      <c r="AE361" s="10"/>
      <c r="AF361" s="11"/>
      <c r="AG361" s="11"/>
      <c r="AH361" s="11"/>
      <c r="AI361" s="10"/>
      <c r="AJ361" s="10"/>
    </row>
    <row r="362" customFormat="false" ht="39.55" hidden="false" customHeight="false" outlineLevel="0" collapsed="false">
      <c r="A362" s="7" t="n">
        <v>360</v>
      </c>
      <c r="B362" s="7" t="str">
        <f aca="false">IF(I362="Y",IF(COUNTIF(I$3:I362,"Y")&lt;=20,"pilot",IF(COUNTIF(I$3:I362,"Y")&lt;=40,"dev",IF(COUNTIF(I$3:I362,"Y")&lt;=200,"test","extra"))),"")</f>
        <v/>
      </c>
      <c r="C362" s="7" t="str">
        <f aca="false">IF(I362="Y",IF(COUNTA(K362,M362,O362,Q362,S362,U362,W362,Y362,AA362,AC362,AE362)=11,"done","in progress"),IF(I362="N","excluded",""))</f>
        <v/>
      </c>
      <c r="D362" s="7" t="s">
        <v>949</v>
      </c>
      <c r="E362" s="8" t="s">
        <v>96</v>
      </c>
      <c r="F362" s="9" t="s">
        <v>950</v>
      </c>
      <c r="G362" s="7" t="s">
        <v>305</v>
      </c>
      <c r="H362" s="7"/>
      <c r="I362" s="10"/>
      <c r="J362" s="10"/>
      <c r="K362" s="10"/>
      <c r="L362" s="11"/>
      <c r="M362" s="10"/>
      <c r="N362" s="11"/>
      <c r="O362" s="10"/>
      <c r="P362" s="11"/>
      <c r="Q362" s="10"/>
      <c r="R362" s="11"/>
      <c r="S362" s="10"/>
      <c r="T362" s="11"/>
      <c r="U362" s="10"/>
      <c r="V362" s="11"/>
      <c r="W362" s="10"/>
      <c r="X362" s="11"/>
      <c r="Y362" s="10"/>
      <c r="Z362" s="11"/>
      <c r="AA362" s="10"/>
      <c r="AB362" s="11"/>
      <c r="AC362" s="10"/>
      <c r="AD362" s="11"/>
      <c r="AE362" s="10"/>
      <c r="AF362" s="11"/>
      <c r="AG362" s="11"/>
      <c r="AH362" s="11"/>
      <c r="AI362" s="10"/>
      <c r="AJ362" s="10"/>
    </row>
    <row r="363" customFormat="false" ht="52.2" hidden="false" customHeight="false" outlineLevel="0" collapsed="false">
      <c r="A363" s="7" t="n">
        <v>361</v>
      </c>
      <c r="B363" s="7" t="str">
        <f aca="false">IF(I363="Y",IF(COUNTIF(I$3:I363,"Y")&lt;=20,"pilot",IF(COUNTIF(I$3:I363,"Y")&lt;=40,"dev",IF(COUNTIF(I$3:I363,"Y")&lt;=200,"test","extra"))),"")</f>
        <v/>
      </c>
      <c r="C363" s="7" t="str">
        <f aca="false">IF(I363="Y",IF(COUNTA(K363,M363,O363,Q363,S363,U363,W363,Y363,AA363,AC363,AE363)=11,"done","in progress"),IF(I363="N","excluded",""))</f>
        <v/>
      </c>
      <c r="D363" s="7" t="s">
        <v>951</v>
      </c>
      <c r="E363" s="8" t="s">
        <v>96</v>
      </c>
      <c r="F363" s="9" t="s">
        <v>952</v>
      </c>
      <c r="G363" s="7" t="s">
        <v>500</v>
      </c>
      <c r="H363" s="7"/>
      <c r="I363" s="10"/>
      <c r="J363" s="10"/>
      <c r="K363" s="10"/>
      <c r="L363" s="11"/>
      <c r="M363" s="10"/>
      <c r="N363" s="11"/>
      <c r="O363" s="10"/>
      <c r="P363" s="11"/>
      <c r="Q363" s="10"/>
      <c r="R363" s="11"/>
      <c r="S363" s="10"/>
      <c r="T363" s="11"/>
      <c r="U363" s="10"/>
      <c r="V363" s="11"/>
      <c r="W363" s="10"/>
      <c r="X363" s="11"/>
      <c r="Y363" s="10"/>
      <c r="Z363" s="11"/>
      <c r="AA363" s="10"/>
      <c r="AB363" s="11"/>
      <c r="AC363" s="10"/>
      <c r="AD363" s="11"/>
      <c r="AE363" s="10"/>
      <c r="AF363" s="11"/>
      <c r="AG363" s="11"/>
      <c r="AH363" s="11"/>
      <c r="AI363" s="10"/>
      <c r="AJ363" s="10"/>
    </row>
    <row r="364" customFormat="false" ht="26.85" hidden="false" customHeight="false" outlineLevel="0" collapsed="false">
      <c r="A364" s="7" t="n">
        <v>362</v>
      </c>
      <c r="B364" s="7" t="str">
        <f aca="false">IF(I364="Y",IF(COUNTIF(I$3:I364,"Y")&lt;=20,"pilot",IF(COUNTIF(I$3:I364,"Y")&lt;=40,"dev",IF(COUNTIF(I$3:I364,"Y")&lt;=200,"test","extra"))),"")</f>
        <v/>
      </c>
      <c r="C364" s="7" t="str">
        <f aca="false">IF(I364="Y",IF(COUNTA(K364,M364,O364,Q364,S364,U364,W364,Y364,AA364,AC364,AE364)=11,"done","in progress"),IF(I364="N","excluded",""))</f>
        <v/>
      </c>
      <c r="D364" s="7" t="s">
        <v>953</v>
      </c>
      <c r="E364" s="8" t="s">
        <v>96</v>
      </c>
      <c r="F364" s="9" t="s">
        <v>954</v>
      </c>
      <c r="G364" s="7" t="s">
        <v>107</v>
      </c>
      <c r="H364" s="7"/>
      <c r="I364" s="10"/>
      <c r="J364" s="10"/>
      <c r="K364" s="10"/>
      <c r="L364" s="11"/>
      <c r="M364" s="10"/>
      <c r="N364" s="11"/>
      <c r="O364" s="10"/>
      <c r="P364" s="11"/>
      <c r="Q364" s="10"/>
      <c r="R364" s="11"/>
      <c r="S364" s="10"/>
      <c r="T364" s="11"/>
      <c r="U364" s="10"/>
      <c r="V364" s="11"/>
      <c r="W364" s="10"/>
      <c r="X364" s="11"/>
      <c r="Y364" s="10"/>
      <c r="Z364" s="11"/>
      <c r="AA364" s="10"/>
      <c r="AB364" s="11"/>
      <c r="AC364" s="10"/>
      <c r="AD364" s="11"/>
      <c r="AE364" s="10"/>
      <c r="AF364" s="11"/>
      <c r="AG364" s="11"/>
      <c r="AH364" s="11"/>
      <c r="AI364" s="10"/>
      <c r="AJ364" s="10"/>
    </row>
    <row r="365" customFormat="false" ht="39.55" hidden="false" customHeight="false" outlineLevel="0" collapsed="false">
      <c r="A365" s="7" t="n">
        <v>363</v>
      </c>
      <c r="B365" s="7" t="str">
        <f aca="false">IF(I365="Y",IF(COUNTIF(I$3:I365,"Y")&lt;=20,"pilot",IF(COUNTIF(I$3:I365,"Y")&lt;=40,"dev",IF(COUNTIF(I$3:I365,"Y")&lt;=200,"test","extra"))),"")</f>
        <v/>
      </c>
      <c r="C365" s="7" t="str">
        <f aca="false">IF(I365="Y",IF(COUNTA(K365,M365,O365,Q365,S365,U365,W365,Y365,AA365,AC365,AE365)=11,"done","in progress"),IF(I365="N","excluded",""))</f>
        <v/>
      </c>
      <c r="D365" s="7" t="s">
        <v>955</v>
      </c>
      <c r="E365" s="8" t="s">
        <v>96</v>
      </c>
      <c r="F365" s="9" t="s">
        <v>956</v>
      </c>
      <c r="G365" s="7" t="s">
        <v>113</v>
      </c>
      <c r="H365" s="7"/>
      <c r="I365" s="10"/>
      <c r="J365" s="10"/>
      <c r="K365" s="10"/>
      <c r="L365" s="11"/>
      <c r="M365" s="10"/>
      <c r="N365" s="11"/>
      <c r="O365" s="10"/>
      <c r="P365" s="11"/>
      <c r="Q365" s="10"/>
      <c r="R365" s="11"/>
      <c r="S365" s="10"/>
      <c r="T365" s="11"/>
      <c r="U365" s="10"/>
      <c r="V365" s="11"/>
      <c r="W365" s="10"/>
      <c r="X365" s="11"/>
      <c r="Y365" s="10"/>
      <c r="Z365" s="11"/>
      <c r="AA365" s="10"/>
      <c r="AB365" s="11"/>
      <c r="AC365" s="10"/>
      <c r="AD365" s="11"/>
      <c r="AE365" s="10"/>
      <c r="AF365" s="11"/>
      <c r="AG365" s="11"/>
      <c r="AH365" s="11"/>
      <c r="AI365" s="10"/>
      <c r="AJ365" s="10"/>
    </row>
    <row r="366" customFormat="false" ht="52.2" hidden="false" customHeight="false" outlineLevel="0" collapsed="false">
      <c r="A366" s="7" t="n">
        <v>364</v>
      </c>
      <c r="B366" s="7" t="str">
        <f aca="false">IF(I366="Y",IF(COUNTIF(I$3:I366,"Y")&lt;=20,"pilot",IF(COUNTIF(I$3:I366,"Y")&lt;=40,"dev",IF(COUNTIF(I$3:I366,"Y")&lt;=200,"test","extra"))),"")</f>
        <v/>
      </c>
      <c r="C366" s="7" t="str">
        <f aca="false">IF(I366="Y",IF(COUNTA(K366,M366,O366,Q366,S366,U366,W366,Y366,AA366,AC366,AE366)=11,"done","in progress"),IF(I366="N","excluded",""))</f>
        <v/>
      </c>
      <c r="D366" s="7" t="s">
        <v>957</v>
      </c>
      <c r="E366" s="8" t="s">
        <v>96</v>
      </c>
      <c r="F366" s="9" t="s">
        <v>958</v>
      </c>
      <c r="G366" s="7" t="s">
        <v>472</v>
      </c>
      <c r="H366" s="7"/>
      <c r="I366" s="10"/>
      <c r="J366" s="10"/>
      <c r="K366" s="10"/>
      <c r="L366" s="11"/>
      <c r="M366" s="10"/>
      <c r="N366" s="11"/>
      <c r="O366" s="10"/>
      <c r="P366" s="11"/>
      <c r="Q366" s="10"/>
      <c r="R366" s="11"/>
      <c r="S366" s="10"/>
      <c r="T366" s="11"/>
      <c r="U366" s="10"/>
      <c r="V366" s="11"/>
      <c r="W366" s="10"/>
      <c r="X366" s="11"/>
      <c r="Y366" s="10"/>
      <c r="Z366" s="11"/>
      <c r="AA366" s="10"/>
      <c r="AB366" s="11"/>
      <c r="AC366" s="10"/>
      <c r="AD366" s="11"/>
      <c r="AE366" s="10"/>
      <c r="AF366" s="11"/>
      <c r="AG366" s="11"/>
      <c r="AH366" s="11"/>
      <c r="AI366" s="10"/>
      <c r="AJ366" s="10"/>
    </row>
    <row r="367" customFormat="false" ht="39.55" hidden="false" customHeight="false" outlineLevel="0" collapsed="false">
      <c r="A367" s="7" t="n">
        <v>365</v>
      </c>
      <c r="B367" s="7" t="str">
        <f aca="false">IF(I367="Y",IF(COUNTIF(I$3:I367,"Y")&lt;=20,"pilot",IF(COUNTIF(I$3:I367,"Y")&lt;=40,"dev",IF(COUNTIF(I$3:I367,"Y")&lt;=200,"test","extra"))),"")</f>
        <v/>
      </c>
      <c r="C367" s="7" t="str">
        <f aca="false">IF(I367="Y",IF(COUNTA(K367,M367,O367,Q367,S367,U367,W367,Y367,AA367,AC367,AE367)=11,"done","in progress"),IF(I367="N","excluded",""))</f>
        <v/>
      </c>
      <c r="D367" s="7" t="s">
        <v>959</v>
      </c>
      <c r="E367" s="8" t="s">
        <v>96</v>
      </c>
      <c r="F367" s="9" t="s">
        <v>960</v>
      </c>
      <c r="G367" s="7" t="s">
        <v>148</v>
      </c>
      <c r="H367" s="7"/>
      <c r="I367" s="10"/>
      <c r="J367" s="10"/>
      <c r="K367" s="10"/>
      <c r="L367" s="11"/>
      <c r="M367" s="10"/>
      <c r="N367" s="11"/>
      <c r="O367" s="10"/>
      <c r="P367" s="11"/>
      <c r="Q367" s="10"/>
      <c r="R367" s="11"/>
      <c r="S367" s="10"/>
      <c r="T367" s="11"/>
      <c r="U367" s="10"/>
      <c r="V367" s="11"/>
      <c r="W367" s="10"/>
      <c r="X367" s="11"/>
      <c r="Y367" s="10"/>
      <c r="Z367" s="11"/>
      <c r="AA367" s="10"/>
      <c r="AB367" s="11"/>
      <c r="AC367" s="10"/>
      <c r="AD367" s="11"/>
      <c r="AE367" s="10"/>
      <c r="AF367" s="11"/>
      <c r="AG367" s="11"/>
      <c r="AH367" s="11"/>
      <c r="AI367" s="10"/>
      <c r="AJ367" s="10"/>
    </row>
    <row r="368" customFormat="false" ht="39.55" hidden="false" customHeight="false" outlineLevel="0" collapsed="false">
      <c r="A368" s="7" t="n">
        <v>366</v>
      </c>
      <c r="B368" s="7" t="str">
        <f aca="false">IF(I368="Y",IF(COUNTIF(I$3:I368,"Y")&lt;=20,"pilot",IF(COUNTIF(I$3:I368,"Y")&lt;=40,"dev",IF(COUNTIF(I$3:I368,"Y")&lt;=200,"test","extra"))),"")</f>
        <v/>
      </c>
      <c r="C368" s="7" t="str">
        <f aca="false">IF(I368="Y",IF(COUNTA(K368,M368,O368,Q368,S368,U368,W368,Y368,AA368,AC368,AE368)=11,"done","in progress"),IF(I368="N","excluded",""))</f>
        <v/>
      </c>
      <c r="D368" s="7" t="s">
        <v>961</v>
      </c>
      <c r="E368" s="8" t="s">
        <v>96</v>
      </c>
      <c r="F368" s="9" t="s">
        <v>962</v>
      </c>
      <c r="G368" s="7" t="s">
        <v>98</v>
      </c>
      <c r="H368" s="7"/>
      <c r="I368" s="10"/>
      <c r="J368" s="10"/>
      <c r="K368" s="10"/>
      <c r="L368" s="11"/>
      <c r="M368" s="10"/>
      <c r="N368" s="11"/>
      <c r="O368" s="10"/>
      <c r="P368" s="11"/>
      <c r="Q368" s="10"/>
      <c r="R368" s="11"/>
      <c r="S368" s="10"/>
      <c r="T368" s="11"/>
      <c r="U368" s="10"/>
      <c r="V368" s="11"/>
      <c r="W368" s="10"/>
      <c r="X368" s="11"/>
      <c r="Y368" s="10"/>
      <c r="Z368" s="11"/>
      <c r="AA368" s="10"/>
      <c r="AB368" s="11"/>
      <c r="AC368" s="10"/>
      <c r="AD368" s="11"/>
      <c r="AE368" s="10"/>
      <c r="AF368" s="11"/>
      <c r="AG368" s="11"/>
      <c r="AH368" s="11"/>
      <c r="AI368" s="10"/>
      <c r="AJ368" s="10"/>
    </row>
    <row r="369" customFormat="false" ht="26.85" hidden="false" customHeight="false" outlineLevel="0" collapsed="false">
      <c r="A369" s="7" t="n">
        <v>367</v>
      </c>
      <c r="B369" s="7" t="str">
        <f aca="false">IF(I369="Y",IF(COUNTIF(I$3:I369,"Y")&lt;=20,"pilot",IF(COUNTIF(I$3:I369,"Y")&lt;=40,"dev",IF(COUNTIF(I$3:I369,"Y")&lt;=200,"test","extra"))),"")</f>
        <v/>
      </c>
      <c r="C369" s="7" t="str">
        <f aca="false">IF(I369="Y",IF(COUNTA(K369,M369,O369,Q369,S369,U369,W369,Y369,AA369,AC369,AE369)=11,"done","in progress"),IF(I369="N","excluded",""))</f>
        <v/>
      </c>
      <c r="D369" s="7" t="s">
        <v>963</v>
      </c>
      <c r="E369" s="8" t="s">
        <v>96</v>
      </c>
      <c r="F369" s="9" t="s">
        <v>964</v>
      </c>
      <c r="G369" s="7" t="s">
        <v>500</v>
      </c>
      <c r="H369" s="7"/>
      <c r="I369" s="10"/>
      <c r="J369" s="10"/>
      <c r="K369" s="10"/>
      <c r="L369" s="11"/>
      <c r="M369" s="10"/>
      <c r="N369" s="11"/>
      <c r="O369" s="10"/>
      <c r="P369" s="11"/>
      <c r="Q369" s="10"/>
      <c r="R369" s="11"/>
      <c r="S369" s="10"/>
      <c r="T369" s="11"/>
      <c r="U369" s="10"/>
      <c r="V369" s="11"/>
      <c r="W369" s="10"/>
      <c r="X369" s="11"/>
      <c r="Y369" s="10"/>
      <c r="Z369" s="11"/>
      <c r="AA369" s="10"/>
      <c r="AB369" s="11"/>
      <c r="AC369" s="10"/>
      <c r="AD369" s="11"/>
      <c r="AE369" s="10"/>
      <c r="AF369" s="11"/>
      <c r="AG369" s="11"/>
      <c r="AH369" s="11"/>
      <c r="AI369" s="10"/>
      <c r="AJ369" s="10"/>
    </row>
    <row r="370" customFormat="false" ht="39.55" hidden="false" customHeight="false" outlineLevel="0" collapsed="false">
      <c r="A370" s="7" t="n">
        <v>368</v>
      </c>
      <c r="B370" s="7" t="str">
        <f aca="false">IF(I370="Y",IF(COUNTIF(I$3:I370,"Y")&lt;=20,"pilot",IF(COUNTIF(I$3:I370,"Y")&lt;=40,"dev",IF(COUNTIF(I$3:I370,"Y")&lt;=200,"test","extra"))),"")</f>
        <v/>
      </c>
      <c r="C370" s="7" t="str">
        <f aca="false">IF(I370="Y",IF(COUNTA(K370,M370,O370,Q370,S370,U370,W370,Y370,AA370,AC370,AE370)=11,"done","in progress"),IF(I370="N","excluded",""))</f>
        <v/>
      </c>
      <c r="D370" s="7" t="s">
        <v>965</v>
      </c>
      <c r="E370" s="8" t="s">
        <v>96</v>
      </c>
      <c r="F370" s="9" t="s">
        <v>966</v>
      </c>
      <c r="G370" s="7" t="s">
        <v>113</v>
      </c>
      <c r="H370" s="7"/>
      <c r="I370" s="10"/>
      <c r="J370" s="10"/>
      <c r="K370" s="10"/>
      <c r="L370" s="11"/>
      <c r="M370" s="10"/>
      <c r="N370" s="11"/>
      <c r="O370" s="10"/>
      <c r="P370" s="11"/>
      <c r="Q370" s="10"/>
      <c r="R370" s="11"/>
      <c r="S370" s="10"/>
      <c r="T370" s="11"/>
      <c r="U370" s="10"/>
      <c r="V370" s="11"/>
      <c r="W370" s="10"/>
      <c r="X370" s="11"/>
      <c r="Y370" s="10"/>
      <c r="Z370" s="11"/>
      <c r="AA370" s="10"/>
      <c r="AB370" s="11"/>
      <c r="AC370" s="10"/>
      <c r="AD370" s="11"/>
      <c r="AE370" s="10"/>
      <c r="AF370" s="11"/>
      <c r="AG370" s="11"/>
      <c r="AH370" s="11"/>
      <c r="AI370" s="10"/>
      <c r="AJ370" s="10"/>
    </row>
    <row r="371" customFormat="false" ht="39.55" hidden="false" customHeight="false" outlineLevel="0" collapsed="false">
      <c r="A371" s="7" t="n">
        <v>369</v>
      </c>
      <c r="B371" s="7" t="str">
        <f aca="false">IF(I371="Y",IF(COUNTIF(I$3:I371,"Y")&lt;=20,"pilot",IF(COUNTIF(I$3:I371,"Y")&lt;=40,"dev",IF(COUNTIF(I$3:I371,"Y")&lt;=200,"test","extra"))),"")</f>
        <v/>
      </c>
      <c r="C371" s="7" t="str">
        <f aca="false">IF(I371="Y",IF(COUNTA(K371,M371,O371,Q371,S371,U371,W371,Y371,AA371,AC371,AE371)=11,"done","in progress"),IF(I371="N","excluded",""))</f>
        <v/>
      </c>
      <c r="D371" s="7" t="s">
        <v>967</v>
      </c>
      <c r="E371" s="8" t="s">
        <v>96</v>
      </c>
      <c r="F371" s="9" t="s">
        <v>968</v>
      </c>
      <c r="G371" s="7" t="s">
        <v>238</v>
      </c>
      <c r="H371" s="7"/>
      <c r="I371" s="10"/>
      <c r="J371" s="10"/>
      <c r="K371" s="10"/>
      <c r="L371" s="11"/>
      <c r="M371" s="10"/>
      <c r="N371" s="11"/>
      <c r="O371" s="10"/>
      <c r="P371" s="11"/>
      <c r="Q371" s="10"/>
      <c r="R371" s="11"/>
      <c r="S371" s="10"/>
      <c r="T371" s="11"/>
      <c r="U371" s="10"/>
      <c r="V371" s="11"/>
      <c r="W371" s="10"/>
      <c r="X371" s="11"/>
      <c r="Y371" s="10"/>
      <c r="Z371" s="11"/>
      <c r="AA371" s="10"/>
      <c r="AB371" s="11"/>
      <c r="AC371" s="10"/>
      <c r="AD371" s="11"/>
      <c r="AE371" s="10"/>
      <c r="AF371" s="11"/>
      <c r="AG371" s="11"/>
      <c r="AH371" s="11"/>
      <c r="AI371" s="10"/>
      <c r="AJ371" s="10"/>
    </row>
    <row r="372" customFormat="false" ht="26.85" hidden="false" customHeight="false" outlineLevel="0" collapsed="false">
      <c r="A372" s="7" t="n">
        <v>370</v>
      </c>
      <c r="B372" s="7" t="str">
        <f aca="false">IF(I372="Y",IF(COUNTIF(I$3:I372,"Y")&lt;=20,"pilot",IF(COUNTIF(I$3:I372,"Y")&lt;=40,"dev",IF(COUNTIF(I$3:I372,"Y")&lt;=200,"test","extra"))),"")</f>
        <v/>
      </c>
      <c r="C372" s="7" t="str">
        <f aca="false">IF(I372="Y",IF(COUNTA(K372,M372,O372,Q372,S372,U372,W372,Y372,AA372,AC372,AE372)=11,"done","in progress"),IF(I372="N","excluded",""))</f>
        <v/>
      </c>
      <c r="D372" s="7" t="s">
        <v>969</v>
      </c>
      <c r="E372" s="8" t="s">
        <v>96</v>
      </c>
      <c r="F372" s="9" t="s">
        <v>970</v>
      </c>
      <c r="G372" s="7" t="s">
        <v>125</v>
      </c>
      <c r="H372" s="7"/>
      <c r="I372" s="10"/>
      <c r="J372" s="10"/>
      <c r="K372" s="10"/>
      <c r="L372" s="11"/>
      <c r="M372" s="10"/>
      <c r="N372" s="11"/>
      <c r="O372" s="10"/>
      <c r="P372" s="11"/>
      <c r="Q372" s="10"/>
      <c r="R372" s="11"/>
      <c r="S372" s="10"/>
      <c r="T372" s="11"/>
      <c r="U372" s="10"/>
      <c r="V372" s="11"/>
      <c r="W372" s="10"/>
      <c r="X372" s="11"/>
      <c r="Y372" s="10"/>
      <c r="Z372" s="11"/>
      <c r="AA372" s="10"/>
      <c r="AB372" s="11"/>
      <c r="AC372" s="10"/>
      <c r="AD372" s="11"/>
      <c r="AE372" s="10"/>
      <c r="AF372" s="11"/>
      <c r="AG372" s="11"/>
      <c r="AH372" s="11"/>
      <c r="AI372" s="10"/>
      <c r="AJ372" s="10"/>
    </row>
    <row r="373" customFormat="false" ht="39.55" hidden="false" customHeight="false" outlineLevel="0" collapsed="false">
      <c r="A373" s="7" t="n">
        <v>371</v>
      </c>
      <c r="B373" s="7" t="str">
        <f aca="false">IF(I373="Y",IF(COUNTIF(I$3:I373,"Y")&lt;=20,"pilot",IF(COUNTIF(I$3:I373,"Y")&lt;=40,"dev",IF(COUNTIF(I$3:I373,"Y")&lt;=200,"test","extra"))),"")</f>
        <v/>
      </c>
      <c r="C373" s="7" t="str">
        <f aca="false">IF(I373="Y",IF(COUNTA(K373,M373,O373,Q373,S373,U373,W373,Y373,AA373,AC373,AE373)=11,"done","in progress"),IF(I373="N","excluded",""))</f>
        <v/>
      </c>
      <c r="D373" s="7" t="s">
        <v>971</v>
      </c>
      <c r="E373" s="8" t="s">
        <v>96</v>
      </c>
      <c r="F373" s="9" t="s">
        <v>972</v>
      </c>
      <c r="G373" s="7" t="s">
        <v>133</v>
      </c>
      <c r="H373" s="7"/>
      <c r="I373" s="10"/>
      <c r="J373" s="10"/>
      <c r="K373" s="10"/>
      <c r="L373" s="11"/>
      <c r="M373" s="10"/>
      <c r="N373" s="11"/>
      <c r="O373" s="10"/>
      <c r="P373" s="11"/>
      <c r="Q373" s="10"/>
      <c r="R373" s="11"/>
      <c r="S373" s="10"/>
      <c r="T373" s="11"/>
      <c r="U373" s="10"/>
      <c r="V373" s="11"/>
      <c r="W373" s="10"/>
      <c r="X373" s="11"/>
      <c r="Y373" s="10"/>
      <c r="Z373" s="11"/>
      <c r="AA373" s="10"/>
      <c r="AB373" s="11"/>
      <c r="AC373" s="10"/>
      <c r="AD373" s="11"/>
      <c r="AE373" s="10"/>
      <c r="AF373" s="11"/>
      <c r="AG373" s="11"/>
      <c r="AH373" s="11"/>
      <c r="AI373" s="10"/>
      <c r="AJ373" s="10"/>
    </row>
    <row r="374" customFormat="false" ht="39.55" hidden="false" customHeight="false" outlineLevel="0" collapsed="false">
      <c r="A374" s="7" t="n">
        <v>372</v>
      </c>
      <c r="B374" s="7" t="str">
        <f aca="false">IF(I374="Y",IF(COUNTIF(I$3:I374,"Y")&lt;=20,"pilot",IF(COUNTIF(I$3:I374,"Y")&lt;=40,"dev",IF(COUNTIF(I$3:I374,"Y")&lt;=200,"test","extra"))),"")</f>
        <v/>
      </c>
      <c r="C374" s="7" t="str">
        <f aca="false">IF(I374="Y",IF(COUNTA(K374,M374,O374,Q374,S374,U374,W374,Y374,AA374,AC374,AE374)=11,"done","in progress"),IF(I374="N","excluded",""))</f>
        <v/>
      </c>
      <c r="D374" s="7" t="s">
        <v>973</v>
      </c>
      <c r="E374" s="8" t="s">
        <v>96</v>
      </c>
      <c r="F374" s="9" t="s">
        <v>974</v>
      </c>
      <c r="G374" s="7" t="s">
        <v>125</v>
      </c>
      <c r="H374" s="7"/>
      <c r="I374" s="10"/>
      <c r="J374" s="10"/>
      <c r="K374" s="10"/>
      <c r="L374" s="11"/>
      <c r="M374" s="10"/>
      <c r="N374" s="11"/>
      <c r="O374" s="10"/>
      <c r="P374" s="11"/>
      <c r="Q374" s="10"/>
      <c r="R374" s="11"/>
      <c r="S374" s="10"/>
      <c r="T374" s="11"/>
      <c r="U374" s="10"/>
      <c r="V374" s="11"/>
      <c r="W374" s="10"/>
      <c r="X374" s="11"/>
      <c r="Y374" s="10"/>
      <c r="Z374" s="11"/>
      <c r="AA374" s="10"/>
      <c r="AB374" s="11"/>
      <c r="AC374" s="10"/>
      <c r="AD374" s="11"/>
      <c r="AE374" s="10"/>
      <c r="AF374" s="11"/>
      <c r="AG374" s="11"/>
      <c r="AH374" s="11"/>
      <c r="AI374" s="10"/>
      <c r="AJ374" s="10"/>
    </row>
    <row r="375" customFormat="false" ht="39.55" hidden="false" customHeight="false" outlineLevel="0" collapsed="false">
      <c r="A375" s="7" t="n">
        <v>373</v>
      </c>
      <c r="B375" s="7" t="str">
        <f aca="false">IF(I375="Y",IF(COUNTIF(I$3:I375,"Y")&lt;=20,"pilot",IF(COUNTIF(I$3:I375,"Y")&lt;=40,"dev",IF(COUNTIF(I$3:I375,"Y")&lt;=200,"test","extra"))),"")</f>
        <v/>
      </c>
      <c r="C375" s="7" t="str">
        <f aca="false">IF(I375="Y",IF(COUNTA(K375,M375,O375,Q375,S375,U375,W375,Y375,AA375,AC375,AE375)=11,"done","in progress"),IF(I375="N","excluded",""))</f>
        <v/>
      </c>
      <c r="D375" s="7" t="s">
        <v>975</v>
      </c>
      <c r="E375" s="8" t="s">
        <v>96</v>
      </c>
      <c r="F375" s="9" t="s">
        <v>976</v>
      </c>
      <c r="G375" s="7" t="s">
        <v>977</v>
      </c>
      <c r="H375" s="7"/>
      <c r="I375" s="10"/>
      <c r="J375" s="10"/>
      <c r="K375" s="10"/>
      <c r="L375" s="11"/>
      <c r="M375" s="10"/>
      <c r="N375" s="11"/>
      <c r="O375" s="10"/>
      <c r="P375" s="11"/>
      <c r="Q375" s="10"/>
      <c r="R375" s="11"/>
      <c r="S375" s="10"/>
      <c r="T375" s="11"/>
      <c r="U375" s="10"/>
      <c r="V375" s="11"/>
      <c r="W375" s="10"/>
      <c r="X375" s="11"/>
      <c r="Y375" s="10"/>
      <c r="Z375" s="11"/>
      <c r="AA375" s="10"/>
      <c r="AB375" s="11"/>
      <c r="AC375" s="10"/>
      <c r="AD375" s="11"/>
      <c r="AE375" s="10"/>
      <c r="AF375" s="11"/>
      <c r="AG375" s="11"/>
      <c r="AH375" s="11"/>
      <c r="AI375" s="10"/>
      <c r="AJ375" s="10"/>
    </row>
    <row r="376" customFormat="false" ht="39.55" hidden="false" customHeight="false" outlineLevel="0" collapsed="false">
      <c r="A376" s="7" t="n">
        <v>374</v>
      </c>
      <c r="B376" s="7" t="str">
        <f aca="false">IF(I376="Y",IF(COUNTIF(I$3:I376,"Y")&lt;=20,"pilot",IF(COUNTIF(I$3:I376,"Y")&lt;=40,"dev",IF(COUNTIF(I$3:I376,"Y")&lt;=200,"test","extra"))),"")</f>
        <v/>
      </c>
      <c r="C376" s="7" t="str">
        <f aca="false">IF(I376="Y",IF(COUNTA(K376,M376,O376,Q376,S376,U376,W376,Y376,AA376,AC376,AE376)=11,"done","in progress"),IF(I376="N","excluded",""))</f>
        <v/>
      </c>
      <c r="D376" s="7" t="s">
        <v>978</v>
      </c>
      <c r="E376" s="8" t="s">
        <v>96</v>
      </c>
      <c r="F376" s="9" t="s">
        <v>979</v>
      </c>
      <c r="G376" s="7" t="s">
        <v>246</v>
      </c>
      <c r="H376" s="7"/>
      <c r="I376" s="10"/>
      <c r="J376" s="10"/>
      <c r="K376" s="10"/>
      <c r="L376" s="11"/>
      <c r="M376" s="10"/>
      <c r="N376" s="11"/>
      <c r="O376" s="10"/>
      <c r="P376" s="11"/>
      <c r="Q376" s="10"/>
      <c r="R376" s="11"/>
      <c r="S376" s="10"/>
      <c r="T376" s="11"/>
      <c r="U376" s="10"/>
      <c r="V376" s="11"/>
      <c r="W376" s="10"/>
      <c r="X376" s="11"/>
      <c r="Y376" s="10"/>
      <c r="Z376" s="11"/>
      <c r="AA376" s="10"/>
      <c r="AB376" s="11"/>
      <c r="AC376" s="10"/>
      <c r="AD376" s="11"/>
      <c r="AE376" s="10"/>
      <c r="AF376" s="11"/>
      <c r="AG376" s="11"/>
      <c r="AH376" s="11"/>
      <c r="AI376" s="10"/>
      <c r="AJ376" s="10"/>
    </row>
    <row r="377" customFormat="false" ht="39.55" hidden="false" customHeight="false" outlineLevel="0" collapsed="false">
      <c r="A377" s="7" t="n">
        <v>375</v>
      </c>
      <c r="B377" s="7" t="str">
        <f aca="false">IF(I377="Y",IF(COUNTIF(I$3:I377,"Y")&lt;=20,"pilot",IF(COUNTIF(I$3:I377,"Y")&lt;=40,"dev",IF(COUNTIF(I$3:I377,"Y")&lt;=200,"test","extra"))),"")</f>
        <v/>
      </c>
      <c r="C377" s="7" t="str">
        <f aca="false">IF(I377="Y",IF(COUNTA(K377,M377,O377,Q377,S377,U377,W377,Y377,AA377,AC377,AE377)=11,"done","in progress"),IF(I377="N","excluded",""))</f>
        <v/>
      </c>
      <c r="D377" s="7" t="s">
        <v>980</v>
      </c>
      <c r="E377" s="8" t="s">
        <v>96</v>
      </c>
      <c r="F377" s="9" t="s">
        <v>981</v>
      </c>
      <c r="G377" s="7" t="s">
        <v>133</v>
      </c>
      <c r="H377" s="7"/>
      <c r="I377" s="10"/>
      <c r="J377" s="10"/>
      <c r="K377" s="10"/>
      <c r="L377" s="11"/>
      <c r="M377" s="10"/>
      <c r="N377" s="11"/>
      <c r="O377" s="10"/>
      <c r="P377" s="11"/>
      <c r="Q377" s="10"/>
      <c r="R377" s="11"/>
      <c r="S377" s="10"/>
      <c r="T377" s="11"/>
      <c r="U377" s="10"/>
      <c r="V377" s="11"/>
      <c r="W377" s="10"/>
      <c r="X377" s="11"/>
      <c r="Y377" s="10"/>
      <c r="Z377" s="11"/>
      <c r="AA377" s="10"/>
      <c r="AB377" s="11"/>
      <c r="AC377" s="10"/>
      <c r="AD377" s="11"/>
      <c r="AE377" s="10"/>
      <c r="AF377" s="11"/>
      <c r="AG377" s="11"/>
      <c r="AH377" s="11"/>
      <c r="AI377" s="10"/>
      <c r="AJ377" s="10"/>
    </row>
    <row r="378" customFormat="false" ht="39.55" hidden="false" customHeight="false" outlineLevel="0" collapsed="false">
      <c r="A378" s="7" t="n">
        <v>376</v>
      </c>
      <c r="B378" s="7" t="str">
        <f aca="false">IF(I378="Y",IF(COUNTIF(I$3:I378,"Y")&lt;=20,"pilot",IF(COUNTIF(I$3:I378,"Y")&lt;=40,"dev",IF(COUNTIF(I$3:I378,"Y")&lt;=200,"test","extra"))),"")</f>
        <v/>
      </c>
      <c r="C378" s="7" t="str">
        <f aca="false">IF(I378="Y",IF(COUNTA(K378,M378,O378,Q378,S378,U378,W378,Y378,AA378,AC378,AE378)=11,"done","in progress"),IF(I378="N","excluded",""))</f>
        <v/>
      </c>
      <c r="D378" s="7" t="s">
        <v>982</v>
      </c>
      <c r="E378" s="8" t="s">
        <v>96</v>
      </c>
      <c r="F378" s="9" t="s">
        <v>983</v>
      </c>
      <c r="G378" s="7" t="s">
        <v>125</v>
      </c>
      <c r="H378" s="7"/>
      <c r="I378" s="10"/>
      <c r="J378" s="10"/>
      <c r="K378" s="10"/>
      <c r="L378" s="11"/>
      <c r="M378" s="10"/>
      <c r="N378" s="11"/>
      <c r="O378" s="10"/>
      <c r="P378" s="11"/>
      <c r="Q378" s="10"/>
      <c r="R378" s="11"/>
      <c r="S378" s="10"/>
      <c r="T378" s="11"/>
      <c r="U378" s="10"/>
      <c r="V378" s="11"/>
      <c r="W378" s="10"/>
      <c r="X378" s="11"/>
      <c r="Y378" s="10"/>
      <c r="Z378" s="11"/>
      <c r="AA378" s="10"/>
      <c r="AB378" s="11"/>
      <c r="AC378" s="10"/>
      <c r="AD378" s="11"/>
      <c r="AE378" s="10"/>
      <c r="AF378" s="11"/>
      <c r="AG378" s="11"/>
      <c r="AH378" s="11"/>
      <c r="AI378" s="10"/>
      <c r="AJ378" s="10"/>
    </row>
    <row r="379" customFormat="false" ht="39.55" hidden="false" customHeight="false" outlineLevel="0" collapsed="false">
      <c r="A379" s="7" t="n">
        <v>377</v>
      </c>
      <c r="B379" s="7" t="str">
        <f aca="false">IF(I379="Y",IF(COUNTIF(I$3:I379,"Y")&lt;=20,"pilot",IF(COUNTIF(I$3:I379,"Y")&lt;=40,"dev",IF(COUNTIF(I$3:I379,"Y")&lt;=200,"test","extra"))),"")</f>
        <v/>
      </c>
      <c r="C379" s="7" t="str">
        <f aca="false">IF(I379="Y",IF(COUNTA(K379,M379,O379,Q379,S379,U379,W379,Y379,AA379,AC379,AE379)=11,"done","in progress"),IF(I379="N","excluded",""))</f>
        <v/>
      </c>
      <c r="D379" s="7" t="s">
        <v>984</v>
      </c>
      <c r="E379" s="8" t="s">
        <v>96</v>
      </c>
      <c r="F379" s="9" t="s">
        <v>985</v>
      </c>
      <c r="G379" s="7" t="s">
        <v>116</v>
      </c>
      <c r="H379" s="7"/>
      <c r="I379" s="10"/>
      <c r="J379" s="10"/>
      <c r="K379" s="10"/>
      <c r="L379" s="11"/>
      <c r="M379" s="10"/>
      <c r="N379" s="11"/>
      <c r="O379" s="10"/>
      <c r="P379" s="11"/>
      <c r="Q379" s="10"/>
      <c r="R379" s="11"/>
      <c r="S379" s="10"/>
      <c r="T379" s="11"/>
      <c r="U379" s="10"/>
      <c r="V379" s="11"/>
      <c r="W379" s="10"/>
      <c r="X379" s="11"/>
      <c r="Y379" s="10"/>
      <c r="Z379" s="11"/>
      <c r="AA379" s="10"/>
      <c r="AB379" s="11"/>
      <c r="AC379" s="10"/>
      <c r="AD379" s="11"/>
      <c r="AE379" s="10"/>
      <c r="AF379" s="11"/>
      <c r="AG379" s="11"/>
      <c r="AH379" s="11"/>
      <c r="AI379" s="10"/>
      <c r="AJ379" s="10"/>
    </row>
    <row r="380" customFormat="false" ht="26.85" hidden="false" customHeight="false" outlineLevel="0" collapsed="false">
      <c r="A380" s="7" t="n">
        <v>378</v>
      </c>
      <c r="B380" s="7" t="str">
        <f aca="false">IF(I380="Y",IF(COUNTIF(I$3:I380,"Y")&lt;=20,"pilot",IF(COUNTIF(I$3:I380,"Y")&lt;=40,"dev",IF(COUNTIF(I$3:I380,"Y")&lt;=200,"test","extra"))),"")</f>
        <v/>
      </c>
      <c r="C380" s="7" t="str">
        <f aca="false">IF(I380="Y",IF(COUNTA(K380,M380,O380,Q380,S380,U380,W380,Y380,AA380,AC380,AE380)=11,"done","in progress"),IF(I380="N","excluded",""))</f>
        <v/>
      </c>
      <c r="D380" s="7" t="s">
        <v>986</v>
      </c>
      <c r="E380" s="8" t="s">
        <v>96</v>
      </c>
      <c r="F380" s="9" t="s">
        <v>987</v>
      </c>
      <c r="G380" s="7" t="s">
        <v>104</v>
      </c>
      <c r="H380" s="7"/>
      <c r="I380" s="10"/>
      <c r="J380" s="10"/>
      <c r="K380" s="10"/>
      <c r="L380" s="11"/>
      <c r="M380" s="10"/>
      <c r="N380" s="11"/>
      <c r="O380" s="10"/>
      <c r="P380" s="11"/>
      <c r="Q380" s="10"/>
      <c r="R380" s="11"/>
      <c r="S380" s="10"/>
      <c r="T380" s="11"/>
      <c r="U380" s="10"/>
      <c r="V380" s="11"/>
      <c r="W380" s="10"/>
      <c r="X380" s="11"/>
      <c r="Y380" s="10"/>
      <c r="Z380" s="11"/>
      <c r="AA380" s="10"/>
      <c r="AB380" s="11"/>
      <c r="AC380" s="10"/>
      <c r="AD380" s="11"/>
      <c r="AE380" s="10"/>
      <c r="AF380" s="11"/>
      <c r="AG380" s="11"/>
      <c r="AH380" s="11"/>
      <c r="AI380" s="10"/>
      <c r="AJ380" s="10"/>
    </row>
    <row r="381" customFormat="false" ht="26.85" hidden="false" customHeight="false" outlineLevel="0" collapsed="false">
      <c r="A381" s="7" t="n">
        <v>379</v>
      </c>
      <c r="B381" s="7" t="str">
        <f aca="false">IF(I381="Y",IF(COUNTIF(I$3:I381,"Y")&lt;=20,"pilot",IF(COUNTIF(I$3:I381,"Y")&lt;=40,"dev",IF(COUNTIF(I$3:I381,"Y")&lt;=200,"test","extra"))),"")</f>
        <v/>
      </c>
      <c r="C381" s="7" t="str">
        <f aca="false">IF(I381="Y",IF(COUNTA(K381,M381,O381,Q381,S381,U381,W381,Y381,AA381,AC381,AE381)=11,"done","in progress"),IF(I381="N","excluded",""))</f>
        <v/>
      </c>
      <c r="D381" s="7" t="s">
        <v>988</v>
      </c>
      <c r="E381" s="8" t="s">
        <v>96</v>
      </c>
      <c r="F381" s="9" t="s">
        <v>989</v>
      </c>
      <c r="G381" s="7" t="s">
        <v>133</v>
      </c>
      <c r="H381" s="7"/>
      <c r="I381" s="10"/>
      <c r="J381" s="10"/>
      <c r="K381" s="10"/>
      <c r="L381" s="11"/>
      <c r="M381" s="10"/>
      <c r="N381" s="11"/>
      <c r="O381" s="10"/>
      <c r="P381" s="11"/>
      <c r="Q381" s="10"/>
      <c r="R381" s="11"/>
      <c r="S381" s="10"/>
      <c r="T381" s="11"/>
      <c r="U381" s="10"/>
      <c r="V381" s="11"/>
      <c r="W381" s="10"/>
      <c r="X381" s="11"/>
      <c r="Y381" s="10"/>
      <c r="Z381" s="11"/>
      <c r="AA381" s="10"/>
      <c r="AB381" s="11"/>
      <c r="AC381" s="10"/>
      <c r="AD381" s="11"/>
      <c r="AE381" s="10"/>
      <c r="AF381" s="11"/>
      <c r="AG381" s="11"/>
      <c r="AH381" s="11"/>
      <c r="AI381" s="10"/>
      <c r="AJ381" s="10"/>
    </row>
    <row r="382" customFormat="false" ht="26.85" hidden="false" customHeight="false" outlineLevel="0" collapsed="false">
      <c r="A382" s="7" t="n">
        <v>380</v>
      </c>
      <c r="B382" s="7" t="str">
        <f aca="false">IF(I382="Y",IF(COUNTIF(I$3:I382,"Y")&lt;=20,"pilot",IF(COUNTIF(I$3:I382,"Y")&lt;=40,"dev",IF(COUNTIF(I$3:I382,"Y")&lt;=200,"test","extra"))),"")</f>
        <v/>
      </c>
      <c r="C382" s="7" t="str">
        <f aca="false">IF(I382="Y",IF(COUNTA(K382,M382,O382,Q382,S382,U382,W382,Y382,AA382,AC382,AE382)=11,"done","in progress"),IF(I382="N","excluded",""))</f>
        <v/>
      </c>
      <c r="D382" s="7" t="s">
        <v>990</v>
      </c>
      <c r="E382" s="8" t="s">
        <v>96</v>
      </c>
      <c r="F382" s="9" t="s">
        <v>991</v>
      </c>
      <c r="G382" s="7" t="s">
        <v>992</v>
      </c>
      <c r="H382" s="7"/>
      <c r="I382" s="10"/>
      <c r="J382" s="10"/>
      <c r="K382" s="10"/>
      <c r="L382" s="11"/>
      <c r="M382" s="10"/>
      <c r="N382" s="11"/>
      <c r="O382" s="10"/>
      <c r="P382" s="11"/>
      <c r="Q382" s="10"/>
      <c r="R382" s="11"/>
      <c r="S382" s="10"/>
      <c r="T382" s="11"/>
      <c r="U382" s="10"/>
      <c r="V382" s="11"/>
      <c r="W382" s="10"/>
      <c r="X382" s="11"/>
      <c r="Y382" s="10"/>
      <c r="Z382" s="11"/>
      <c r="AA382" s="10"/>
      <c r="AB382" s="11"/>
      <c r="AC382" s="10"/>
      <c r="AD382" s="11"/>
      <c r="AE382" s="10"/>
      <c r="AF382" s="11"/>
      <c r="AG382" s="11"/>
      <c r="AH382" s="11"/>
      <c r="AI382" s="10"/>
      <c r="AJ382" s="10"/>
    </row>
    <row r="383" customFormat="false" ht="26.85" hidden="false" customHeight="false" outlineLevel="0" collapsed="false">
      <c r="A383" s="7" t="n">
        <v>381</v>
      </c>
      <c r="B383" s="7" t="str">
        <f aca="false">IF(I383="Y",IF(COUNTIF(I$3:I383,"Y")&lt;=20,"pilot",IF(COUNTIF(I$3:I383,"Y")&lt;=40,"dev",IF(COUNTIF(I$3:I383,"Y")&lt;=200,"test","extra"))),"")</f>
        <v/>
      </c>
      <c r="C383" s="7" t="str">
        <f aca="false">IF(I383="Y",IF(COUNTA(K383,M383,O383,Q383,S383,U383,W383,Y383,AA383,AC383,AE383)=11,"done","in progress"),IF(I383="N","excluded",""))</f>
        <v/>
      </c>
      <c r="D383" s="7" t="s">
        <v>993</v>
      </c>
      <c r="E383" s="8" t="s">
        <v>96</v>
      </c>
      <c r="F383" s="9" t="s">
        <v>994</v>
      </c>
      <c r="G383" s="7" t="s">
        <v>176</v>
      </c>
      <c r="H383" s="7"/>
      <c r="I383" s="10"/>
      <c r="J383" s="10"/>
      <c r="K383" s="10"/>
      <c r="L383" s="11"/>
      <c r="M383" s="10"/>
      <c r="N383" s="11"/>
      <c r="O383" s="10"/>
      <c r="P383" s="11"/>
      <c r="Q383" s="10"/>
      <c r="R383" s="11"/>
      <c r="S383" s="10"/>
      <c r="T383" s="11"/>
      <c r="U383" s="10"/>
      <c r="V383" s="11"/>
      <c r="W383" s="10"/>
      <c r="X383" s="11"/>
      <c r="Y383" s="10"/>
      <c r="Z383" s="11"/>
      <c r="AA383" s="10"/>
      <c r="AB383" s="11"/>
      <c r="AC383" s="10"/>
      <c r="AD383" s="11"/>
      <c r="AE383" s="10"/>
      <c r="AF383" s="11"/>
      <c r="AG383" s="11"/>
      <c r="AH383" s="11"/>
      <c r="AI383" s="10"/>
      <c r="AJ383" s="10"/>
    </row>
    <row r="384" customFormat="false" ht="39.55" hidden="false" customHeight="false" outlineLevel="0" collapsed="false">
      <c r="A384" s="7" t="n">
        <v>382</v>
      </c>
      <c r="B384" s="7" t="str">
        <f aca="false">IF(I384="Y",IF(COUNTIF(I$3:I384,"Y")&lt;=20,"pilot",IF(COUNTIF(I$3:I384,"Y")&lt;=40,"dev",IF(COUNTIF(I$3:I384,"Y")&lt;=200,"test","extra"))),"")</f>
        <v/>
      </c>
      <c r="C384" s="7" t="str">
        <f aca="false">IF(I384="Y",IF(COUNTA(K384,M384,O384,Q384,S384,U384,W384,Y384,AA384,AC384,AE384)=11,"done","in progress"),IF(I384="N","excluded",""))</f>
        <v/>
      </c>
      <c r="D384" s="7" t="s">
        <v>995</v>
      </c>
      <c r="E384" s="8" t="s">
        <v>96</v>
      </c>
      <c r="F384" s="9" t="s">
        <v>996</v>
      </c>
      <c r="G384" s="7" t="s">
        <v>799</v>
      </c>
      <c r="H384" s="7"/>
      <c r="I384" s="10"/>
      <c r="J384" s="10"/>
      <c r="K384" s="10"/>
      <c r="L384" s="11"/>
      <c r="M384" s="10"/>
      <c r="N384" s="11"/>
      <c r="O384" s="10"/>
      <c r="P384" s="11"/>
      <c r="Q384" s="10"/>
      <c r="R384" s="11"/>
      <c r="S384" s="10"/>
      <c r="T384" s="11"/>
      <c r="U384" s="10"/>
      <c r="V384" s="11"/>
      <c r="W384" s="10"/>
      <c r="X384" s="11"/>
      <c r="Y384" s="10"/>
      <c r="Z384" s="11"/>
      <c r="AA384" s="10"/>
      <c r="AB384" s="11"/>
      <c r="AC384" s="10"/>
      <c r="AD384" s="11"/>
      <c r="AE384" s="10"/>
      <c r="AF384" s="11"/>
      <c r="AG384" s="11"/>
      <c r="AH384" s="11"/>
      <c r="AI384" s="10"/>
      <c r="AJ384" s="10"/>
    </row>
    <row r="385" customFormat="false" ht="39.55" hidden="false" customHeight="false" outlineLevel="0" collapsed="false">
      <c r="A385" s="7" t="n">
        <v>383</v>
      </c>
      <c r="B385" s="7" t="str">
        <f aca="false">IF(I385="Y",IF(COUNTIF(I$3:I385,"Y")&lt;=20,"pilot",IF(COUNTIF(I$3:I385,"Y")&lt;=40,"dev",IF(COUNTIF(I$3:I385,"Y")&lt;=200,"test","extra"))),"")</f>
        <v/>
      </c>
      <c r="C385" s="7" t="str">
        <f aca="false">IF(I385="Y",IF(COUNTA(K385,M385,O385,Q385,S385,U385,W385,Y385,AA385,AC385,AE385)=11,"done","in progress"),IF(I385="N","excluded",""))</f>
        <v/>
      </c>
      <c r="D385" s="7" t="s">
        <v>997</v>
      </c>
      <c r="E385" s="8" t="s">
        <v>96</v>
      </c>
      <c r="F385" s="9" t="s">
        <v>998</v>
      </c>
      <c r="G385" s="7" t="s">
        <v>333</v>
      </c>
      <c r="H385" s="7"/>
      <c r="I385" s="10"/>
      <c r="J385" s="10"/>
      <c r="K385" s="10"/>
      <c r="L385" s="11"/>
      <c r="M385" s="10"/>
      <c r="N385" s="11"/>
      <c r="O385" s="10"/>
      <c r="P385" s="11"/>
      <c r="Q385" s="10"/>
      <c r="R385" s="11"/>
      <c r="S385" s="10"/>
      <c r="T385" s="11"/>
      <c r="U385" s="10"/>
      <c r="V385" s="11"/>
      <c r="W385" s="10"/>
      <c r="X385" s="11"/>
      <c r="Y385" s="10"/>
      <c r="Z385" s="11"/>
      <c r="AA385" s="10"/>
      <c r="AB385" s="11"/>
      <c r="AC385" s="10"/>
      <c r="AD385" s="11"/>
      <c r="AE385" s="10"/>
      <c r="AF385" s="11"/>
      <c r="AG385" s="11"/>
      <c r="AH385" s="11"/>
      <c r="AI385" s="10"/>
      <c r="AJ385" s="10"/>
    </row>
    <row r="386" customFormat="false" ht="26.85" hidden="false" customHeight="false" outlineLevel="0" collapsed="false">
      <c r="A386" s="7" t="n">
        <v>384</v>
      </c>
      <c r="B386" s="7" t="str">
        <f aca="false">IF(I386="Y",IF(COUNTIF(I$3:I386,"Y")&lt;=20,"pilot",IF(COUNTIF(I$3:I386,"Y")&lt;=40,"dev",IF(COUNTIF(I$3:I386,"Y")&lt;=200,"test","extra"))),"")</f>
        <v/>
      </c>
      <c r="C386" s="7" t="str">
        <f aca="false">IF(I386="Y",IF(COUNTA(K386,M386,O386,Q386,S386,U386,W386,Y386,AA386,AC386,AE386)=11,"done","in progress"),IF(I386="N","excluded",""))</f>
        <v/>
      </c>
      <c r="D386" s="7" t="s">
        <v>999</v>
      </c>
      <c r="E386" s="8" t="s">
        <v>96</v>
      </c>
      <c r="F386" s="9" t="s">
        <v>1000</v>
      </c>
      <c r="G386" s="7" t="s">
        <v>238</v>
      </c>
      <c r="H386" s="7"/>
      <c r="I386" s="10"/>
      <c r="J386" s="10"/>
      <c r="K386" s="10"/>
      <c r="L386" s="11"/>
      <c r="M386" s="10"/>
      <c r="N386" s="11"/>
      <c r="O386" s="10"/>
      <c r="P386" s="11"/>
      <c r="Q386" s="10"/>
      <c r="R386" s="11"/>
      <c r="S386" s="10"/>
      <c r="T386" s="11"/>
      <c r="U386" s="10"/>
      <c r="V386" s="11"/>
      <c r="W386" s="10"/>
      <c r="X386" s="11"/>
      <c r="Y386" s="10"/>
      <c r="Z386" s="11"/>
      <c r="AA386" s="10"/>
      <c r="AB386" s="11"/>
      <c r="AC386" s="10"/>
      <c r="AD386" s="11"/>
      <c r="AE386" s="10"/>
      <c r="AF386" s="11"/>
      <c r="AG386" s="11"/>
      <c r="AH386" s="11"/>
      <c r="AI386" s="10"/>
      <c r="AJ386" s="10"/>
    </row>
    <row r="387" customFormat="false" ht="39.55" hidden="false" customHeight="false" outlineLevel="0" collapsed="false">
      <c r="A387" s="7" t="n">
        <v>385</v>
      </c>
      <c r="B387" s="7" t="str">
        <f aca="false">IF(I387="Y",IF(COUNTIF(I$3:I387,"Y")&lt;=20,"pilot",IF(COUNTIF(I$3:I387,"Y")&lt;=40,"dev",IF(COUNTIF(I$3:I387,"Y")&lt;=200,"test","extra"))),"")</f>
        <v/>
      </c>
      <c r="C387" s="7" t="str">
        <f aca="false">IF(I387="Y",IF(COUNTA(K387,M387,O387,Q387,S387,U387,W387,Y387,AA387,AC387,AE387)=11,"done","in progress"),IF(I387="N","excluded",""))</f>
        <v/>
      </c>
      <c r="D387" s="7" t="s">
        <v>1001</v>
      </c>
      <c r="E387" s="8" t="s">
        <v>96</v>
      </c>
      <c r="F387" s="9" t="s">
        <v>1002</v>
      </c>
      <c r="G387" s="7" t="s">
        <v>1003</v>
      </c>
      <c r="H387" s="7"/>
      <c r="I387" s="10"/>
      <c r="J387" s="10"/>
      <c r="K387" s="10"/>
      <c r="L387" s="11"/>
      <c r="M387" s="10"/>
      <c r="N387" s="11"/>
      <c r="O387" s="10"/>
      <c r="P387" s="11"/>
      <c r="Q387" s="10"/>
      <c r="R387" s="11"/>
      <c r="S387" s="10"/>
      <c r="T387" s="11"/>
      <c r="U387" s="10"/>
      <c r="V387" s="11"/>
      <c r="W387" s="10"/>
      <c r="X387" s="11"/>
      <c r="Y387" s="10"/>
      <c r="Z387" s="11"/>
      <c r="AA387" s="10"/>
      <c r="AB387" s="11"/>
      <c r="AC387" s="10"/>
      <c r="AD387" s="11"/>
      <c r="AE387" s="10"/>
      <c r="AF387" s="11"/>
      <c r="AG387" s="11"/>
      <c r="AH387" s="11"/>
      <c r="AI387" s="10"/>
      <c r="AJ387" s="10"/>
    </row>
    <row r="388" customFormat="false" ht="26.85" hidden="false" customHeight="false" outlineLevel="0" collapsed="false">
      <c r="A388" s="7" t="n">
        <v>386</v>
      </c>
      <c r="B388" s="7" t="str">
        <f aca="false">IF(I388="Y",IF(COUNTIF(I$3:I388,"Y")&lt;=20,"pilot",IF(COUNTIF(I$3:I388,"Y")&lt;=40,"dev",IF(COUNTIF(I$3:I388,"Y")&lt;=200,"test","extra"))),"")</f>
        <v/>
      </c>
      <c r="C388" s="7" t="str">
        <f aca="false">IF(I388="Y",IF(COUNTA(K388,M388,O388,Q388,S388,U388,W388,Y388,AA388,AC388,AE388)=11,"done","in progress"),IF(I388="N","excluded",""))</f>
        <v/>
      </c>
      <c r="D388" s="7" t="s">
        <v>1004</v>
      </c>
      <c r="E388" s="8" t="s">
        <v>96</v>
      </c>
      <c r="F388" s="9" t="s">
        <v>1005</v>
      </c>
      <c r="G388" s="7" t="s">
        <v>1006</v>
      </c>
      <c r="H388" s="7"/>
      <c r="I388" s="10"/>
      <c r="J388" s="10"/>
      <c r="K388" s="10"/>
      <c r="L388" s="11"/>
      <c r="M388" s="10"/>
      <c r="N388" s="11"/>
      <c r="O388" s="10"/>
      <c r="P388" s="11"/>
      <c r="Q388" s="10"/>
      <c r="R388" s="11"/>
      <c r="S388" s="10"/>
      <c r="T388" s="11"/>
      <c r="U388" s="10"/>
      <c r="V388" s="11"/>
      <c r="W388" s="10"/>
      <c r="X388" s="11"/>
      <c r="Y388" s="10"/>
      <c r="Z388" s="11"/>
      <c r="AA388" s="10"/>
      <c r="AB388" s="11"/>
      <c r="AC388" s="10"/>
      <c r="AD388" s="11"/>
      <c r="AE388" s="10"/>
      <c r="AF388" s="11"/>
      <c r="AG388" s="11"/>
      <c r="AH388" s="11"/>
      <c r="AI388" s="10"/>
      <c r="AJ388" s="10"/>
    </row>
    <row r="389" customFormat="false" ht="39.55" hidden="false" customHeight="false" outlineLevel="0" collapsed="false">
      <c r="A389" s="7" t="n">
        <v>387</v>
      </c>
      <c r="B389" s="7" t="str">
        <f aca="false">IF(I389="Y",IF(COUNTIF(I$3:I389,"Y")&lt;=20,"pilot",IF(COUNTIF(I$3:I389,"Y")&lt;=40,"dev",IF(COUNTIF(I$3:I389,"Y")&lt;=200,"test","extra"))),"")</f>
        <v/>
      </c>
      <c r="C389" s="7" t="str">
        <f aca="false">IF(I389="Y",IF(COUNTA(K389,M389,O389,Q389,S389,U389,W389,Y389,AA389,AC389,AE389)=11,"done","in progress"),IF(I389="N","excluded",""))</f>
        <v/>
      </c>
      <c r="D389" s="7" t="s">
        <v>1007</v>
      </c>
      <c r="E389" s="8" t="s">
        <v>96</v>
      </c>
      <c r="F389" s="9" t="s">
        <v>1008</v>
      </c>
      <c r="G389" s="7" t="s">
        <v>1009</v>
      </c>
      <c r="H389" s="7"/>
      <c r="I389" s="10"/>
      <c r="J389" s="10"/>
      <c r="K389" s="10"/>
      <c r="L389" s="11"/>
      <c r="M389" s="10"/>
      <c r="N389" s="11"/>
      <c r="O389" s="10"/>
      <c r="P389" s="11"/>
      <c r="Q389" s="10"/>
      <c r="R389" s="11"/>
      <c r="S389" s="10"/>
      <c r="T389" s="11"/>
      <c r="U389" s="10"/>
      <c r="V389" s="11"/>
      <c r="W389" s="10"/>
      <c r="X389" s="11"/>
      <c r="Y389" s="10"/>
      <c r="Z389" s="11"/>
      <c r="AA389" s="10"/>
      <c r="AB389" s="11"/>
      <c r="AC389" s="10"/>
      <c r="AD389" s="11"/>
      <c r="AE389" s="10"/>
      <c r="AF389" s="11"/>
      <c r="AG389" s="11"/>
      <c r="AH389" s="11"/>
      <c r="AI389" s="10"/>
      <c r="AJ389" s="10"/>
    </row>
    <row r="390" customFormat="false" ht="26.85" hidden="false" customHeight="false" outlineLevel="0" collapsed="false">
      <c r="A390" s="7" t="n">
        <v>388</v>
      </c>
      <c r="B390" s="7" t="str">
        <f aca="false">IF(I390="Y",IF(COUNTIF(I$3:I390,"Y")&lt;=20,"pilot",IF(COUNTIF(I$3:I390,"Y")&lt;=40,"dev",IF(COUNTIF(I$3:I390,"Y")&lt;=200,"test","extra"))),"")</f>
        <v/>
      </c>
      <c r="C390" s="7" t="str">
        <f aca="false">IF(I390="Y",IF(COUNTA(K390,M390,O390,Q390,S390,U390,W390,Y390,AA390,AC390,AE390)=11,"done","in progress"),IF(I390="N","excluded",""))</f>
        <v/>
      </c>
      <c r="D390" s="7" t="s">
        <v>1010</v>
      </c>
      <c r="E390" s="8" t="s">
        <v>96</v>
      </c>
      <c r="F390" s="9" t="s">
        <v>1011</v>
      </c>
      <c r="G390" s="7" t="s">
        <v>176</v>
      </c>
      <c r="H390" s="7"/>
      <c r="I390" s="10"/>
      <c r="J390" s="10"/>
      <c r="K390" s="10"/>
      <c r="L390" s="11"/>
      <c r="M390" s="10"/>
      <c r="N390" s="11"/>
      <c r="O390" s="10"/>
      <c r="P390" s="11"/>
      <c r="Q390" s="10"/>
      <c r="R390" s="11"/>
      <c r="S390" s="10"/>
      <c r="T390" s="11"/>
      <c r="U390" s="10"/>
      <c r="V390" s="11"/>
      <c r="W390" s="10"/>
      <c r="X390" s="11"/>
      <c r="Y390" s="10"/>
      <c r="Z390" s="11"/>
      <c r="AA390" s="10"/>
      <c r="AB390" s="11"/>
      <c r="AC390" s="10"/>
      <c r="AD390" s="11"/>
      <c r="AE390" s="10"/>
      <c r="AF390" s="11"/>
      <c r="AG390" s="11"/>
      <c r="AH390" s="11"/>
      <c r="AI390" s="10"/>
      <c r="AJ390" s="10"/>
    </row>
    <row r="391" customFormat="false" ht="26.85" hidden="false" customHeight="false" outlineLevel="0" collapsed="false">
      <c r="A391" s="7" t="n">
        <v>389</v>
      </c>
      <c r="B391" s="7" t="str">
        <f aca="false">IF(I391="Y",IF(COUNTIF(I$3:I391,"Y")&lt;=20,"pilot",IF(COUNTIF(I$3:I391,"Y")&lt;=40,"dev",IF(COUNTIF(I$3:I391,"Y")&lt;=200,"test","extra"))),"")</f>
        <v/>
      </c>
      <c r="C391" s="7" t="str">
        <f aca="false">IF(I391="Y",IF(COUNTA(K391,M391,O391,Q391,S391,U391,W391,Y391,AA391,AC391,AE391)=11,"done","in progress"),IF(I391="N","excluded",""))</f>
        <v/>
      </c>
      <c r="D391" s="7" t="s">
        <v>1012</v>
      </c>
      <c r="E391" s="8" t="s">
        <v>96</v>
      </c>
      <c r="F391" s="9" t="s">
        <v>1013</v>
      </c>
      <c r="G391" s="7" t="s">
        <v>133</v>
      </c>
      <c r="H391" s="7"/>
      <c r="I391" s="10"/>
      <c r="J391" s="10"/>
      <c r="K391" s="10"/>
      <c r="L391" s="11"/>
      <c r="M391" s="10"/>
      <c r="N391" s="11"/>
      <c r="O391" s="10"/>
      <c r="P391" s="11"/>
      <c r="Q391" s="10"/>
      <c r="R391" s="11"/>
      <c r="S391" s="10"/>
      <c r="T391" s="11"/>
      <c r="U391" s="10"/>
      <c r="V391" s="11"/>
      <c r="W391" s="10"/>
      <c r="X391" s="11"/>
      <c r="Y391" s="10"/>
      <c r="Z391" s="11"/>
      <c r="AA391" s="10"/>
      <c r="AB391" s="11"/>
      <c r="AC391" s="10"/>
      <c r="AD391" s="11"/>
      <c r="AE391" s="10"/>
      <c r="AF391" s="11"/>
      <c r="AG391" s="11"/>
      <c r="AH391" s="11"/>
      <c r="AI391" s="10"/>
      <c r="AJ391" s="10"/>
    </row>
    <row r="392" customFormat="false" ht="26.85" hidden="false" customHeight="false" outlineLevel="0" collapsed="false">
      <c r="A392" s="7" t="n">
        <v>390</v>
      </c>
      <c r="B392" s="7" t="str">
        <f aca="false">IF(I392="Y",IF(COUNTIF(I$3:I392,"Y")&lt;=20,"pilot",IF(COUNTIF(I$3:I392,"Y")&lt;=40,"dev",IF(COUNTIF(I$3:I392,"Y")&lt;=200,"test","extra"))),"")</f>
        <v/>
      </c>
      <c r="C392" s="7" t="str">
        <f aca="false">IF(I392="Y",IF(COUNTA(K392,M392,O392,Q392,S392,U392,W392,Y392,AA392,AC392,AE392)=11,"done","in progress"),IF(I392="N","excluded",""))</f>
        <v/>
      </c>
      <c r="D392" s="7" t="s">
        <v>1014</v>
      </c>
      <c r="E392" s="8" t="s">
        <v>96</v>
      </c>
      <c r="F392" s="9" t="s">
        <v>1015</v>
      </c>
      <c r="G392" s="7" t="s">
        <v>925</v>
      </c>
      <c r="H392" s="7"/>
      <c r="I392" s="10"/>
      <c r="J392" s="10"/>
      <c r="K392" s="10"/>
      <c r="L392" s="11"/>
      <c r="M392" s="10"/>
      <c r="N392" s="11"/>
      <c r="O392" s="10"/>
      <c r="P392" s="11"/>
      <c r="Q392" s="10"/>
      <c r="R392" s="11"/>
      <c r="S392" s="10"/>
      <c r="T392" s="11"/>
      <c r="U392" s="10"/>
      <c r="V392" s="11"/>
      <c r="W392" s="10"/>
      <c r="X392" s="11"/>
      <c r="Y392" s="10"/>
      <c r="Z392" s="11"/>
      <c r="AA392" s="10"/>
      <c r="AB392" s="11"/>
      <c r="AC392" s="10"/>
      <c r="AD392" s="11"/>
      <c r="AE392" s="10"/>
      <c r="AF392" s="11"/>
      <c r="AG392" s="11"/>
      <c r="AH392" s="11"/>
      <c r="AI392" s="10"/>
      <c r="AJ392" s="10"/>
    </row>
    <row r="393" customFormat="false" ht="26.85" hidden="false" customHeight="false" outlineLevel="0" collapsed="false">
      <c r="A393" s="7" t="n">
        <v>391</v>
      </c>
      <c r="B393" s="7" t="str">
        <f aca="false">IF(I393="Y",IF(COUNTIF(I$3:I393,"Y")&lt;=20,"pilot",IF(COUNTIF(I$3:I393,"Y")&lt;=40,"dev",IF(COUNTIF(I$3:I393,"Y")&lt;=200,"test","extra"))),"")</f>
        <v/>
      </c>
      <c r="C393" s="7" t="str">
        <f aca="false">IF(I393="Y",IF(COUNTA(K393,M393,O393,Q393,S393,U393,W393,Y393,AA393,AC393,AE393)=11,"done","in progress"),IF(I393="N","excluded",""))</f>
        <v/>
      </c>
      <c r="D393" s="7" t="s">
        <v>1016</v>
      </c>
      <c r="E393" s="8" t="s">
        <v>96</v>
      </c>
      <c r="F393" s="9" t="s">
        <v>1017</v>
      </c>
      <c r="G393" s="7" t="s">
        <v>444</v>
      </c>
      <c r="H393" s="7"/>
      <c r="I393" s="10"/>
      <c r="J393" s="10"/>
      <c r="K393" s="10"/>
      <c r="L393" s="11"/>
      <c r="M393" s="10"/>
      <c r="N393" s="11"/>
      <c r="O393" s="10"/>
      <c r="P393" s="11"/>
      <c r="Q393" s="10"/>
      <c r="R393" s="11"/>
      <c r="S393" s="10"/>
      <c r="T393" s="11"/>
      <c r="U393" s="10"/>
      <c r="V393" s="11"/>
      <c r="W393" s="10"/>
      <c r="X393" s="11"/>
      <c r="Y393" s="10"/>
      <c r="Z393" s="11"/>
      <c r="AA393" s="10"/>
      <c r="AB393" s="11"/>
      <c r="AC393" s="10"/>
      <c r="AD393" s="11"/>
      <c r="AE393" s="10"/>
      <c r="AF393" s="11"/>
      <c r="AG393" s="11"/>
      <c r="AH393" s="11"/>
      <c r="AI393" s="10"/>
      <c r="AJ393" s="10"/>
    </row>
    <row r="394" customFormat="false" ht="39.55" hidden="false" customHeight="false" outlineLevel="0" collapsed="false">
      <c r="A394" s="7" t="n">
        <v>392</v>
      </c>
      <c r="B394" s="7" t="str">
        <f aca="false">IF(I394="Y",IF(COUNTIF(I$3:I394,"Y")&lt;=20,"pilot",IF(COUNTIF(I$3:I394,"Y")&lt;=40,"dev",IF(COUNTIF(I$3:I394,"Y")&lt;=200,"test","extra"))),"")</f>
        <v/>
      </c>
      <c r="C394" s="7" t="str">
        <f aca="false">IF(I394="Y",IF(COUNTA(K394,M394,O394,Q394,S394,U394,W394,Y394,AA394,AC394,AE394)=11,"done","in progress"),IF(I394="N","excluded",""))</f>
        <v/>
      </c>
      <c r="D394" s="7" t="s">
        <v>1018</v>
      </c>
      <c r="E394" s="8" t="s">
        <v>96</v>
      </c>
      <c r="F394" s="9" t="s">
        <v>1019</v>
      </c>
      <c r="G394" s="7" t="s">
        <v>925</v>
      </c>
      <c r="H394" s="7" t="s">
        <v>929</v>
      </c>
      <c r="I394" s="10"/>
      <c r="J394" s="10"/>
      <c r="K394" s="10"/>
      <c r="L394" s="11"/>
      <c r="M394" s="10"/>
      <c r="N394" s="11"/>
      <c r="O394" s="10"/>
      <c r="P394" s="11"/>
      <c r="Q394" s="10"/>
      <c r="R394" s="11"/>
      <c r="S394" s="10"/>
      <c r="T394" s="11"/>
      <c r="U394" s="10"/>
      <c r="V394" s="11"/>
      <c r="W394" s="10"/>
      <c r="X394" s="11"/>
      <c r="Y394" s="10"/>
      <c r="Z394" s="11"/>
      <c r="AA394" s="10"/>
      <c r="AB394" s="11"/>
      <c r="AC394" s="10"/>
      <c r="AD394" s="11"/>
      <c r="AE394" s="10"/>
      <c r="AF394" s="11"/>
      <c r="AG394" s="11"/>
      <c r="AH394" s="11"/>
      <c r="AI394" s="10"/>
      <c r="AJ394" s="10"/>
    </row>
    <row r="395" customFormat="false" ht="26.85" hidden="false" customHeight="false" outlineLevel="0" collapsed="false">
      <c r="A395" s="7" t="n">
        <v>393</v>
      </c>
      <c r="B395" s="7" t="str">
        <f aca="false">IF(I395="Y",IF(COUNTIF(I$3:I395,"Y")&lt;=20,"pilot",IF(COUNTIF(I$3:I395,"Y")&lt;=40,"dev",IF(COUNTIF(I$3:I395,"Y")&lt;=200,"test","extra"))),"")</f>
        <v/>
      </c>
      <c r="C395" s="7" t="str">
        <f aca="false">IF(I395="Y",IF(COUNTA(K395,M395,O395,Q395,S395,U395,W395,Y395,AA395,AC395,AE395)=11,"done","in progress"),IF(I395="N","excluded",""))</f>
        <v/>
      </c>
      <c r="D395" s="7" t="s">
        <v>1020</v>
      </c>
      <c r="E395" s="8" t="s">
        <v>96</v>
      </c>
      <c r="F395" s="9" t="s">
        <v>1021</v>
      </c>
      <c r="G395" s="7" t="s">
        <v>238</v>
      </c>
      <c r="H395" s="7"/>
      <c r="I395" s="10"/>
      <c r="J395" s="10"/>
      <c r="K395" s="10"/>
      <c r="L395" s="11"/>
      <c r="M395" s="10"/>
      <c r="N395" s="11"/>
      <c r="O395" s="10"/>
      <c r="P395" s="11"/>
      <c r="Q395" s="10"/>
      <c r="R395" s="11"/>
      <c r="S395" s="10"/>
      <c r="T395" s="11"/>
      <c r="U395" s="10"/>
      <c r="V395" s="11"/>
      <c r="W395" s="10"/>
      <c r="X395" s="11"/>
      <c r="Y395" s="10"/>
      <c r="Z395" s="11"/>
      <c r="AA395" s="10"/>
      <c r="AB395" s="11"/>
      <c r="AC395" s="10"/>
      <c r="AD395" s="11"/>
      <c r="AE395" s="10"/>
      <c r="AF395" s="11"/>
      <c r="AG395" s="11"/>
      <c r="AH395" s="11"/>
      <c r="AI395" s="10"/>
      <c r="AJ395" s="10"/>
    </row>
    <row r="396" customFormat="false" ht="39.55" hidden="false" customHeight="false" outlineLevel="0" collapsed="false">
      <c r="A396" s="7" t="n">
        <v>394</v>
      </c>
      <c r="B396" s="7" t="str">
        <f aca="false">IF(I396="Y",IF(COUNTIF(I$3:I396,"Y")&lt;=20,"pilot",IF(COUNTIF(I$3:I396,"Y")&lt;=40,"dev",IF(COUNTIF(I$3:I396,"Y")&lt;=200,"test","extra"))),"")</f>
        <v/>
      </c>
      <c r="C396" s="7" t="str">
        <f aca="false">IF(I396="Y",IF(COUNTA(K396,M396,O396,Q396,S396,U396,W396,Y396,AA396,AC396,AE396)=11,"done","in progress"),IF(I396="N","excluded",""))</f>
        <v/>
      </c>
      <c r="D396" s="7" t="s">
        <v>1022</v>
      </c>
      <c r="E396" s="8" t="s">
        <v>96</v>
      </c>
      <c r="F396" s="9" t="s">
        <v>1023</v>
      </c>
      <c r="G396" s="7" t="s">
        <v>116</v>
      </c>
      <c r="H396" s="7"/>
      <c r="I396" s="10"/>
      <c r="J396" s="10"/>
      <c r="K396" s="10"/>
      <c r="L396" s="11"/>
      <c r="M396" s="10"/>
      <c r="N396" s="11"/>
      <c r="O396" s="10"/>
      <c r="P396" s="11"/>
      <c r="Q396" s="10"/>
      <c r="R396" s="11"/>
      <c r="S396" s="10"/>
      <c r="T396" s="11"/>
      <c r="U396" s="10"/>
      <c r="V396" s="11"/>
      <c r="W396" s="10"/>
      <c r="X396" s="11"/>
      <c r="Y396" s="10"/>
      <c r="Z396" s="11"/>
      <c r="AA396" s="10"/>
      <c r="AB396" s="11"/>
      <c r="AC396" s="10"/>
      <c r="AD396" s="11"/>
      <c r="AE396" s="10"/>
      <c r="AF396" s="11"/>
      <c r="AG396" s="11"/>
      <c r="AH396" s="11"/>
      <c r="AI396" s="10"/>
      <c r="AJ396" s="10"/>
    </row>
    <row r="397" customFormat="false" ht="39.55" hidden="false" customHeight="false" outlineLevel="0" collapsed="false">
      <c r="A397" s="7" t="n">
        <v>395</v>
      </c>
      <c r="B397" s="7" t="str">
        <f aca="false">IF(I397="Y",IF(COUNTIF(I$3:I397,"Y")&lt;=20,"pilot",IF(COUNTIF(I$3:I397,"Y")&lt;=40,"dev",IF(COUNTIF(I$3:I397,"Y")&lt;=200,"test","extra"))),"")</f>
        <v/>
      </c>
      <c r="C397" s="7" t="str">
        <f aca="false">IF(I397="Y",IF(COUNTA(K397,M397,O397,Q397,S397,U397,W397,Y397,AA397,AC397,AE397)=11,"done","in progress"),IF(I397="N","excluded",""))</f>
        <v/>
      </c>
      <c r="D397" s="7" t="s">
        <v>1024</v>
      </c>
      <c r="E397" s="8" t="s">
        <v>96</v>
      </c>
      <c r="F397" s="9" t="s">
        <v>1025</v>
      </c>
      <c r="G397" s="7" t="s">
        <v>176</v>
      </c>
      <c r="H397" s="7"/>
      <c r="I397" s="10"/>
      <c r="J397" s="10"/>
      <c r="K397" s="10"/>
      <c r="L397" s="11"/>
      <c r="M397" s="10"/>
      <c r="N397" s="11"/>
      <c r="O397" s="10"/>
      <c r="P397" s="11"/>
      <c r="Q397" s="10"/>
      <c r="R397" s="11"/>
      <c r="S397" s="10"/>
      <c r="T397" s="11"/>
      <c r="U397" s="10"/>
      <c r="V397" s="11"/>
      <c r="W397" s="10"/>
      <c r="X397" s="11"/>
      <c r="Y397" s="10"/>
      <c r="Z397" s="11"/>
      <c r="AA397" s="10"/>
      <c r="AB397" s="11"/>
      <c r="AC397" s="10"/>
      <c r="AD397" s="11"/>
      <c r="AE397" s="10"/>
      <c r="AF397" s="11"/>
      <c r="AG397" s="11"/>
      <c r="AH397" s="11"/>
      <c r="AI397" s="10"/>
      <c r="AJ397" s="10"/>
    </row>
    <row r="398" customFormat="false" ht="26.85" hidden="false" customHeight="false" outlineLevel="0" collapsed="false">
      <c r="A398" s="7" t="n">
        <v>396</v>
      </c>
      <c r="B398" s="7" t="str">
        <f aca="false">IF(I398="Y",IF(COUNTIF(I$3:I398,"Y")&lt;=20,"pilot",IF(COUNTIF(I$3:I398,"Y")&lt;=40,"dev",IF(COUNTIF(I$3:I398,"Y")&lt;=200,"test","extra"))),"")</f>
        <v/>
      </c>
      <c r="C398" s="7" t="str">
        <f aca="false">IF(I398="Y",IF(COUNTA(K398,M398,O398,Q398,S398,U398,W398,Y398,AA398,AC398,AE398)=11,"done","in progress"),IF(I398="N","excluded",""))</f>
        <v/>
      </c>
      <c r="D398" s="7" t="s">
        <v>1026</v>
      </c>
      <c r="E398" s="8" t="s">
        <v>96</v>
      </c>
      <c r="F398" s="9" t="s">
        <v>1027</v>
      </c>
      <c r="G398" s="7" t="s">
        <v>314</v>
      </c>
      <c r="H398" s="7"/>
      <c r="I398" s="10"/>
      <c r="J398" s="10"/>
      <c r="K398" s="10"/>
      <c r="L398" s="11"/>
      <c r="M398" s="10"/>
      <c r="N398" s="11"/>
      <c r="O398" s="10"/>
      <c r="P398" s="11"/>
      <c r="Q398" s="10"/>
      <c r="R398" s="11"/>
      <c r="S398" s="10"/>
      <c r="T398" s="11"/>
      <c r="U398" s="10"/>
      <c r="V398" s="11"/>
      <c r="W398" s="10"/>
      <c r="X398" s="11"/>
      <c r="Y398" s="10"/>
      <c r="Z398" s="11"/>
      <c r="AA398" s="10"/>
      <c r="AB398" s="11"/>
      <c r="AC398" s="10"/>
      <c r="AD398" s="11"/>
      <c r="AE398" s="10"/>
      <c r="AF398" s="11"/>
      <c r="AG398" s="11"/>
      <c r="AH398" s="11"/>
      <c r="AI398" s="10"/>
      <c r="AJ398" s="10"/>
    </row>
    <row r="399" customFormat="false" ht="39.55" hidden="false" customHeight="false" outlineLevel="0" collapsed="false">
      <c r="A399" s="7" t="n">
        <v>397</v>
      </c>
      <c r="B399" s="7" t="str">
        <f aca="false">IF(I399="Y",IF(COUNTIF(I$3:I399,"Y")&lt;=20,"pilot",IF(COUNTIF(I$3:I399,"Y")&lt;=40,"dev",IF(COUNTIF(I$3:I399,"Y")&lt;=200,"test","extra"))),"")</f>
        <v/>
      </c>
      <c r="C399" s="7" t="str">
        <f aca="false">IF(I399="Y",IF(COUNTA(K399,M399,O399,Q399,S399,U399,W399,Y399,AA399,AC399,AE399)=11,"done","in progress"),IF(I399="N","excluded",""))</f>
        <v/>
      </c>
      <c r="D399" s="7" t="s">
        <v>1028</v>
      </c>
      <c r="E399" s="8" t="s">
        <v>96</v>
      </c>
      <c r="F399" s="9" t="s">
        <v>1029</v>
      </c>
      <c r="G399" s="7" t="s">
        <v>526</v>
      </c>
      <c r="H399" s="7"/>
      <c r="I399" s="10"/>
      <c r="J399" s="10"/>
      <c r="K399" s="10"/>
      <c r="L399" s="11"/>
      <c r="M399" s="10"/>
      <c r="N399" s="11"/>
      <c r="O399" s="10"/>
      <c r="P399" s="11"/>
      <c r="Q399" s="10"/>
      <c r="R399" s="11"/>
      <c r="S399" s="10"/>
      <c r="T399" s="11"/>
      <c r="U399" s="10"/>
      <c r="V399" s="11"/>
      <c r="W399" s="10"/>
      <c r="X399" s="11"/>
      <c r="Y399" s="10"/>
      <c r="Z399" s="11"/>
      <c r="AA399" s="10"/>
      <c r="AB399" s="11"/>
      <c r="AC399" s="10"/>
      <c r="AD399" s="11"/>
      <c r="AE399" s="10"/>
      <c r="AF399" s="11"/>
      <c r="AG399" s="11"/>
      <c r="AH399" s="11"/>
      <c r="AI399" s="10"/>
      <c r="AJ399" s="10"/>
    </row>
    <row r="400" customFormat="false" ht="39.55" hidden="false" customHeight="false" outlineLevel="0" collapsed="false">
      <c r="A400" s="7" t="n">
        <v>398</v>
      </c>
      <c r="B400" s="7" t="str">
        <f aca="false">IF(I400="Y",IF(COUNTIF(I$3:I400,"Y")&lt;=20,"pilot",IF(COUNTIF(I$3:I400,"Y")&lt;=40,"dev",IF(COUNTIF(I$3:I400,"Y")&lt;=200,"test","extra"))),"")</f>
        <v/>
      </c>
      <c r="C400" s="7" t="str">
        <f aca="false">IF(I400="Y",IF(COUNTA(K400,M400,O400,Q400,S400,U400,W400,Y400,AA400,AC400,AE400)=11,"done","in progress"),IF(I400="N","excluded",""))</f>
        <v/>
      </c>
      <c r="D400" s="7" t="s">
        <v>1030</v>
      </c>
      <c r="E400" s="8" t="s">
        <v>96</v>
      </c>
      <c r="F400" s="9" t="s">
        <v>1031</v>
      </c>
      <c r="G400" s="7" t="s">
        <v>296</v>
      </c>
      <c r="H400" s="7"/>
      <c r="I400" s="10"/>
      <c r="J400" s="10"/>
      <c r="K400" s="10"/>
      <c r="L400" s="11"/>
      <c r="M400" s="10"/>
      <c r="N400" s="11"/>
      <c r="O400" s="10"/>
      <c r="P400" s="11"/>
      <c r="Q400" s="10"/>
      <c r="R400" s="11"/>
      <c r="S400" s="10"/>
      <c r="T400" s="11"/>
      <c r="U400" s="10"/>
      <c r="V400" s="11"/>
      <c r="W400" s="10"/>
      <c r="X400" s="11"/>
      <c r="Y400" s="10"/>
      <c r="Z400" s="11"/>
      <c r="AA400" s="10"/>
      <c r="AB400" s="11"/>
      <c r="AC400" s="10"/>
      <c r="AD400" s="11"/>
      <c r="AE400" s="10"/>
      <c r="AF400" s="11"/>
      <c r="AG400" s="11"/>
      <c r="AH400" s="11"/>
      <c r="AI400" s="10"/>
      <c r="AJ400" s="10"/>
    </row>
    <row r="401" customFormat="false" ht="39.55" hidden="false" customHeight="false" outlineLevel="0" collapsed="false">
      <c r="A401" s="7" t="n">
        <v>399</v>
      </c>
      <c r="B401" s="7" t="str">
        <f aca="false">IF(I401="Y",IF(COUNTIF(I$3:I401,"Y")&lt;=20,"pilot",IF(COUNTIF(I$3:I401,"Y")&lt;=40,"dev",IF(COUNTIF(I$3:I401,"Y")&lt;=200,"test","extra"))),"")</f>
        <v/>
      </c>
      <c r="C401" s="7" t="str">
        <f aca="false">IF(I401="Y",IF(COUNTA(K401,M401,O401,Q401,S401,U401,W401,Y401,AA401,AC401,AE401)=11,"done","in progress"),IF(I401="N","excluded",""))</f>
        <v/>
      </c>
      <c r="D401" s="7" t="s">
        <v>1032</v>
      </c>
      <c r="E401" s="8" t="s">
        <v>96</v>
      </c>
      <c r="F401" s="9" t="s">
        <v>1033</v>
      </c>
      <c r="G401" s="7" t="s">
        <v>125</v>
      </c>
      <c r="H401" s="7"/>
      <c r="I401" s="10"/>
      <c r="J401" s="10"/>
      <c r="K401" s="10"/>
      <c r="L401" s="11"/>
      <c r="M401" s="10"/>
      <c r="N401" s="11"/>
      <c r="O401" s="10"/>
      <c r="P401" s="11"/>
      <c r="Q401" s="10"/>
      <c r="R401" s="11"/>
      <c r="S401" s="10"/>
      <c r="T401" s="11"/>
      <c r="U401" s="10"/>
      <c r="V401" s="11"/>
      <c r="W401" s="10"/>
      <c r="X401" s="11"/>
      <c r="Y401" s="10"/>
      <c r="Z401" s="11"/>
      <c r="AA401" s="10"/>
      <c r="AB401" s="11"/>
      <c r="AC401" s="10"/>
      <c r="AD401" s="11"/>
      <c r="AE401" s="10"/>
      <c r="AF401" s="11"/>
      <c r="AG401" s="11"/>
      <c r="AH401" s="11"/>
      <c r="AI401" s="10"/>
      <c r="AJ401" s="10"/>
    </row>
    <row r="402" customFormat="false" ht="26.85" hidden="false" customHeight="false" outlineLevel="0" collapsed="false">
      <c r="A402" s="7" t="n">
        <v>400</v>
      </c>
      <c r="B402" s="7" t="str">
        <f aca="false">IF(I402="Y",IF(COUNTIF(I$3:I402,"Y")&lt;=20,"pilot",IF(COUNTIF(I$3:I402,"Y")&lt;=40,"dev",IF(COUNTIF(I$3:I402,"Y")&lt;=200,"test","extra"))),"")</f>
        <v/>
      </c>
      <c r="C402" s="7" t="str">
        <f aca="false">IF(I402="Y",IF(COUNTA(K402,M402,O402,Q402,S402,U402,W402,Y402,AA402,AC402,AE402)=11,"done","in progress"),IF(I402="N","excluded",""))</f>
        <v/>
      </c>
      <c r="D402" s="7" t="s">
        <v>1034</v>
      </c>
      <c r="E402" s="8" t="s">
        <v>96</v>
      </c>
      <c r="F402" s="9" t="s">
        <v>1035</v>
      </c>
      <c r="G402" s="7" t="s">
        <v>896</v>
      </c>
      <c r="H402" s="7" t="s">
        <v>897</v>
      </c>
      <c r="I402" s="10"/>
      <c r="J402" s="10"/>
      <c r="K402" s="10"/>
      <c r="L402" s="11"/>
      <c r="M402" s="10"/>
      <c r="N402" s="11"/>
      <c r="O402" s="10"/>
      <c r="P402" s="11"/>
      <c r="Q402" s="10"/>
      <c r="R402" s="11"/>
      <c r="S402" s="10"/>
      <c r="T402" s="11"/>
      <c r="U402" s="10"/>
      <c r="V402" s="11"/>
      <c r="W402" s="10"/>
      <c r="X402" s="11"/>
      <c r="Y402" s="10"/>
      <c r="Z402" s="11"/>
      <c r="AA402" s="10"/>
      <c r="AB402" s="11"/>
      <c r="AC402" s="10"/>
      <c r="AD402" s="11"/>
      <c r="AE402" s="10"/>
      <c r="AF402" s="11"/>
      <c r="AG402" s="11"/>
      <c r="AH402" s="11"/>
      <c r="AI402" s="10"/>
      <c r="AJ402" s="10"/>
    </row>
    <row r="403" customFormat="false" ht="52.2" hidden="false" customHeight="false" outlineLevel="0" collapsed="false">
      <c r="A403" s="7" t="n">
        <v>401</v>
      </c>
      <c r="B403" s="7" t="str">
        <f aca="false">IF(I403="Y",IF(COUNTIF(I$3:I403,"Y")&lt;=20,"pilot",IF(COUNTIF(I$3:I403,"Y")&lt;=40,"dev",IF(COUNTIF(I$3:I403,"Y")&lt;=200,"test","extra"))),"")</f>
        <v/>
      </c>
      <c r="C403" s="7" t="str">
        <f aca="false">IF(I403="Y",IF(COUNTA(K403,M403,O403,Q403,S403,U403,W403,Y403,AA403,AC403,AE403)=11,"done","in progress"),IF(I403="N","excluded",""))</f>
        <v/>
      </c>
      <c r="D403" s="7" t="s">
        <v>1036</v>
      </c>
      <c r="E403" s="8" t="s">
        <v>96</v>
      </c>
      <c r="F403" s="9" t="s">
        <v>1037</v>
      </c>
      <c r="G403" s="7" t="s">
        <v>98</v>
      </c>
      <c r="H403" s="7"/>
      <c r="I403" s="10"/>
      <c r="J403" s="10"/>
      <c r="K403" s="10"/>
      <c r="L403" s="11"/>
      <c r="M403" s="10"/>
      <c r="N403" s="11"/>
      <c r="O403" s="10"/>
      <c r="P403" s="11"/>
      <c r="Q403" s="10"/>
      <c r="R403" s="11"/>
      <c r="S403" s="10"/>
      <c r="T403" s="11"/>
      <c r="U403" s="10"/>
      <c r="V403" s="11"/>
      <c r="W403" s="10"/>
      <c r="X403" s="11"/>
      <c r="Y403" s="10"/>
      <c r="Z403" s="11"/>
      <c r="AA403" s="10"/>
      <c r="AB403" s="11"/>
      <c r="AC403" s="10"/>
      <c r="AD403" s="11"/>
      <c r="AE403" s="10"/>
      <c r="AF403" s="11"/>
      <c r="AG403" s="11"/>
      <c r="AH403" s="11"/>
      <c r="AI403" s="10"/>
      <c r="AJ403" s="10"/>
    </row>
    <row r="404" customFormat="false" ht="39.55" hidden="false" customHeight="false" outlineLevel="0" collapsed="false">
      <c r="A404" s="7" t="n">
        <v>402</v>
      </c>
      <c r="B404" s="7" t="str">
        <f aca="false">IF(I404="Y",IF(COUNTIF(I$3:I404,"Y")&lt;=20,"pilot",IF(COUNTIF(I$3:I404,"Y")&lt;=40,"dev",IF(COUNTIF(I$3:I404,"Y")&lt;=200,"test","extra"))),"")</f>
        <v/>
      </c>
      <c r="C404" s="7" t="str">
        <f aca="false">IF(I404="Y",IF(COUNTA(K404,M404,O404,Q404,S404,U404,W404,Y404,AA404,AC404,AE404)=11,"done","in progress"),IF(I404="N","excluded",""))</f>
        <v/>
      </c>
      <c r="D404" s="7" t="s">
        <v>1038</v>
      </c>
      <c r="E404" s="8" t="s">
        <v>96</v>
      </c>
      <c r="F404" s="9" t="s">
        <v>1039</v>
      </c>
      <c r="G404" s="7" t="s">
        <v>1040</v>
      </c>
      <c r="H404" s="7"/>
      <c r="I404" s="10"/>
      <c r="J404" s="10"/>
      <c r="K404" s="10"/>
      <c r="L404" s="11"/>
      <c r="M404" s="10"/>
      <c r="N404" s="11"/>
      <c r="O404" s="10"/>
      <c r="P404" s="11"/>
      <c r="Q404" s="10"/>
      <c r="R404" s="11"/>
      <c r="S404" s="10"/>
      <c r="T404" s="11"/>
      <c r="U404" s="10"/>
      <c r="V404" s="11"/>
      <c r="W404" s="10"/>
      <c r="X404" s="11"/>
      <c r="Y404" s="10"/>
      <c r="Z404" s="11"/>
      <c r="AA404" s="10"/>
      <c r="AB404" s="11"/>
      <c r="AC404" s="10"/>
      <c r="AD404" s="11"/>
      <c r="AE404" s="10"/>
      <c r="AF404" s="11"/>
      <c r="AG404" s="11"/>
      <c r="AH404" s="11"/>
      <c r="AI404" s="10"/>
      <c r="AJ404" s="10"/>
    </row>
    <row r="405" customFormat="false" ht="39.55" hidden="false" customHeight="false" outlineLevel="0" collapsed="false">
      <c r="A405" s="7" t="n">
        <v>403</v>
      </c>
      <c r="B405" s="7" t="str">
        <f aca="false">IF(I405="Y",IF(COUNTIF(I$3:I405,"Y")&lt;=20,"pilot",IF(COUNTIF(I$3:I405,"Y")&lt;=40,"dev",IF(COUNTIF(I$3:I405,"Y")&lt;=200,"test","extra"))),"")</f>
        <v/>
      </c>
      <c r="C405" s="7" t="str">
        <f aca="false">IF(I405="Y",IF(COUNTA(K405,M405,O405,Q405,S405,U405,W405,Y405,AA405,AC405,AE405)=11,"done","in progress"),IF(I405="N","excluded",""))</f>
        <v/>
      </c>
      <c r="D405" s="7" t="s">
        <v>1041</v>
      </c>
      <c r="E405" s="8" t="s">
        <v>96</v>
      </c>
      <c r="F405" s="9" t="s">
        <v>1042</v>
      </c>
      <c r="G405" s="7" t="s">
        <v>350</v>
      </c>
      <c r="H405" s="7"/>
      <c r="I405" s="10"/>
      <c r="J405" s="10"/>
      <c r="K405" s="10"/>
      <c r="L405" s="11"/>
      <c r="M405" s="10"/>
      <c r="N405" s="11"/>
      <c r="O405" s="10"/>
      <c r="P405" s="11"/>
      <c r="Q405" s="10"/>
      <c r="R405" s="11"/>
      <c r="S405" s="10"/>
      <c r="T405" s="11"/>
      <c r="U405" s="10"/>
      <c r="V405" s="11"/>
      <c r="W405" s="10"/>
      <c r="X405" s="11"/>
      <c r="Y405" s="10"/>
      <c r="Z405" s="11"/>
      <c r="AA405" s="10"/>
      <c r="AB405" s="11"/>
      <c r="AC405" s="10"/>
      <c r="AD405" s="11"/>
      <c r="AE405" s="10"/>
      <c r="AF405" s="11"/>
      <c r="AG405" s="11"/>
      <c r="AH405" s="11"/>
      <c r="AI405" s="10"/>
      <c r="AJ405" s="10"/>
    </row>
    <row r="406" customFormat="false" ht="52.2" hidden="false" customHeight="false" outlineLevel="0" collapsed="false">
      <c r="A406" s="7" t="n">
        <v>404</v>
      </c>
      <c r="B406" s="7" t="str">
        <f aca="false">IF(I406="Y",IF(COUNTIF(I$3:I406,"Y")&lt;=20,"pilot",IF(COUNTIF(I$3:I406,"Y")&lt;=40,"dev",IF(COUNTIF(I$3:I406,"Y")&lt;=200,"test","extra"))),"")</f>
        <v/>
      </c>
      <c r="C406" s="7" t="str">
        <f aca="false">IF(I406="Y",IF(COUNTA(K406,M406,O406,Q406,S406,U406,W406,Y406,AA406,AC406,AE406)=11,"done","in progress"),IF(I406="N","excluded",""))</f>
        <v/>
      </c>
      <c r="D406" s="7" t="s">
        <v>1043</v>
      </c>
      <c r="E406" s="8" t="s">
        <v>96</v>
      </c>
      <c r="F406" s="9" t="s">
        <v>1044</v>
      </c>
      <c r="G406" s="7" t="s">
        <v>151</v>
      </c>
      <c r="H406" s="7"/>
      <c r="I406" s="10"/>
      <c r="J406" s="10"/>
      <c r="K406" s="10"/>
      <c r="L406" s="11"/>
      <c r="M406" s="10"/>
      <c r="N406" s="11"/>
      <c r="O406" s="10"/>
      <c r="P406" s="11"/>
      <c r="Q406" s="10"/>
      <c r="R406" s="11"/>
      <c r="S406" s="10"/>
      <c r="T406" s="11"/>
      <c r="U406" s="10"/>
      <c r="V406" s="11"/>
      <c r="W406" s="10"/>
      <c r="X406" s="11"/>
      <c r="Y406" s="10"/>
      <c r="Z406" s="11"/>
      <c r="AA406" s="10"/>
      <c r="AB406" s="11"/>
      <c r="AC406" s="10"/>
      <c r="AD406" s="11"/>
      <c r="AE406" s="10"/>
      <c r="AF406" s="11"/>
      <c r="AG406" s="11"/>
      <c r="AH406" s="11"/>
      <c r="AI406" s="10"/>
      <c r="AJ406" s="10"/>
    </row>
    <row r="407" customFormat="false" ht="39.55" hidden="false" customHeight="false" outlineLevel="0" collapsed="false">
      <c r="A407" s="7" t="n">
        <v>405</v>
      </c>
      <c r="B407" s="7" t="str">
        <f aca="false">IF(I407="Y",IF(COUNTIF(I$3:I407,"Y")&lt;=20,"pilot",IF(COUNTIF(I$3:I407,"Y")&lt;=40,"dev",IF(COUNTIF(I$3:I407,"Y")&lt;=200,"test","extra"))),"")</f>
        <v/>
      </c>
      <c r="C407" s="7" t="str">
        <f aca="false">IF(I407="Y",IF(COUNTA(K407,M407,O407,Q407,S407,U407,W407,Y407,AA407,AC407,AE407)=11,"done","in progress"),IF(I407="N","excluded",""))</f>
        <v/>
      </c>
      <c r="D407" s="7" t="s">
        <v>1045</v>
      </c>
      <c r="E407" s="8" t="s">
        <v>96</v>
      </c>
      <c r="F407" s="9" t="s">
        <v>1046</v>
      </c>
      <c r="G407" s="7" t="s">
        <v>678</v>
      </c>
      <c r="H407" s="7"/>
      <c r="I407" s="10"/>
      <c r="J407" s="10"/>
      <c r="K407" s="10"/>
      <c r="L407" s="11"/>
      <c r="M407" s="10"/>
      <c r="N407" s="11"/>
      <c r="O407" s="10"/>
      <c r="P407" s="11"/>
      <c r="Q407" s="10"/>
      <c r="R407" s="11"/>
      <c r="S407" s="10"/>
      <c r="T407" s="11"/>
      <c r="U407" s="10"/>
      <c r="V407" s="11"/>
      <c r="W407" s="10"/>
      <c r="X407" s="11"/>
      <c r="Y407" s="10"/>
      <c r="Z407" s="11"/>
      <c r="AA407" s="10"/>
      <c r="AB407" s="11"/>
      <c r="AC407" s="10"/>
      <c r="AD407" s="11"/>
      <c r="AE407" s="10"/>
      <c r="AF407" s="11"/>
      <c r="AG407" s="11"/>
      <c r="AH407" s="11"/>
      <c r="AI407" s="10"/>
      <c r="AJ407" s="10"/>
    </row>
    <row r="408" customFormat="false" ht="52.2" hidden="false" customHeight="false" outlineLevel="0" collapsed="false">
      <c r="A408" s="7" t="n">
        <v>406</v>
      </c>
      <c r="B408" s="7" t="str">
        <f aca="false">IF(I408="Y",IF(COUNTIF(I$3:I408,"Y")&lt;=20,"pilot",IF(COUNTIF(I$3:I408,"Y")&lt;=40,"dev",IF(COUNTIF(I$3:I408,"Y")&lt;=200,"test","extra"))),"")</f>
        <v/>
      </c>
      <c r="C408" s="7" t="str">
        <f aca="false">IF(I408="Y",IF(COUNTA(K408,M408,O408,Q408,S408,U408,W408,Y408,AA408,AC408,AE408)=11,"done","in progress"),IF(I408="N","excluded",""))</f>
        <v/>
      </c>
      <c r="D408" s="7" t="s">
        <v>1047</v>
      </c>
      <c r="E408" s="8" t="s">
        <v>96</v>
      </c>
      <c r="F408" s="9" t="s">
        <v>1048</v>
      </c>
      <c r="G408" s="7" t="s">
        <v>302</v>
      </c>
      <c r="H408" s="7" t="s">
        <v>193</v>
      </c>
      <c r="I408" s="10"/>
      <c r="J408" s="10"/>
      <c r="K408" s="10"/>
      <c r="L408" s="11"/>
      <c r="M408" s="10"/>
      <c r="N408" s="11"/>
      <c r="O408" s="10"/>
      <c r="P408" s="11"/>
      <c r="Q408" s="10"/>
      <c r="R408" s="11"/>
      <c r="S408" s="10"/>
      <c r="T408" s="11"/>
      <c r="U408" s="10"/>
      <c r="V408" s="11"/>
      <c r="W408" s="10"/>
      <c r="X408" s="11"/>
      <c r="Y408" s="10"/>
      <c r="Z408" s="11"/>
      <c r="AA408" s="10"/>
      <c r="AB408" s="11"/>
      <c r="AC408" s="10"/>
      <c r="AD408" s="11"/>
      <c r="AE408" s="10"/>
      <c r="AF408" s="11"/>
      <c r="AG408" s="11"/>
      <c r="AH408" s="11"/>
      <c r="AI408" s="10"/>
      <c r="AJ408" s="10"/>
    </row>
    <row r="409" customFormat="false" ht="39.55" hidden="false" customHeight="false" outlineLevel="0" collapsed="false">
      <c r="A409" s="7" t="n">
        <v>407</v>
      </c>
      <c r="B409" s="7" t="str">
        <f aca="false">IF(I409="Y",IF(COUNTIF(I$3:I409,"Y")&lt;=20,"pilot",IF(COUNTIF(I$3:I409,"Y")&lt;=40,"dev",IF(COUNTIF(I$3:I409,"Y")&lt;=200,"test","extra"))),"")</f>
        <v/>
      </c>
      <c r="C409" s="7" t="str">
        <f aca="false">IF(I409="Y",IF(COUNTA(K409,M409,O409,Q409,S409,U409,W409,Y409,AA409,AC409,AE409)=11,"done","in progress"),IF(I409="N","excluded",""))</f>
        <v/>
      </c>
      <c r="D409" s="7" t="s">
        <v>1049</v>
      </c>
      <c r="E409" s="8" t="s">
        <v>96</v>
      </c>
      <c r="F409" s="9" t="s">
        <v>1050</v>
      </c>
      <c r="G409" s="7" t="s">
        <v>1051</v>
      </c>
      <c r="H409" s="7"/>
      <c r="I409" s="10"/>
      <c r="J409" s="10"/>
      <c r="K409" s="10"/>
      <c r="L409" s="11"/>
      <c r="M409" s="10"/>
      <c r="N409" s="11"/>
      <c r="O409" s="10"/>
      <c r="P409" s="11"/>
      <c r="Q409" s="10"/>
      <c r="R409" s="11"/>
      <c r="S409" s="10"/>
      <c r="T409" s="11"/>
      <c r="U409" s="10"/>
      <c r="V409" s="11"/>
      <c r="W409" s="10"/>
      <c r="X409" s="11"/>
      <c r="Y409" s="10"/>
      <c r="Z409" s="11"/>
      <c r="AA409" s="10"/>
      <c r="AB409" s="11"/>
      <c r="AC409" s="10"/>
      <c r="AD409" s="11"/>
      <c r="AE409" s="10"/>
      <c r="AF409" s="11"/>
      <c r="AG409" s="11"/>
      <c r="AH409" s="11"/>
      <c r="AI409" s="10"/>
      <c r="AJ409" s="10"/>
    </row>
    <row r="410" customFormat="false" ht="26.85" hidden="false" customHeight="false" outlineLevel="0" collapsed="false">
      <c r="A410" s="7" t="n">
        <v>408</v>
      </c>
      <c r="B410" s="7" t="str">
        <f aca="false">IF(I410="Y",IF(COUNTIF(I$3:I410,"Y")&lt;=20,"pilot",IF(COUNTIF(I$3:I410,"Y")&lt;=40,"dev",IF(COUNTIF(I$3:I410,"Y")&lt;=200,"test","extra"))),"")</f>
        <v/>
      </c>
      <c r="C410" s="7" t="str">
        <f aca="false">IF(I410="Y",IF(COUNTA(K410,M410,O410,Q410,S410,U410,W410,Y410,AA410,AC410,AE410)=11,"done","in progress"),IF(I410="N","excluded",""))</f>
        <v/>
      </c>
      <c r="D410" s="7" t="s">
        <v>1052</v>
      </c>
      <c r="E410" s="8" t="s">
        <v>96</v>
      </c>
      <c r="F410" s="9" t="s">
        <v>1053</v>
      </c>
      <c r="G410" s="7" t="s">
        <v>98</v>
      </c>
      <c r="H410" s="7"/>
      <c r="I410" s="10"/>
      <c r="J410" s="10"/>
      <c r="K410" s="10"/>
      <c r="L410" s="11"/>
      <c r="M410" s="10"/>
      <c r="N410" s="11"/>
      <c r="O410" s="10"/>
      <c r="P410" s="11"/>
      <c r="Q410" s="10"/>
      <c r="R410" s="11"/>
      <c r="S410" s="10"/>
      <c r="T410" s="11"/>
      <c r="U410" s="10"/>
      <c r="V410" s="11"/>
      <c r="W410" s="10"/>
      <c r="X410" s="11"/>
      <c r="Y410" s="10"/>
      <c r="Z410" s="11"/>
      <c r="AA410" s="10"/>
      <c r="AB410" s="11"/>
      <c r="AC410" s="10"/>
      <c r="AD410" s="11"/>
      <c r="AE410" s="10"/>
      <c r="AF410" s="11"/>
      <c r="AG410" s="11"/>
      <c r="AH410" s="11"/>
      <c r="AI410" s="10"/>
      <c r="AJ410" s="10"/>
    </row>
    <row r="411" customFormat="false" ht="39.55" hidden="false" customHeight="false" outlineLevel="0" collapsed="false">
      <c r="A411" s="7" t="n">
        <v>409</v>
      </c>
      <c r="B411" s="7" t="str">
        <f aca="false">IF(I411="Y",IF(COUNTIF(I$3:I411,"Y")&lt;=20,"pilot",IF(COUNTIF(I$3:I411,"Y")&lt;=40,"dev",IF(COUNTIF(I$3:I411,"Y")&lt;=200,"test","extra"))),"")</f>
        <v/>
      </c>
      <c r="C411" s="7" t="str">
        <f aca="false">IF(I411="Y",IF(COUNTA(K411,M411,O411,Q411,S411,U411,W411,Y411,AA411,AC411,AE411)=11,"done","in progress"),IF(I411="N","excluded",""))</f>
        <v/>
      </c>
      <c r="D411" s="7" t="s">
        <v>1054</v>
      </c>
      <c r="E411" s="8" t="s">
        <v>96</v>
      </c>
      <c r="F411" s="9" t="s">
        <v>1055</v>
      </c>
      <c r="G411" s="7" t="s">
        <v>116</v>
      </c>
      <c r="H411" s="7"/>
      <c r="I411" s="10"/>
      <c r="J411" s="10"/>
      <c r="K411" s="10"/>
      <c r="L411" s="11"/>
      <c r="M411" s="10"/>
      <c r="N411" s="11"/>
      <c r="O411" s="10"/>
      <c r="P411" s="11"/>
      <c r="Q411" s="10"/>
      <c r="R411" s="11"/>
      <c r="S411" s="10"/>
      <c r="T411" s="11"/>
      <c r="U411" s="10"/>
      <c r="V411" s="11"/>
      <c r="W411" s="10"/>
      <c r="X411" s="11"/>
      <c r="Y411" s="10"/>
      <c r="Z411" s="11"/>
      <c r="AA411" s="10"/>
      <c r="AB411" s="11"/>
      <c r="AC411" s="10"/>
      <c r="AD411" s="11"/>
      <c r="AE411" s="10"/>
      <c r="AF411" s="11"/>
      <c r="AG411" s="11"/>
      <c r="AH411" s="11"/>
      <c r="AI411" s="10"/>
      <c r="AJ411" s="10"/>
    </row>
    <row r="412" customFormat="false" ht="26.85" hidden="false" customHeight="false" outlineLevel="0" collapsed="false">
      <c r="A412" s="7" t="n">
        <v>410</v>
      </c>
      <c r="B412" s="7" t="str">
        <f aca="false">IF(I412="Y",IF(COUNTIF(I$3:I412,"Y")&lt;=20,"pilot",IF(COUNTIF(I$3:I412,"Y")&lt;=40,"dev",IF(COUNTIF(I$3:I412,"Y")&lt;=200,"test","extra"))),"")</f>
        <v/>
      </c>
      <c r="C412" s="7" t="str">
        <f aca="false">IF(I412="Y",IF(COUNTA(K412,M412,O412,Q412,S412,U412,W412,Y412,AA412,AC412,AE412)=11,"done","in progress"),IF(I412="N","excluded",""))</f>
        <v/>
      </c>
      <c r="D412" s="7" t="s">
        <v>1056</v>
      </c>
      <c r="E412" s="8" t="s">
        <v>96</v>
      </c>
      <c r="F412" s="9" t="s">
        <v>1057</v>
      </c>
      <c r="G412" s="7" t="s">
        <v>125</v>
      </c>
      <c r="H412" s="7"/>
      <c r="I412" s="10"/>
      <c r="J412" s="10"/>
      <c r="K412" s="10"/>
      <c r="L412" s="11"/>
      <c r="M412" s="10"/>
      <c r="N412" s="11"/>
      <c r="O412" s="10"/>
      <c r="P412" s="11"/>
      <c r="Q412" s="10"/>
      <c r="R412" s="11"/>
      <c r="S412" s="10"/>
      <c r="T412" s="11"/>
      <c r="U412" s="10"/>
      <c r="V412" s="11"/>
      <c r="W412" s="10"/>
      <c r="X412" s="11"/>
      <c r="Y412" s="10"/>
      <c r="Z412" s="11"/>
      <c r="AA412" s="10"/>
      <c r="AB412" s="11"/>
      <c r="AC412" s="10"/>
      <c r="AD412" s="11"/>
      <c r="AE412" s="10"/>
      <c r="AF412" s="11"/>
      <c r="AG412" s="11"/>
      <c r="AH412" s="11"/>
      <c r="AI412" s="10"/>
      <c r="AJ412" s="10"/>
    </row>
    <row r="413" customFormat="false" ht="39.55" hidden="false" customHeight="false" outlineLevel="0" collapsed="false">
      <c r="A413" s="7" t="n">
        <v>411</v>
      </c>
      <c r="B413" s="7" t="str">
        <f aca="false">IF(I413="Y",IF(COUNTIF(I$3:I413,"Y")&lt;=20,"pilot",IF(COUNTIF(I$3:I413,"Y")&lt;=40,"dev",IF(COUNTIF(I$3:I413,"Y")&lt;=200,"test","extra"))),"")</f>
        <v/>
      </c>
      <c r="C413" s="7" t="str">
        <f aca="false">IF(I413="Y",IF(COUNTA(K413,M413,O413,Q413,S413,U413,W413,Y413,AA413,AC413,AE413)=11,"done","in progress"),IF(I413="N","excluded",""))</f>
        <v/>
      </c>
      <c r="D413" s="7" t="s">
        <v>1058</v>
      </c>
      <c r="E413" s="8" t="s">
        <v>96</v>
      </c>
      <c r="F413" s="9" t="s">
        <v>1059</v>
      </c>
      <c r="G413" s="7" t="s">
        <v>125</v>
      </c>
      <c r="H413" s="7"/>
      <c r="I413" s="10"/>
      <c r="J413" s="10"/>
      <c r="K413" s="10"/>
      <c r="L413" s="11"/>
      <c r="M413" s="10"/>
      <c r="N413" s="11"/>
      <c r="O413" s="10"/>
      <c r="P413" s="11"/>
      <c r="Q413" s="10"/>
      <c r="R413" s="11"/>
      <c r="S413" s="10"/>
      <c r="T413" s="11"/>
      <c r="U413" s="10"/>
      <c r="V413" s="11"/>
      <c r="W413" s="10"/>
      <c r="X413" s="11"/>
      <c r="Y413" s="10"/>
      <c r="Z413" s="11"/>
      <c r="AA413" s="10"/>
      <c r="AB413" s="11"/>
      <c r="AC413" s="10"/>
      <c r="AD413" s="11"/>
      <c r="AE413" s="10"/>
      <c r="AF413" s="11"/>
      <c r="AG413" s="11"/>
      <c r="AH413" s="11"/>
      <c r="AI413" s="10"/>
      <c r="AJ413" s="10"/>
    </row>
    <row r="414" customFormat="false" ht="39.55" hidden="false" customHeight="false" outlineLevel="0" collapsed="false">
      <c r="A414" s="7" t="n">
        <v>412</v>
      </c>
      <c r="B414" s="7" t="str">
        <f aca="false">IF(I414="Y",IF(COUNTIF(I$3:I414,"Y")&lt;=20,"pilot",IF(COUNTIF(I$3:I414,"Y")&lt;=40,"dev",IF(COUNTIF(I$3:I414,"Y")&lt;=200,"test","extra"))),"")</f>
        <v/>
      </c>
      <c r="C414" s="7" t="str">
        <f aca="false">IF(I414="Y",IF(COUNTA(K414,M414,O414,Q414,S414,U414,W414,Y414,AA414,AC414,AE414)=11,"done","in progress"),IF(I414="N","excluded",""))</f>
        <v/>
      </c>
      <c r="D414" s="7" t="s">
        <v>1060</v>
      </c>
      <c r="E414" s="8" t="s">
        <v>96</v>
      </c>
      <c r="F414" s="9" t="s">
        <v>1061</v>
      </c>
      <c r="G414" s="7" t="s">
        <v>98</v>
      </c>
      <c r="H414" s="7"/>
      <c r="I414" s="10"/>
      <c r="J414" s="10"/>
      <c r="K414" s="10"/>
      <c r="L414" s="11"/>
      <c r="M414" s="10"/>
      <c r="N414" s="11"/>
      <c r="O414" s="10"/>
      <c r="P414" s="11"/>
      <c r="Q414" s="10"/>
      <c r="R414" s="11"/>
      <c r="S414" s="10"/>
      <c r="T414" s="11"/>
      <c r="U414" s="10"/>
      <c r="V414" s="11"/>
      <c r="W414" s="10"/>
      <c r="X414" s="11"/>
      <c r="Y414" s="10"/>
      <c r="Z414" s="11"/>
      <c r="AA414" s="10"/>
      <c r="AB414" s="11"/>
      <c r="AC414" s="10"/>
      <c r="AD414" s="11"/>
      <c r="AE414" s="10"/>
      <c r="AF414" s="11"/>
      <c r="AG414" s="11"/>
      <c r="AH414" s="11"/>
      <c r="AI414" s="10"/>
      <c r="AJ414" s="10"/>
    </row>
    <row r="415" customFormat="false" ht="26.85" hidden="false" customHeight="false" outlineLevel="0" collapsed="false">
      <c r="A415" s="7" t="n">
        <v>413</v>
      </c>
      <c r="B415" s="7" t="str">
        <f aca="false">IF(I415="Y",IF(COUNTIF(I$3:I415,"Y")&lt;=20,"pilot",IF(COUNTIF(I$3:I415,"Y")&lt;=40,"dev",IF(COUNTIF(I$3:I415,"Y")&lt;=200,"test","extra"))),"")</f>
        <v/>
      </c>
      <c r="C415" s="7" t="str">
        <f aca="false">IF(I415="Y",IF(COUNTA(K415,M415,O415,Q415,S415,U415,W415,Y415,AA415,AC415,AE415)=11,"done","in progress"),IF(I415="N","excluded",""))</f>
        <v/>
      </c>
      <c r="D415" s="7" t="s">
        <v>1062</v>
      </c>
      <c r="E415" s="8" t="s">
        <v>96</v>
      </c>
      <c r="F415" s="9" t="s">
        <v>1063</v>
      </c>
      <c r="G415" s="7" t="s">
        <v>98</v>
      </c>
      <c r="H415" s="7"/>
      <c r="I415" s="10"/>
      <c r="J415" s="10"/>
      <c r="K415" s="10"/>
      <c r="L415" s="11"/>
      <c r="M415" s="10"/>
      <c r="N415" s="11"/>
      <c r="O415" s="10"/>
      <c r="P415" s="11"/>
      <c r="Q415" s="10"/>
      <c r="R415" s="11"/>
      <c r="S415" s="10"/>
      <c r="T415" s="11"/>
      <c r="U415" s="10"/>
      <c r="V415" s="11"/>
      <c r="W415" s="10"/>
      <c r="X415" s="11"/>
      <c r="Y415" s="10"/>
      <c r="Z415" s="11"/>
      <c r="AA415" s="10"/>
      <c r="AB415" s="11"/>
      <c r="AC415" s="10"/>
      <c r="AD415" s="11"/>
      <c r="AE415" s="10"/>
      <c r="AF415" s="11"/>
      <c r="AG415" s="11"/>
      <c r="AH415" s="11"/>
      <c r="AI415" s="10"/>
      <c r="AJ415" s="10"/>
    </row>
    <row r="416" customFormat="false" ht="26.85" hidden="false" customHeight="false" outlineLevel="0" collapsed="false">
      <c r="A416" s="7" t="n">
        <v>414</v>
      </c>
      <c r="B416" s="7" t="str">
        <f aca="false">IF(I416="Y",IF(COUNTIF(I$3:I416,"Y")&lt;=20,"pilot",IF(COUNTIF(I$3:I416,"Y")&lt;=40,"dev",IF(COUNTIF(I$3:I416,"Y")&lt;=200,"test","extra"))),"")</f>
        <v/>
      </c>
      <c r="C416" s="7" t="str">
        <f aca="false">IF(I416="Y",IF(COUNTA(K416,M416,O416,Q416,S416,U416,W416,Y416,AA416,AC416,AE416)=11,"done","in progress"),IF(I416="N","excluded",""))</f>
        <v/>
      </c>
      <c r="D416" s="7" t="s">
        <v>1064</v>
      </c>
      <c r="E416" s="8" t="s">
        <v>96</v>
      </c>
      <c r="F416" s="9" t="s">
        <v>1065</v>
      </c>
      <c r="G416" s="7" t="s">
        <v>356</v>
      </c>
      <c r="H416" s="7"/>
      <c r="I416" s="10"/>
      <c r="J416" s="10"/>
      <c r="K416" s="10"/>
      <c r="L416" s="11"/>
      <c r="M416" s="10"/>
      <c r="N416" s="11"/>
      <c r="O416" s="10"/>
      <c r="P416" s="11"/>
      <c r="Q416" s="10"/>
      <c r="R416" s="11"/>
      <c r="S416" s="10"/>
      <c r="T416" s="11"/>
      <c r="U416" s="10"/>
      <c r="V416" s="11"/>
      <c r="W416" s="10"/>
      <c r="X416" s="11"/>
      <c r="Y416" s="10"/>
      <c r="Z416" s="11"/>
      <c r="AA416" s="10"/>
      <c r="AB416" s="11"/>
      <c r="AC416" s="10"/>
      <c r="AD416" s="11"/>
      <c r="AE416" s="10"/>
      <c r="AF416" s="11"/>
      <c r="AG416" s="11"/>
      <c r="AH416" s="11"/>
      <c r="AI416" s="10"/>
      <c r="AJ416" s="10"/>
    </row>
    <row r="417" customFormat="false" ht="39.55" hidden="false" customHeight="false" outlineLevel="0" collapsed="false">
      <c r="A417" s="7" t="n">
        <v>415</v>
      </c>
      <c r="B417" s="7" t="str">
        <f aca="false">IF(I417="Y",IF(COUNTIF(I$3:I417,"Y")&lt;=20,"pilot",IF(COUNTIF(I$3:I417,"Y")&lt;=40,"dev",IF(COUNTIF(I$3:I417,"Y")&lt;=200,"test","extra"))),"")</f>
        <v/>
      </c>
      <c r="C417" s="7" t="str">
        <f aca="false">IF(I417="Y",IF(COUNTA(K417,M417,O417,Q417,S417,U417,W417,Y417,AA417,AC417,AE417)=11,"done","in progress"),IF(I417="N","excluded",""))</f>
        <v/>
      </c>
      <c r="D417" s="7" t="s">
        <v>1066</v>
      </c>
      <c r="E417" s="8" t="s">
        <v>96</v>
      </c>
      <c r="F417" s="9" t="s">
        <v>1067</v>
      </c>
      <c r="G417" s="7" t="s">
        <v>125</v>
      </c>
      <c r="H417" s="7"/>
      <c r="I417" s="10"/>
      <c r="J417" s="10"/>
      <c r="K417" s="10"/>
      <c r="L417" s="11"/>
      <c r="M417" s="10"/>
      <c r="N417" s="11"/>
      <c r="O417" s="10"/>
      <c r="P417" s="11"/>
      <c r="Q417" s="10"/>
      <c r="R417" s="11"/>
      <c r="S417" s="10"/>
      <c r="T417" s="11"/>
      <c r="U417" s="10"/>
      <c r="V417" s="11"/>
      <c r="W417" s="10"/>
      <c r="X417" s="11"/>
      <c r="Y417" s="10"/>
      <c r="Z417" s="11"/>
      <c r="AA417" s="10"/>
      <c r="AB417" s="11"/>
      <c r="AC417" s="10"/>
      <c r="AD417" s="11"/>
      <c r="AE417" s="10"/>
      <c r="AF417" s="11"/>
      <c r="AG417" s="11"/>
      <c r="AH417" s="11"/>
      <c r="AI417" s="10"/>
      <c r="AJ417" s="10"/>
    </row>
    <row r="418" customFormat="false" ht="39.55" hidden="false" customHeight="false" outlineLevel="0" collapsed="false">
      <c r="A418" s="7" t="n">
        <v>416</v>
      </c>
      <c r="B418" s="7" t="str">
        <f aca="false">IF(I418="Y",IF(COUNTIF(I$3:I418,"Y")&lt;=20,"pilot",IF(COUNTIF(I$3:I418,"Y")&lt;=40,"dev",IF(COUNTIF(I$3:I418,"Y")&lt;=200,"test","extra"))),"")</f>
        <v/>
      </c>
      <c r="C418" s="7" t="str">
        <f aca="false">IF(I418="Y",IF(COUNTA(K418,M418,O418,Q418,S418,U418,W418,Y418,AA418,AC418,AE418)=11,"done","in progress"),IF(I418="N","excluded",""))</f>
        <v/>
      </c>
      <c r="D418" s="7" t="s">
        <v>1068</v>
      </c>
      <c r="E418" s="8" t="s">
        <v>96</v>
      </c>
      <c r="F418" s="9" t="s">
        <v>1069</v>
      </c>
      <c r="G418" s="7" t="s">
        <v>104</v>
      </c>
      <c r="H418" s="7"/>
      <c r="I418" s="10"/>
      <c r="J418" s="10"/>
      <c r="K418" s="10"/>
      <c r="L418" s="11"/>
      <c r="M418" s="10"/>
      <c r="N418" s="11"/>
      <c r="O418" s="10"/>
      <c r="P418" s="11"/>
      <c r="Q418" s="10"/>
      <c r="R418" s="11"/>
      <c r="S418" s="10"/>
      <c r="T418" s="11"/>
      <c r="U418" s="10"/>
      <c r="V418" s="11"/>
      <c r="W418" s="10"/>
      <c r="X418" s="11"/>
      <c r="Y418" s="10"/>
      <c r="Z418" s="11"/>
      <c r="AA418" s="10"/>
      <c r="AB418" s="11"/>
      <c r="AC418" s="10"/>
      <c r="AD418" s="11"/>
      <c r="AE418" s="10"/>
      <c r="AF418" s="11"/>
      <c r="AG418" s="11"/>
      <c r="AH418" s="11"/>
      <c r="AI418" s="10"/>
      <c r="AJ418" s="10"/>
    </row>
    <row r="419" customFormat="false" ht="52.2" hidden="false" customHeight="false" outlineLevel="0" collapsed="false">
      <c r="A419" s="7" t="n">
        <v>417</v>
      </c>
      <c r="B419" s="7" t="str">
        <f aca="false">IF(I419="Y",IF(COUNTIF(I$3:I419,"Y")&lt;=20,"pilot",IF(COUNTIF(I$3:I419,"Y")&lt;=40,"dev",IF(COUNTIF(I$3:I419,"Y")&lt;=200,"test","extra"))),"")</f>
        <v/>
      </c>
      <c r="C419" s="7" t="str">
        <f aca="false">IF(I419="Y",IF(COUNTA(K419,M419,O419,Q419,S419,U419,W419,Y419,AA419,AC419,AE419)=11,"done","in progress"),IF(I419="N","excluded",""))</f>
        <v/>
      </c>
      <c r="D419" s="7" t="s">
        <v>1070</v>
      </c>
      <c r="E419" s="8" t="s">
        <v>96</v>
      </c>
      <c r="F419" s="9" t="s">
        <v>1071</v>
      </c>
      <c r="G419" s="7" t="s">
        <v>1072</v>
      </c>
      <c r="H419" s="7"/>
      <c r="I419" s="10"/>
      <c r="J419" s="10"/>
      <c r="K419" s="10"/>
      <c r="L419" s="11"/>
      <c r="M419" s="10"/>
      <c r="N419" s="11"/>
      <c r="O419" s="10"/>
      <c r="P419" s="11"/>
      <c r="Q419" s="10"/>
      <c r="R419" s="11"/>
      <c r="S419" s="10"/>
      <c r="T419" s="11"/>
      <c r="U419" s="10"/>
      <c r="V419" s="11"/>
      <c r="W419" s="10"/>
      <c r="X419" s="11"/>
      <c r="Y419" s="10"/>
      <c r="Z419" s="11"/>
      <c r="AA419" s="10"/>
      <c r="AB419" s="11"/>
      <c r="AC419" s="10"/>
      <c r="AD419" s="11"/>
      <c r="AE419" s="10"/>
      <c r="AF419" s="11"/>
      <c r="AG419" s="11"/>
      <c r="AH419" s="11"/>
      <c r="AI419" s="10"/>
      <c r="AJ419" s="10"/>
    </row>
    <row r="420" customFormat="false" ht="26.85" hidden="false" customHeight="false" outlineLevel="0" collapsed="false">
      <c r="A420" s="7" t="n">
        <v>418</v>
      </c>
      <c r="B420" s="7" t="str">
        <f aca="false">IF(I420="Y",IF(COUNTIF(I$3:I420,"Y")&lt;=20,"pilot",IF(COUNTIF(I$3:I420,"Y")&lt;=40,"dev",IF(COUNTIF(I$3:I420,"Y")&lt;=200,"test","extra"))),"")</f>
        <v/>
      </c>
      <c r="C420" s="7" t="str">
        <f aca="false">IF(I420="Y",IF(COUNTA(K420,M420,O420,Q420,S420,U420,W420,Y420,AA420,AC420,AE420)=11,"done","in progress"),IF(I420="N","excluded",""))</f>
        <v/>
      </c>
      <c r="D420" s="7" t="s">
        <v>1073</v>
      </c>
      <c r="E420" s="8" t="s">
        <v>96</v>
      </c>
      <c r="F420" s="9" t="s">
        <v>1074</v>
      </c>
      <c r="G420" s="7" t="s">
        <v>116</v>
      </c>
      <c r="H420" s="7"/>
      <c r="I420" s="10"/>
      <c r="J420" s="10"/>
      <c r="K420" s="10"/>
      <c r="L420" s="11"/>
      <c r="M420" s="10"/>
      <c r="N420" s="11"/>
      <c r="O420" s="10"/>
      <c r="P420" s="11"/>
      <c r="Q420" s="10"/>
      <c r="R420" s="11"/>
      <c r="S420" s="10"/>
      <c r="T420" s="11"/>
      <c r="U420" s="10"/>
      <c r="V420" s="11"/>
      <c r="W420" s="10"/>
      <c r="X420" s="11"/>
      <c r="Y420" s="10"/>
      <c r="Z420" s="11"/>
      <c r="AA420" s="10"/>
      <c r="AB420" s="11"/>
      <c r="AC420" s="10"/>
      <c r="AD420" s="11"/>
      <c r="AE420" s="10"/>
      <c r="AF420" s="11"/>
      <c r="AG420" s="11"/>
      <c r="AH420" s="11"/>
      <c r="AI420" s="10"/>
      <c r="AJ420" s="10"/>
    </row>
    <row r="421" customFormat="false" ht="26.85" hidden="false" customHeight="false" outlineLevel="0" collapsed="false">
      <c r="A421" s="7" t="n">
        <v>419</v>
      </c>
      <c r="B421" s="7" t="str">
        <f aca="false">IF(I421="Y",IF(COUNTIF(I$3:I421,"Y")&lt;=20,"pilot",IF(COUNTIF(I$3:I421,"Y")&lt;=40,"dev",IF(COUNTIF(I$3:I421,"Y")&lt;=200,"test","extra"))),"")</f>
        <v/>
      </c>
      <c r="C421" s="7" t="str">
        <f aca="false">IF(I421="Y",IF(COUNTA(K421,M421,O421,Q421,S421,U421,W421,Y421,AA421,AC421,AE421)=11,"done","in progress"),IF(I421="N","excluded",""))</f>
        <v/>
      </c>
      <c r="D421" s="7" t="s">
        <v>1075</v>
      </c>
      <c r="E421" s="8" t="s">
        <v>96</v>
      </c>
      <c r="F421" s="9" t="s">
        <v>1076</v>
      </c>
      <c r="G421" s="7" t="s">
        <v>98</v>
      </c>
      <c r="H421" s="7"/>
      <c r="I421" s="10"/>
      <c r="J421" s="10"/>
      <c r="K421" s="10"/>
      <c r="L421" s="11"/>
      <c r="M421" s="10"/>
      <c r="N421" s="11"/>
      <c r="O421" s="10"/>
      <c r="P421" s="11"/>
      <c r="Q421" s="10"/>
      <c r="R421" s="11"/>
      <c r="S421" s="10"/>
      <c r="T421" s="11"/>
      <c r="U421" s="10"/>
      <c r="V421" s="11"/>
      <c r="W421" s="10"/>
      <c r="X421" s="11"/>
      <c r="Y421" s="10"/>
      <c r="Z421" s="11"/>
      <c r="AA421" s="10"/>
      <c r="AB421" s="11"/>
      <c r="AC421" s="10"/>
      <c r="AD421" s="11"/>
      <c r="AE421" s="10"/>
      <c r="AF421" s="11"/>
      <c r="AG421" s="11"/>
      <c r="AH421" s="11"/>
      <c r="AI421" s="10"/>
      <c r="AJ421" s="10"/>
    </row>
    <row r="422" customFormat="false" ht="39.55" hidden="false" customHeight="false" outlineLevel="0" collapsed="false">
      <c r="A422" s="7" t="n">
        <v>420</v>
      </c>
      <c r="B422" s="7" t="str">
        <f aca="false">IF(I422="Y",IF(COUNTIF(I$3:I422,"Y")&lt;=20,"pilot",IF(COUNTIF(I$3:I422,"Y")&lt;=40,"dev",IF(COUNTIF(I$3:I422,"Y")&lt;=200,"test","extra"))),"")</f>
        <v/>
      </c>
      <c r="C422" s="7" t="str">
        <f aca="false">IF(I422="Y",IF(COUNTA(K422,M422,O422,Q422,S422,U422,W422,Y422,AA422,AC422,AE422)=11,"done","in progress"),IF(I422="N","excluded",""))</f>
        <v/>
      </c>
      <c r="D422" s="7" t="s">
        <v>1077</v>
      </c>
      <c r="E422" s="8" t="s">
        <v>96</v>
      </c>
      <c r="F422" s="9" t="s">
        <v>1078</v>
      </c>
      <c r="G422" s="7" t="s">
        <v>1079</v>
      </c>
      <c r="H422" s="7"/>
      <c r="I422" s="10"/>
      <c r="J422" s="10"/>
      <c r="K422" s="10"/>
      <c r="L422" s="11"/>
      <c r="M422" s="10"/>
      <c r="N422" s="11"/>
      <c r="O422" s="10"/>
      <c r="P422" s="11"/>
      <c r="Q422" s="10"/>
      <c r="R422" s="11"/>
      <c r="S422" s="10"/>
      <c r="T422" s="11"/>
      <c r="U422" s="10"/>
      <c r="V422" s="11"/>
      <c r="W422" s="10"/>
      <c r="X422" s="11"/>
      <c r="Y422" s="10"/>
      <c r="Z422" s="11"/>
      <c r="AA422" s="10"/>
      <c r="AB422" s="11"/>
      <c r="AC422" s="10"/>
      <c r="AD422" s="11"/>
      <c r="AE422" s="10"/>
      <c r="AF422" s="11"/>
      <c r="AG422" s="11"/>
      <c r="AH422" s="11"/>
      <c r="AI422" s="10"/>
      <c r="AJ422" s="10"/>
    </row>
    <row r="423" customFormat="false" ht="52.2" hidden="false" customHeight="false" outlineLevel="0" collapsed="false">
      <c r="A423" s="7" t="n">
        <v>421</v>
      </c>
      <c r="B423" s="7" t="str">
        <f aca="false">IF(I423="Y",IF(COUNTIF(I$3:I423,"Y")&lt;=20,"pilot",IF(COUNTIF(I$3:I423,"Y")&lt;=40,"dev",IF(COUNTIF(I$3:I423,"Y")&lt;=200,"test","extra"))),"")</f>
        <v/>
      </c>
      <c r="C423" s="7" t="str">
        <f aca="false">IF(I423="Y",IF(COUNTA(K423,M423,O423,Q423,S423,U423,W423,Y423,AA423,AC423,AE423)=11,"done","in progress"),IF(I423="N","excluded",""))</f>
        <v/>
      </c>
      <c r="D423" s="7" t="s">
        <v>1080</v>
      </c>
      <c r="E423" s="8" t="s">
        <v>96</v>
      </c>
      <c r="F423" s="9" t="s">
        <v>1081</v>
      </c>
      <c r="G423" s="7" t="s">
        <v>1082</v>
      </c>
      <c r="H423" s="7"/>
      <c r="I423" s="10"/>
      <c r="J423" s="10"/>
      <c r="K423" s="10"/>
      <c r="L423" s="11"/>
      <c r="M423" s="10"/>
      <c r="N423" s="11"/>
      <c r="O423" s="10"/>
      <c r="P423" s="11"/>
      <c r="Q423" s="10"/>
      <c r="R423" s="11"/>
      <c r="S423" s="10"/>
      <c r="T423" s="11"/>
      <c r="U423" s="10"/>
      <c r="V423" s="11"/>
      <c r="W423" s="10"/>
      <c r="X423" s="11"/>
      <c r="Y423" s="10"/>
      <c r="Z423" s="11"/>
      <c r="AA423" s="10"/>
      <c r="AB423" s="11"/>
      <c r="AC423" s="10"/>
      <c r="AD423" s="11"/>
      <c r="AE423" s="10"/>
      <c r="AF423" s="11"/>
      <c r="AG423" s="11"/>
      <c r="AH423" s="11"/>
      <c r="AI423" s="10"/>
      <c r="AJ423" s="10"/>
    </row>
    <row r="424" customFormat="false" ht="26.85" hidden="false" customHeight="false" outlineLevel="0" collapsed="false">
      <c r="A424" s="7" t="n">
        <v>422</v>
      </c>
      <c r="B424" s="7" t="str">
        <f aca="false">IF(I424="Y",IF(COUNTIF(I$3:I424,"Y")&lt;=20,"pilot",IF(COUNTIF(I$3:I424,"Y")&lt;=40,"dev",IF(COUNTIF(I$3:I424,"Y")&lt;=200,"test","extra"))),"")</f>
        <v/>
      </c>
      <c r="C424" s="7" t="str">
        <f aca="false">IF(I424="Y",IF(COUNTA(K424,M424,O424,Q424,S424,U424,W424,Y424,AA424,AC424,AE424)=11,"done","in progress"),IF(I424="N","excluded",""))</f>
        <v/>
      </c>
      <c r="D424" s="7" t="s">
        <v>1083</v>
      </c>
      <c r="E424" s="8" t="s">
        <v>96</v>
      </c>
      <c r="F424" s="9" t="s">
        <v>1084</v>
      </c>
      <c r="G424" s="7" t="s">
        <v>992</v>
      </c>
      <c r="H424" s="7"/>
      <c r="I424" s="10"/>
      <c r="J424" s="10"/>
      <c r="K424" s="10"/>
      <c r="L424" s="11"/>
      <c r="M424" s="10"/>
      <c r="N424" s="11"/>
      <c r="O424" s="10"/>
      <c r="P424" s="11"/>
      <c r="Q424" s="10"/>
      <c r="R424" s="11"/>
      <c r="S424" s="10"/>
      <c r="T424" s="11"/>
      <c r="U424" s="10"/>
      <c r="V424" s="11"/>
      <c r="W424" s="10"/>
      <c r="X424" s="11"/>
      <c r="Y424" s="10"/>
      <c r="Z424" s="11"/>
      <c r="AA424" s="10"/>
      <c r="AB424" s="11"/>
      <c r="AC424" s="10"/>
      <c r="AD424" s="11"/>
      <c r="AE424" s="10"/>
      <c r="AF424" s="11"/>
      <c r="AG424" s="11"/>
      <c r="AH424" s="11"/>
      <c r="AI424" s="10"/>
      <c r="AJ424" s="10"/>
    </row>
    <row r="425" customFormat="false" ht="39.55" hidden="false" customHeight="false" outlineLevel="0" collapsed="false">
      <c r="A425" s="7" t="n">
        <v>423</v>
      </c>
      <c r="B425" s="7" t="str">
        <f aca="false">IF(I425="Y",IF(COUNTIF(I$3:I425,"Y")&lt;=20,"pilot",IF(COUNTIF(I$3:I425,"Y")&lt;=40,"dev",IF(COUNTIF(I$3:I425,"Y")&lt;=200,"test","extra"))),"")</f>
        <v/>
      </c>
      <c r="C425" s="7" t="str">
        <f aca="false">IF(I425="Y",IF(COUNTA(K425,M425,O425,Q425,S425,U425,W425,Y425,AA425,AC425,AE425)=11,"done","in progress"),IF(I425="N","excluded",""))</f>
        <v/>
      </c>
      <c r="D425" s="7" t="s">
        <v>1085</v>
      </c>
      <c r="E425" s="8" t="s">
        <v>96</v>
      </c>
      <c r="F425" s="9" t="s">
        <v>1086</v>
      </c>
      <c r="G425" s="7" t="s">
        <v>171</v>
      </c>
      <c r="H425" s="7"/>
      <c r="I425" s="10"/>
      <c r="J425" s="10"/>
      <c r="K425" s="10"/>
      <c r="L425" s="11"/>
      <c r="M425" s="10"/>
      <c r="N425" s="11"/>
      <c r="O425" s="10"/>
      <c r="P425" s="11"/>
      <c r="Q425" s="10"/>
      <c r="R425" s="11"/>
      <c r="S425" s="10"/>
      <c r="T425" s="11"/>
      <c r="U425" s="10"/>
      <c r="V425" s="11"/>
      <c r="W425" s="10"/>
      <c r="X425" s="11"/>
      <c r="Y425" s="10"/>
      <c r="Z425" s="11"/>
      <c r="AA425" s="10"/>
      <c r="AB425" s="11"/>
      <c r="AC425" s="10"/>
      <c r="AD425" s="11"/>
      <c r="AE425" s="10"/>
      <c r="AF425" s="11"/>
      <c r="AG425" s="11"/>
      <c r="AH425" s="11"/>
      <c r="AI425" s="10"/>
      <c r="AJ425" s="10"/>
    </row>
    <row r="426" customFormat="false" ht="39.55" hidden="false" customHeight="false" outlineLevel="0" collapsed="false">
      <c r="A426" s="7" t="n">
        <v>424</v>
      </c>
      <c r="B426" s="7" t="str">
        <f aca="false">IF(I426="Y",IF(COUNTIF(I$3:I426,"Y")&lt;=20,"pilot",IF(COUNTIF(I$3:I426,"Y")&lt;=40,"dev",IF(COUNTIF(I$3:I426,"Y")&lt;=200,"test","extra"))),"")</f>
        <v/>
      </c>
      <c r="C426" s="7" t="str">
        <f aca="false">IF(I426="Y",IF(COUNTA(K426,M426,O426,Q426,S426,U426,W426,Y426,AA426,AC426,AE426)=11,"done","in progress"),IF(I426="N","excluded",""))</f>
        <v/>
      </c>
      <c r="D426" s="7" t="s">
        <v>1087</v>
      </c>
      <c r="E426" s="8" t="s">
        <v>96</v>
      </c>
      <c r="F426" s="9" t="s">
        <v>1088</v>
      </c>
      <c r="G426" s="7" t="s">
        <v>113</v>
      </c>
      <c r="H426" s="7"/>
      <c r="I426" s="10"/>
      <c r="J426" s="10"/>
      <c r="K426" s="10"/>
      <c r="L426" s="11"/>
      <c r="M426" s="10"/>
      <c r="N426" s="11"/>
      <c r="O426" s="10"/>
      <c r="P426" s="11"/>
      <c r="Q426" s="10"/>
      <c r="R426" s="11"/>
      <c r="S426" s="10"/>
      <c r="T426" s="11"/>
      <c r="U426" s="10"/>
      <c r="V426" s="11"/>
      <c r="W426" s="10"/>
      <c r="X426" s="11"/>
      <c r="Y426" s="10"/>
      <c r="Z426" s="11"/>
      <c r="AA426" s="10"/>
      <c r="AB426" s="11"/>
      <c r="AC426" s="10"/>
      <c r="AD426" s="11"/>
      <c r="AE426" s="10"/>
      <c r="AF426" s="11"/>
      <c r="AG426" s="11"/>
      <c r="AH426" s="11"/>
      <c r="AI426" s="10"/>
      <c r="AJ426" s="10"/>
    </row>
    <row r="427" customFormat="false" ht="39.55" hidden="false" customHeight="false" outlineLevel="0" collapsed="false">
      <c r="A427" s="7" t="n">
        <v>425</v>
      </c>
      <c r="B427" s="7" t="str">
        <f aca="false">IF(I427="Y",IF(COUNTIF(I$3:I427,"Y")&lt;=20,"pilot",IF(COUNTIF(I$3:I427,"Y")&lt;=40,"dev",IF(COUNTIF(I$3:I427,"Y")&lt;=200,"test","extra"))),"")</f>
        <v/>
      </c>
      <c r="C427" s="7" t="str">
        <f aca="false">IF(I427="Y",IF(COUNTA(K427,M427,O427,Q427,S427,U427,W427,Y427,AA427,AC427,AE427)=11,"done","in progress"),IF(I427="N","excluded",""))</f>
        <v/>
      </c>
      <c r="D427" s="7" t="s">
        <v>1089</v>
      </c>
      <c r="E427" s="8" t="s">
        <v>96</v>
      </c>
      <c r="F427" s="9" t="s">
        <v>1090</v>
      </c>
      <c r="G427" s="7" t="s">
        <v>166</v>
      </c>
      <c r="H427" s="7"/>
      <c r="I427" s="10"/>
      <c r="J427" s="10"/>
      <c r="K427" s="10"/>
      <c r="L427" s="11"/>
      <c r="M427" s="10"/>
      <c r="N427" s="11"/>
      <c r="O427" s="10"/>
      <c r="P427" s="11"/>
      <c r="Q427" s="10"/>
      <c r="R427" s="11"/>
      <c r="S427" s="10"/>
      <c r="T427" s="11"/>
      <c r="U427" s="10"/>
      <c r="V427" s="11"/>
      <c r="W427" s="10"/>
      <c r="X427" s="11"/>
      <c r="Y427" s="10"/>
      <c r="Z427" s="11"/>
      <c r="AA427" s="10"/>
      <c r="AB427" s="11"/>
      <c r="AC427" s="10"/>
      <c r="AD427" s="11"/>
      <c r="AE427" s="10"/>
      <c r="AF427" s="11"/>
      <c r="AG427" s="11"/>
      <c r="AH427" s="11"/>
      <c r="AI427" s="10"/>
      <c r="AJ427" s="10"/>
    </row>
    <row r="428" customFormat="false" ht="39.55" hidden="false" customHeight="false" outlineLevel="0" collapsed="false">
      <c r="A428" s="7" t="n">
        <v>426</v>
      </c>
      <c r="B428" s="7" t="str">
        <f aca="false">IF(I428="Y",IF(COUNTIF(I$3:I428,"Y")&lt;=20,"pilot",IF(COUNTIF(I$3:I428,"Y")&lt;=40,"dev",IF(COUNTIF(I$3:I428,"Y")&lt;=200,"test","extra"))),"")</f>
        <v/>
      </c>
      <c r="C428" s="7" t="str">
        <f aca="false">IF(I428="Y",IF(COUNTA(K428,M428,O428,Q428,S428,U428,W428,Y428,AA428,AC428,AE428)=11,"done","in progress"),IF(I428="N","excluded",""))</f>
        <v/>
      </c>
      <c r="D428" s="7" t="s">
        <v>1091</v>
      </c>
      <c r="E428" s="8" t="s">
        <v>96</v>
      </c>
      <c r="F428" s="9" t="s">
        <v>1092</v>
      </c>
      <c r="G428" s="7" t="s">
        <v>377</v>
      </c>
      <c r="H428" s="7"/>
      <c r="I428" s="10"/>
      <c r="J428" s="10"/>
      <c r="K428" s="10"/>
      <c r="L428" s="11"/>
      <c r="M428" s="10"/>
      <c r="N428" s="11"/>
      <c r="O428" s="10"/>
      <c r="P428" s="11"/>
      <c r="Q428" s="10"/>
      <c r="R428" s="11"/>
      <c r="S428" s="10"/>
      <c r="T428" s="11"/>
      <c r="U428" s="10"/>
      <c r="V428" s="11"/>
      <c r="W428" s="10"/>
      <c r="X428" s="11"/>
      <c r="Y428" s="10"/>
      <c r="Z428" s="11"/>
      <c r="AA428" s="10"/>
      <c r="AB428" s="11"/>
      <c r="AC428" s="10"/>
      <c r="AD428" s="11"/>
      <c r="AE428" s="10"/>
      <c r="AF428" s="11"/>
      <c r="AG428" s="11"/>
      <c r="AH428" s="11"/>
      <c r="AI428" s="10"/>
      <c r="AJ428" s="10"/>
    </row>
    <row r="429" customFormat="false" ht="39.55" hidden="false" customHeight="false" outlineLevel="0" collapsed="false">
      <c r="A429" s="7" t="n">
        <v>427</v>
      </c>
      <c r="B429" s="7" t="str">
        <f aca="false">IF(I429="Y",IF(COUNTIF(I$3:I429,"Y")&lt;=20,"pilot",IF(COUNTIF(I$3:I429,"Y")&lt;=40,"dev",IF(COUNTIF(I$3:I429,"Y")&lt;=200,"test","extra"))),"")</f>
        <v/>
      </c>
      <c r="C429" s="7" t="str">
        <f aca="false">IF(I429="Y",IF(COUNTA(K429,M429,O429,Q429,S429,U429,W429,Y429,AA429,AC429,AE429)=11,"done","in progress"),IF(I429="N","excluded",""))</f>
        <v/>
      </c>
      <c r="D429" s="7" t="s">
        <v>1093</v>
      </c>
      <c r="E429" s="8" t="s">
        <v>96</v>
      </c>
      <c r="F429" s="9" t="s">
        <v>1094</v>
      </c>
      <c r="G429" s="7" t="s">
        <v>206</v>
      </c>
      <c r="H429" s="7"/>
      <c r="I429" s="10"/>
      <c r="J429" s="10"/>
      <c r="K429" s="10"/>
      <c r="L429" s="11"/>
      <c r="M429" s="10"/>
      <c r="N429" s="11"/>
      <c r="O429" s="10"/>
      <c r="P429" s="11"/>
      <c r="Q429" s="10"/>
      <c r="R429" s="11"/>
      <c r="S429" s="10"/>
      <c r="T429" s="11"/>
      <c r="U429" s="10"/>
      <c r="V429" s="11"/>
      <c r="W429" s="10"/>
      <c r="X429" s="11"/>
      <c r="Y429" s="10"/>
      <c r="Z429" s="11"/>
      <c r="AA429" s="10"/>
      <c r="AB429" s="11"/>
      <c r="AC429" s="10"/>
      <c r="AD429" s="11"/>
      <c r="AE429" s="10"/>
      <c r="AF429" s="11"/>
      <c r="AG429" s="11"/>
      <c r="AH429" s="11"/>
      <c r="AI429" s="10"/>
      <c r="AJ429" s="10"/>
    </row>
    <row r="430" customFormat="false" ht="52.2" hidden="false" customHeight="false" outlineLevel="0" collapsed="false">
      <c r="A430" s="7" t="n">
        <v>428</v>
      </c>
      <c r="B430" s="7" t="str">
        <f aca="false">IF(I430="Y",IF(COUNTIF(I$3:I430,"Y")&lt;=20,"pilot",IF(COUNTIF(I$3:I430,"Y")&lt;=40,"dev",IF(COUNTIF(I$3:I430,"Y")&lt;=200,"test","extra"))),"")</f>
        <v/>
      </c>
      <c r="C430" s="7" t="str">
        <f aca="false">IF(I430="Y",IF(COUNTA(K430,M430,O430,Q430,S430,U430,W430,Y430,AA430,AC430,AE430)=11,"done","in progress"),IF(I430="N","excluded",""))</f>
        <v/>
      </c>
      <c r="D430" s="7" t="s">
        <v>1095</v>
      </c>
      <c r="E430" s="8" t="s">
        <v>96</v>
      </c>
      <c r="F430" s="9" t="s">
        <v>1096</v>
      </c>
      <c r="G430" s="7" t="s">
        <v>133</v>
      </c>
      <c r="H430" s="7"/>
      <c r="I430" s="10"/>
      <c r="J430" s="10"/>
      <c r="K430" s="10"/>
      <c r="L430" s="11"/>
      <c r="M430" s="10"/>
      <c r="N430" s="11"/>
      <c r="O430" s="10"/>
      <c r="P430" s="11"/>
      <c r="Q430" s="10"/>
      <c r="R430" s="11"/>
      <c r="S430" s="10"/>
      <c r="T430" s="11"/>
      <c r="U430" s="10"/>
      <c r="V430" s="11"/>
      <c r="W430" s="10"/>
      <c r="X430" s="11"/>
      <c r="Y430" s="10"/>
      <c r="Z430" s="11"/>
      <c r="AA430" s="10"/>
      <c r="AB430" s="11"/>
      <c r="AC430" s="10"/>
      <c r="AD430" s="11"/>
      <c r="AE430" s="10"/>
      <c r="AF430" s="11"/>
      <c r="AG430" s="11"/>
      <c r="AH430" s="11"/>
      <c r="AI430" s="10"/>
      <c r="AJ430" s="10"/>
    </row>
    <row r="431" customFormat="false" ht="39.55" hidden="false" customHeight="false" outlineLevel="0" collapsed="false">
      <c r="A431" s="7" t="n">
        <v>429</v>
      </c>
      <c r="B431" s="7" t="str">
        <f aca="false">IF(I431="Y",IF(COUNTIF(I$3:I431,"Y")&lt;=20,"pilot",IF(COUNTIF(I$3:I431,"Y")&lt;=40,"dev",IF(COUNTIF(I$3:I431,"Y")&lt;=200,"test","extra"))),"")</f>
        <v/>
      </c>
      <c r="C431" s="7" t="str">
        <f aca="false">IF(I431="Y",IF(COUNTA(K431,M431,O431,Q431,S431,U431,W431,Y431,AA431,AC431,AE431)=11,"done","in progress"),IF(I431="N","excluded",""))</f>
        <v/>
      </c>
      <c r="D431" s="7" t="s">
        <v>1097</v>
      </c>
      <c r="E431" s="8" t="s">
        <v>96</v>
      </c>
      <c r="F431" s="9" t="s">
        <v>1098</v>
      </c>
      <c r="G431" s="7" t="s">
        <v>133</v>
      </c>
      <c r="H431" s="7"/>
      <c r="I431" s="10"/>
      <c r="J431" s="10"/>
      <c r="K431" s="10"/>
      <c r="L431" s="11"/>
      <c r="M431" s="10"/>
      <c r="N431" s="11"/>
      <c r="O431" s="10"/>
      <c r="P431" s="11"/>
      <c r="Q431" s="10"/>
      <c r="R431" s="11"/>
      <c r="S431" s="10"/>
      <c r="T431" s="11"/>
      <c r="U431" s="10"/>
      <c r="V431" s="11"/>
      <c r="W431" s="10"/>
      <c r="X431" s="11"/>
      <c r="Y431" s="10"/>
      <c r="Z431" s="11"/>
      <c r="AA431" s="10"/>
      <c r="AB431" s="11"/>
      <c r="AC431" s="10"/>
      <c r="AD431" s="11"/>
      <c r="AE431" s="10"/>
      <c r="AF431" s="11"/>
      <c r="AG431" s="11"/>
      <c r="AH431" s="11"/>
      <c r="AI431" s="10"/>
      <c r="AJ431" s="10"/>
    </row>
    <row r="432" customFormat="false" ht="39.55" hidden="false" customHeight="false" outlineLevel="0" collapsed="false">
      <c r="A432" s="7" t="n">
        <v>430</v>
      </c>
      <c r="B432" s="7" t="str">
        <f aca="false">IF(I432="Y",IF(COUNTIF(I$3:I432,"Y")&lt;=20,"pilot",IF(COUNTIF(I$3:I432,"Y")&lt;=40,"dev",IF(COUNTIF(I$3:I432,"Y")&lt;=200,"test","extra"))),"")</f>
        <v/>
      </c>
      <c r="C432" s="7" t="str">
        <f aca="false">IF(I432="Y",IF(COUNTA(K432,M432,O432,Q432,S432,U432,W432,Y432,AA432,AC432,AE432)=11,"done","in progress"),IF(I432="N","excluded",""))</f>
        <v/>
      </c>
      <c r="D432" s="7" t="s">
        <v>1099</v>
      </c>
      <c r="E432" s="8" t="s">
        <v>96</v>
      </c>
      <c r="F432" s="9" t="s">
        <v>1100</v>
      </c>
      <c r="G432" s="7" t="s">
        <v>113</v>
      </c>
      <c r="H432" s="7"/>
      <c r="I432" s="10"/>
      <c r="J432" s="10"/>
      <c r="K432" s="10"/>
      <c r="L432" s="11"/>
      <c r="M432" s="10"/>
      <c r="N432" s="11"/>
      <c r="O432" s="10"/>
      <c r="P432" s="11"/>
      <c r="Q432" s="10"/>
      <c r="R432" s="11"/>
      <c r="S432" s="10"/>
      <c r="T432" s="11"/>
      <c r="U432" s="10"/>
      <c r="V432" s="11"/>
      <c r="W432" s="10"/>
      <c r="X432" s="11"/>
      <c r="Y432" s="10"/>
      <c r="Z432" s="11"/>
      <c r="AA432" s="10"/>
      <c r="AB432" s="11"/>
      <c r="AC432" s="10"/>
      <c r="AD432" s="11"/>
      <c r="AE432" s="10"/>
      <c r="AF432" s="11"/>
      <c r="AG432" s="11"/>
      <c r="AH432" s="11"/>
      <c r="AI432" s="10"/>
      <c r="AJ432" s="10"/>
    </row>
    <row r="433" customFormat="false" ht="39.55" hidden="false" customHeight="false" outlineLevel="0" collapsed="false">
      <c r="A433" s="7" t="n">
        <v>431</v>
      </c>
      <c r="B433" s="7" t="str">
        <f aca="false">IF(I433="Y",IF(COUNTIF(I$3:I433,"Y")&lt;=20,"pilot",IF(COUNTIF(I$3:I433,"Y")&lt;=40,"dev",IF(COUNTIF(I$3:I433,"Y")&lt;=200,"test","extra"))),"")</f>
        <v/>
      </c>
      <c r="C433" s="7" t="str">
        <f aca="false">IF(I433="Y",IF(COUNTA(K433,M433,O433,Q433,S433,U433,W433,Y433,AA433,AC433,AE433)=11,"done","in progress"),IF(I433="N","excluded",""))</f>
        <v/>
      </c>
      <c r="D433" s="7" t="s">
        <v>1101</v>
      </c>
      <c r="E433" s="8" t="s">
        <v>96</v>
      </c>
      <c r="F433" s="9" t="s">
        <v>1102</v>
      </c>
      <c r="G433" s="7" t="s">
        <v>1103</v>
      </c>
      <c r="H433" s="7"/>
      <c r="I433" s="10"/>
      <c r="J433" s="10"/>
      <c r="K433" s="10"/>
      <c r="L433" s="11"/>
      <c r="M433" s="10"/>
      <c r="N433" s="11"/>
      <c r="O433" s="10"/>
      <c r="P433" s="11"/>
      <c r="Q433" s="10"/>
      <c r="R433" s="11"/>
      <c r="S433" s="10"/>
      <c r="T433" s="11"/>
      <c r="U433" s="10"/>
      <c r="V433" s="11"/>
      <c r="W433" s="10"/>
      <c r="X433" s="11"/>
      <c r="Y433" s="10"/>
      <c r="Z433" s="11"/>
      <c r="AA433" s="10"/>
      <c r="AB433" s="11"/>
      <c r="AC433" s="10"/>
      <c r="AD433" s="11"/>
      <c r="AE433" s="10"/>
      <c r="AF433" s="11"/>
      <c r="AG433" s="11"/>
      <c r="AH433" s="11"/>
      <c r="AI433" s="10"/>
      <c r="AJ433" s="10"/>
    </row>
    <row r="434" customFormat="false" ht="39.55" hidden="false" customHeight="false" outlineLevel="0" collapsed="false">
      <c r="A434" s="7" t="n">
        <v>432</v>
      </c>
      <c r="B434" s="7" t="str">
        <f aca="false">IF(I434="Y",IF(COUNTIF(I$3:I434,"Y")&lt;=20,"pilot",IF(COUNTIF(I$3:I434,"Y")&lt;=40,"dev",IF(COUNTIF(I$3:I434,"Y")&lt;=200,"test","extra"))),"")</f>
        <v/>
      </c>
      <c r="C434" s="7" t="str">
        <f aca="false">IF(I434="Y",IF(COUNTA(K434,M434,O434,Q434,S434,U434,W434,Y434,AA434,AC434,AE434)=11,"done","in progress"),IF(I434="N","excluded",""))</f>
        <v/>
      </c>
      <c r="D434" s="7" t="s">
        <v>1104</v>
      </c>
      <c r="E434" s="8" t="s">
        <v>96</v>
      </c>
      <c r="F434" s="9" t="s">
        <v>1105</v>
      </c>
      <c r="G434" s="7" t="s">
        <v>206</v>
      </c>
      <c r="H434" s="7"/>
      <c r="I434" s="10"/>
      <c r="J434" s="10"/>
      <c r="K434" s="10"/>
      <c r="L434" s="11"/>
      <c r="M434" s="10"/>
      <c r="N434" s="11"/>
      <c r="O434" s="10"/>
      <c r="P434" s="11"/>
      <c r="Q434" s="10"/>
      <c r="R434" s="11"/>
      <c r="S434" s="10"/>
      <c r="T434" s="11"/>
      <c r="U434" s="10"/>
      <c r="V434" s="11"/>
      <c r="W434" s="10"/>
      <c r="X434" s="11"/>
      <c r="Y434" s="10"/>
      <c r="Z434" s="11"/>
      <c r="AA434" s="10"/>
      <c r="AB434" s="11"/>
      <c r="AC434" s="10"/>
      <c r="AD434" s="11"/>
      <c r="AE434" s="10"/>
      <c r="AF434" s="11"/>
      <c r="AG434" s="11"/>
      <c r="AH434" s="11"/>
      <c r="AI434" s="10"/>
      <c r="AJ434" s="10"/>
    </row>
    <row r="435" customFormat="false" ht="39.55" hidden="false" customHeight="false" outlineLevel="0" collapsed="false">
      <c r="A435" s="7" t="n">
        <v>433</v>
      </c>
      <c r="B435" s="7" t="str">
        <f aca="false">IF(I435="Y",IF(COUNTIF(I$3:I435,"Y")&lt;=20,"pilot",IF(COUNTIF(I$3:I435,"Y")&lt;=40,"dev",IF(COUNTIF(I$3:I435,"Y")&lt;=200,"test","extra"))),"")</f>
        <v/>
      </c>
      <c r="C435" s="7" t="str">
        <f aca="false">IF(I435="Y",IF(COUNTA(K435,M435,O435,Q435,S435,U435,W435,Y435,AA435,AC435,AE435)=11,"done","in progress"),IF(I435="N","excluded",""))</f>
        <v/>
      </c>
      <c r="D435" s="7" t="s">
        <v>1106</v>
      </c>
      <c r="E435" s="8" t="s">
        <v>96</v>
      </c>
      <c r="F435" s="9" t="s">
        <v>1107</v>
      </c>
      <c r="G435" s="7" t="s">
        <v>166</v>
      </c>
      <c r="H435" s="7"/>
      <c r="I435" s="10"/>
      <c r="J435" s="10"/>
      <c r="K435" s="10"/>
      <c r="L435" s="11"/>
      <c r="M435" s="10"/>
      <c r="N435" s="11"/>
      <c r="O435" s="10"/>
      <c r="P435" s="11"/>
      <c r="Q435" s="10"/>
      <c r="R435" s="11"/>
      <c r="S435" s="10"/>
      <c r="T435" s="11"/>
      <c r="U435" s="10"/>
      <c r="V435" s="11"/>
      <c r="W435" s="10"/>
      <c r="X435" s="11"/>
      <c r="Y435" s="10"/>
      <c r="Z435" s="11"/>
      <c r="AA435" s="10"/>
      <c r="AB435" s="11"/>
      <c r="AC435" s="10"/>
      <c r="AD435" s="11"/>
      <c r="AE435" s="10"/>
      <c r="AF435" s="11"/>
      <c r="AG435" s="11"/>
      <c r="AH435" s="11"/>
      <c r="AI435" s="10"/>
      <c r="AJ435" s="10"/>
    </row>
    <row r="436" customFormat="false" ht="26.85" hidden="false" customHeight="false" outlineLevel="0" collapsed="false">
      <c r="A436" s="7" t="n">
        <v>434</v>
      </c>
      <c r="B436" s="7" t="str">
        <f aca="false">IF(I436="Y",IF(COUNTIF(I$3:I436,"Y")&lt;=20,"pilot",IF(COUNTIF(I$3:I436,"Y")&lt;=40,"dev",IF(COUNTIF(I$3:I436,"Y")&lt;=200,"test","extra"))),"")</f>
        <v/>
      </c>
      <c r="C436" s="7" t="str">
        <f aca="false">IF(I436="Y",IF(COUNTA(K436,M436,O436,Q436,S436,U436,W436,Y436,AA436,AC436,AE436)=11,"done","in progress"),IF(I436="N","excluded",""))</f>
        <v/>
      </c>
      <c r="D436" s="7" t="s">
        <v>1108</v>
      </c>
      <c r="E436" s="8" t="s">
        <v>96</v>
      </c>
      <c r="F436" s="9" t="s">
        <v>1109</v>
      </c>
      <c r="G436" s="7" t="s">
        <v>125</v>
      </c>
      <c r="H436" s="7"/>
      <c r="I436" s="10"/>
      <c r="J436" s="10"/>
      <c r="K436" s="10"/>
      <c r="L436" s="11"/>
      <c r="M436" s="10"/>
      <c r="N436" s="11"/>
      <c r="O436" s="10"/>
      <c r="P436" s="11"/>
      <c r="Q436" s="10"/>
      <c r="R436" s="11"/>
      <c r="S436" s="10"/>
      <c r="T436" s="11"/>
      <c r="U436" s="10"/>
      <c r="V436" s="11"/>
      <c r="W436" s="10"/>
      <c r="X436" s="11"/>
      <c r="Y436" s="10"/>
      <c r="Z436" s="11"/>
      <c r="AA436" s="10"/>
      <c r="AB436" s="11"/>
      <c r="AC436" s="10"/>
      <c r="AD436" s="11"/>
      <c r="AE436" s="10"/>
      <c r="AF436" s="11"/>
      <c r="AG436" s="11"/>
      <c r="AH436" s="11"/>
      <c r="AI436" s="10"/>
      <c r="AJ436" s="10"/>
    </row>
    <row r="437" customFormat="false" ht="39.55" hidden="false" customHeight="false" outlineLevel="0" collapsed="false">
      <c r="A437" s="7" t="n">
        <v>435</v>
      </c>
      <c r="B437" s="7" t="str">
        <f aca="false">IF(I437="Y",IF(COUNTIF(I$3:I437,"Y")&lt;=20,"pilot",IF(COUNTIF(I$3:I437,"Y")&lt;=40,"dev",IF(COUNTIF(I$3:I437,"Y")&lt;=200,"test","extra"))),"")</f>
        <v/>
      </c>
      <c r="C437" s="7" t="str">
        <f aca="false">IF(I437="Y",IF(COUNTA(K437,M437,O437,Q437,S437,U437,W437,Y437,AA437,AC437,AE437)=11,"done","in progress"),IF(I437="N","excluded",""))</f>
        <v/>
      </c>
      <c r="D437" s="7" t="s">
        <v>1110</v>
      </c>
      <c r="E437" s="8" t="s">
        <v>96</v>
      </c>
      <c r="F437" s="9" t="s">
        <v>1111</v>
      </c>
      <c r="G437" s="7" t="s">
        <v>107</v>
      </c>
      <c r="H437" s="7"/>
      <c r="I437" s="10"/>
      <c r="J437" s="10"/>
      <c r="K437" s="10"/>
      <c r="L437" s="11"/>
      <c r="M437" s="10"/>
      <c r="N437" s="11"/>
      <c r="O437" s="10"/>
      <c r="P437" s="11"/>
      <c r="Q437" s="10"/>
      <c r="R437" s="11"/>
      <c r="S437" s="10"/>
      <c r="T437" s="11"/>
      <c r="U437" s="10"/>
      <c r="V437" s="11"/>
      <c r="W437" s="10"/>
      <c r="X437" s="11"/>
      <c r="Y437" s="10"/>
      <c r="Z437" s="11"/>
      <c r="AA437" s="10"/>
      <c r="AB437" s="11"/>
      <c r="AC437" s="10"/>
      <c r="AD437" s="11"/>
      <c r="AE437" s="10"/>
      <c r="AF437" s="11"/>
      <c r="AG437" s="11"/>
      <c r="AH437" s="11"/>
      <c r="AI437" s="10"/>
      <c r="AJ437" s="10"/>
    </row>
    <row r="438" customFormat="false" ht="39.55" hidden="false" customHeight="false" outlineLevel="0" collapsed="false">
      <c r="A438" s="7" t="n">
        <v>436</v>
      </c>
      <c r="B438" s="7" t="str">
        <f aca="false">IF(I438="Y",IF(COUNTIF(I$3:I438,"Y")&lt;=20,"pilot",IF(COUNTIF(I$3:I438,"Y")&lt;=40,"dev",IF(COUNTIF(I$3:I438,"Y")&lt;=200,"test","extra"))),"")</f>
        <v/>
      </c>
      <c r="C438" s="7" t="str">
        <f aca="false">IF(I438="Y",IF(COUNTA(K438,M438,O438,Q438,S438,U438,W438,Y438,AA438,AC438,AE438)=11,"done","in progress"),IF(I438="N","excluded",""))</f>
        <v/>
      </c>
      <c r="D438" s="7" t="s">
        <v>1112</v>
      </c>
      <c r="E438" s="8" t="s">
        <v>96</v>
      </c>
      <c r="F438" s="9" t="s">
        <v>1113</v>
      </c>
      <c r="G438" s="7" t="s">
        <v>116</v>
      </c>
      <c r="H438" s="7"/>
      <c r="I438" s="10"/>
      <c r="J438" s="10"/>
      <c r="K438" s="10"/>
      <c r="L438" s="11"/>
      <c r="M438" s="10"/>
      <c r="N438" s="11"/>
      <c r="O438" s="10"/>
      <c r="P438" s="11"/>
      <c r="Q438" s="10"/>
      <c r="R438" s="11"/>
      <c r="S438" s="10"/>
      <c r="T438" s="11"/>
      <c r="U438" s="10"/>
      <c r="V438" s="11"/>
      <c r="W438" s="10"/>
      <c r="X438" s="11"/>
      <c r="Y438" s="10"/>
      <c r="Z438" s="11"/>
      <c r="AA438" s="10"/>
      <c r="AB438" s="11"/>
      <c r="AC438" s="10"/>
      <c r="AD438" s="11"/>
      <c r="AE438" s="10"/>
      <c r="AF438" s="11"/>
      <c r="AG438" s="11"/>
      <c r="AH438" s="11"/>
      <c r="AI438" s="10"/>
      <c r="AJ438" s="10"/>
    </row>
    <row r="439" customFormat="false" ht="26.85" hidden="false" customHeight="false" outlineLevel="0" collapsed="false">
      <c r="A439" s="7" t="n">
        <v>437</v>
      </c>
      <c r="B439" s="7" t="str">
        <f aca="false">IF(I439="Y",IF(COUNTIF(I$3:I439,"Y")&lt;=20,"pilot",IF(COUNTIF(I$3:I439,"Y")&lt;=40,"dev",IF(COUNTIF(I$3:I439,"Y")&lt;=200,"test","extra"))),"")</f>
        <v/>
      </c>
      <c r="C439" s="7" t="str">
        <f aca="false">IF(I439="Y",IF(COUNTA(K439,M439,O439,Q439,S439,U439,W439,Y439,AA439,AC439,AE439)=11,"done","in progress"),IF(I439="N","excluded",""))</f>
        <v/>
      </c>
      <c r="D439" s="7" t="s">
        <v>1114</v>
      </c>
      <c r="E439" s="8" t="s">
        <v>96</v>
      </c>
      <c r="F439" s="9" t="s">
        <v>1115</v>
      </c>
      <c r="G439" s="7" t="s">
        <v>1116</v>
      </c>
      <c r="H439" s="7"/>
      <c r="I439" s="10"/>
      <c r="J439" s="10"/>
      <c r="K439" s="10"/>
      <c r="L439" s="11"/>
      <c r="M439" s="10"/>
      <c r="N439" s="11"/>
      <c r="O439" s="10"/>
      <c r="P439" s="11"/>
      <c r="Q439" s="10"/>
      <c r="R439" s="11"/>
      <c r="S439" s="10"/>
      <c r="T439" s="11"/>
      <c r="U439" s="10"/>
      <c r="V439" s="11"/>
      <c r="W439" s="10"/>
      <c r="X439" s="11"/>
      <c r="Y439" s="10"/>
      <c r="Z439" s="11"/>
      <c r="AA439" s="10"/>
      <c r="AB439" s="11"/>
      <c r="AC439" s="10"/>
      <c r="AD439" s="11"/>
      <c r="AE439" s="10"/>
      <c r="AF439" s="11"/>
      <c r="AG439" s="11"/>
      <c r="AH439" s="11"/>
      <c r="AI439" s="10"/>
      <c r="AJ439" s="10"/>
    </row>
    <row r="440" customFormat="false" ht="26.85" hidden="false" customHeight="false" outlineLevel="0" collapsed="false">
      <c r="A440" s="7" t="n">
        <v>438</v>
      </c>
      <c r="B440" s="7" t="str">
        <f aca="false">IF(I440="Y",IF(COUNTIF(I$3:I440,"Y")&lt;=20,"pilot",IF(COUNTIF(I$3:I440,"Y")&lt;=40,"dev",IF(COUNTIF(I$3:I440,"Y")&lt;=200,"test","extra"))),"")</f>
        <v/>
      </c>
      <c r="C440" s="7" t="str">
        <f aca="false">IF(I440="Y",IF(COUNTA(K440,M440,O440,Q440,S440,U440,W440,Y440,AA440,AC440,AE440)=11,"done","in progress"),IF(I440="N","excluded",""))</f>
        <v/>
      </c>
      <c r="D440" s="7" t="s">
        <v>1117</v>
      </c>
      <c r="E440" s="8" t="s">
        <v>96</v>
      </c>
      <c r="F440" s="9" t="s">
        <v>1118</v>
      </c>
      <c r="G440" s="7" t="s">
        <v>113</v>
      </c>
      <c r="H440" s="7"/>
      <c r="I440" s="10"/>
      <c r="J440" s="10"/>
      <c r="K440" s="10"/>
      <c r="L440" s="11"/>
      <c r="M440" s="10"/>
      <c r="N440" s="11"/>
      <c r="O440" s="10"/>
      <c r="P440" s="11"/>
      <c r="Q440" s="10"/>
      <c r="R440" s="11"/>
      <c r="S440" s="10"/>
      <c r="T440" s="11"/>
      <c r="U440" s="10"/>
      <c r="V440" s="11"/>
      <c r="W440" s="10"/>
      <c r="X440" s="11"/>
      <c r="Y440" s="10"/>
      <c r="Z440" s="11"/>
      <c r="AA440" s="10"/>
      <c r="AB440" s="11"/>
      <c r="AC440" s="10"/>
      <c r="AD440" s="11"/>
      <c r="AE440" s="10"/>
      <c r="AF440" s="11"/>
      <c r="AG440" s="11"/>
      <c r="AH440" s="11"/>
      <c r="AI440" s="10"/>
      <c r="AJ440" s="10"/>
    </row>
    <row r="441" customFormat="false" ht="39.55" hidden="false" customHeight="false" outlineLevel="0" collapsed="false">
      <c r="A441" s="7" t="n">
        <v>439</v>
      </c>
      <c r="B441" s="7" t="str">
        <f aca="false">IF(I441="Y",IF(COUNTIF(I$3:I441,"Y")&lt;=20,"pilot",IF(COUNTIF(I$3:I441,"Y")&lt;=40,"dev",IF(COUNTIF(I$3:I441,"Y")&lt;=200,"test","extra"))),"")</f>
        <v/>
      </c>
      <c r="C441" s="7" t="str">
        <f aca="false">IF(I441="Y",IF(COUNTA(K441,M441,O441,Q441,S441,U441,W441,Y441,AA441,AC441,AE441)=11,"done","in progress"),IF(I441="N","excluded",""))</f>
        <v/>
      </c>
      <c r="D441" s="7" t="s">
        <v>1119</v>
      </c>
      <c r="E441" s="8" t="s">
        <v>96</v>
      </c>
      <c r="F441" s="9" t="s">
        <v>1120</v>
      </c>
      <c r="G441" s="7" t="s">
        <v>125</v>
      </c>
      <c r="H441" s="7"/>
      <c r="I441" s="10"/>
      <c r="J441" s="10"/>
      <c r="K441" s="10"/>
      <c r="L441" s="11"/>
      <c r="M441" s="10"/>
      <c r="N441" s="11"/>
      <c r="O441" s="10"/>
      <c r="P441" s="11"/>
      <c r="Q441" s="10"/>
      <c r="R441" s="11"/>
      <c r="S441" s="10"/>
      <c r="T441" s="11"/>
      <c r="U441" s="10"/>
      <c r="V441" s="11"/>
      <c r="W441" s="10"/>
      <c r="X441" s="11"/>
      <c r="Y441" s="10"/>
      <c r="Z441" s="11"/>
      <c r="AA441" s="10"/>
      <c r="AB441" s="11"/>
      <c r="AC441" s="10"/>
      <c r="AD441" s="11"/>
      <c r="AE441" s="10"/>
      <c r="AF441" s="11"/>
      <c r="AG441" s="11"/>
      <c r="AH441" s="11"/>
      <c r="AI441" s="10"/>
      <c r="AJ441" s="10"/>
    </row>
    <row r="442" customFormat="false" ht="26.85" hidden="false" customHeight="false" outlineLevel="0" collapsed="false">
      <c r="A442" s="7" t="n">
        <v>440</v>
      </c>
      <c r="B442" s="7" t="str">
        <f aca="false">IF(I442="Y",IF(COUNTIF(I$3:I442,"Y")&lt;=20,"pilot",IF(COUNTIF(I$3:I442,"Y")&lt;=40,"dev",IF(COUNTIF(I$3:I442,"Y")&lt;=200,"test","extra"))),"")</f>
        <v/>
      </c>
      <c r="C442" s="7" t="str">
        <f aca="false">IF(I442="Y",IF(COUNTA(K442,M442,O442,Q442,S442,U442,W442,Y442,AA442,AC442,AE442)=11,"done","in progress"),IF(I442="N","excluded",""))</f>
        <v/>
      </c>
      <c r="D442" s="7" t="s">
        <v>1121</v>
      </c>
      <c r="E442" s="8" t="s">
        <v>96</v>
      </c>
      <c r="F442" s="9" t="s">
        <v>1122</v>
      </c>
      <c r="G442" s="7" t="s">
        <v>500</v>
      </c>
      <c r="H442" s="7"/>
      <c r="I442" s="10"/>
      <c r="J442" s="10"/>
      <c r="K442" s="10"/>
      <c r="L442" s="11"/>
      <c r="M442" s="10"/>
      <c r="N442" s="11"/>
      <c r="O442" s="10"/>
      <c r="P442" s="11"/>
      <c r="Q442" s="10"/>
      <c r="R442" s="11"/>
      <c r="S442" s="10"/>
      <c r="T442" s="11"/>
      <c r="U442" s="10"/>
      <c r="V442" s="11"/>
      <c r="W442" s="10"/>
      <c r="X442" s="11"/>
      <c r="Y442" s="10"/>
      <c r="Z442" s="11"/>
      <c r="AA442" s="10"/>
      <c r="AB442" s="11"/>
      <c r="AC442" s="10"/>
      <c r="AD442" s="11"/>
      <c r="AE442" s="10"/>
      <c r="AF442" s="11"/>
      <c r="AG442" s="11"/>
      <c r="AH442" s="11"/>
      <c r="AI442" s="10"/>
      <c r="AJ442" s="10"/>
    </row>
    <row r="443" customFormat="false" ht="39.55" hidden="false" customHeight="false" outlineLevel="0" collapsed="false">
      <c r="A443" s="7" t="n">
        <v>441</v>
      </c>
      <c r="B443" s="7" t="str">
        <f aca="false">IF(I443="Y",IF(COUNTIF(I$3:I443,"Y")&lt;=20,"pilot",IF(COUNTIF(I$3:I443,"Y")&lt;=40,"dev",IF(COUNTIF(I$3:I443,"Y")&lt;=200,"test","extra"))),"")</f>
        <v/>
      </c>
      <c r="C443" s="7" t="str">
        <f aca="false">IF(I443="Y",IF(COUNTA(K443,M443,O443,Q443,S443,U443,W443,Y443,AA443,AC443,AE443)=11,"done","in progress"),IF(I443="N","excluded",""))</f>
        <v/>
      </c>
      <c r="D443" s="7" t="s">
        <v>1123</v>
      </c>
      <c r="E443" s="8" t="s">
        <v>96</v>
      </c>
      <c r="F443" s="9" t="s">
        <v>1124</v>
      </c>
      <c r="G443" s="7" t="s">
        <v>1125</v>
      </c>
      <c r="H443" s="7"/>
      <c r="I443" s="10"/>
      <c r="J443" s="10"/>
      <c r="K443" s="10"/>
      <c r="L443" s="11"/>
      <c r="M443" s="10"/>
      <c r="N443" s="11"/>
      <c r="O443" s="10"/>
      <c r="P443" s="11"/>
      <c r="Q443" s="10"/>
      <c r="R443" s="11"/>
      <c r="S443" s="10"/>
      <c r="T443" s="11"/>
      <c r="U443" s="10"/>
      <c r="V443" s="11"/>
      <c r="W443" s="10"/>
      <c r="X443" s="11"/>
      <c r="Y443" s="10"/>
      <c r="Z443" s="11"/>
      <c r="AA443" s="10"/>
      <c r="AB443" s="11"/>
      <c r="AC443" s="10"/>
      <c r="AD443" s="11"/>
      <c r="AE443" s="10"/>
      <c r="AF443" s="11"/>
      <c r="AG443" s="11"/>
      <c r="AH443" s="11"/>
      <c r="AI443" s="10"/>
      <c r="AJ443" s="10"/>
    </row>
    <row r="444" customFormat="false" ht="52.2" hidden="false" customHeight="false" outlineLevel="0" collapsed="false">
      <c r="A444" s="7" t="n">
        <v>442</v>
      </c>
      <c r="B444" s="7" t="str">
        <f aca="false">IF(I444="Y",IF(COUNTIF(I$3:I444,"Y")&lt;=20,"pilot",IF(COUNTIF(I$3:I444,"Y")&lt;=40,"dev",IF(COUNTIF(I$3:I444,"Y")&lt;=200,"test","extra"))),"")</f>
        <v/>
      </c>
      <c r="C444" s="7" t="str">
        <f aca="false">IF(I444="Y",IF(COUNTA(K444,M444,O444,Q444,S444,U444,W444,Y444,AA444,AC444,AE444)=11,"done","in progress"),IF(I444="N","excluded",""))</f>
        <v/>
      </c>
      <c r="D444" s="7" t="s">
        <v>1126</v>
      </c>
      <c r="E444" s="8" t="s">
        <v>96</v>
      </c>
      <c r="F444" s="9" t="s">
        <v>1127</v>
      </c>
      <c r="G444" s="7" t="s">
        <v>1128</v>
      </c>
      <c r="H444" s="7"/>
      <c r="I444" s="10"/>
      <c r="J444" s="10"/>
      <c r="K444" s="10"/>
      <c r="L444" s="11"/>
      <c r="M444" s="10"/>
      <c r="N444" s="11"/>
      <c r="O444" s="10"/>
      <c r="P444" s="11"/>
      <c r="Q444" s="10"/>
      <c r="R444" s="11"/>
      <c r="S444" s="10"/>
      <c r="T444" s="11"/>
      <c r="U444" s="10"/>
      <c r="V444" s="11"/>
      <c r="W444" s="10"/>
      <c r="X444" s="11"/>
      <c r="Y444" s="10"/>
      <c r="Z444" s="11"/>
      <c r="AA444" s="10"/>
      <c r="AB444" s="11"/>
      <c r="AC444" s="10"/>
      <c r="AD444" s="11"/>
      <c r="AE444" s="10"/>
      <c r="AF444" s="11"/>
      <c r="AG444" s="11"/>
      <c r="AH444" s="11"/>
      <c r="AI444" s="10"/>
      <c r="AJ444" s="10"/>
    </row>
    <row r="445" customFormat="false" ht="26.85" hidden="false" customHeight="false" outlineLevel="0" collapsed="false">
      <c r="A445" s="7" t="n">
        <v>443</v>
      </c>
      <c r="B445" s="7" t="str">
        <f aca="false">IF(I445="Y",IF(COUNTIF(I$3:I445,"Y")&lt;=20,"pilot",IF(COUNTIF(I$3:I445,"Y")&lt;=40,"dev",IF(COUNTIF(I$3:I445,"Y")&lt;=200,"test","extra"))),"")</f>
        <v/>
      </c>
      <c r="C445" s="7" t="str">
        <f aca="false">IF(I445="Y",IF(COUNTA(K445,M445,O445,Q445,S445,U445,W445,Y445,AA445,AC445,AE445)=11,"done","in progress"),IF(I445="N","excluded",""))</f>
        <v/>
      </c>
      <c r="D445" s="7" t="s">
        <v>1129</v>
      </c>
      <c r="E445" s="8" t="s">
        <v>96</v>
      </c>
      <c r="F445" s="9" t="s">
        <v>1130</v>
      </c>
      <c r="G445" s="7" t="s">
        <v>1131</v>
      </c>
      <c r="H445" s="7"/>
      <c r="I445" s="10"/>
      <c r="J445" s="10"/>
      <c r="K445" s="10"/>
      <c r="L445" s="11"/>
      <c r="M445" s="10"/>
      <c r="N445" s="11"/>
      <c r="O445" s="10"/>
      <c r="P445" s="11"/>
      <c r="Q445" s="10"/>
      <c r="R445" s="11"/>
      <c r="S445" s="10"/>
      <c r="T445" s="11"/>
      <c r="U445" s="10"/>
      <c r="V445" s="11"/>
      <c r="W445" s="10"/>
      <c r="X445" s="11"/>
      <c r="Y445" s="10"/>
      <c r="Z445" s="11"/>
      <c r="AA445" s="10"/>
      <c r="AB445" s="11"/>
      <c r="AC445" s="10"/>
      <c r="AD445" s="11"/>
      <c r="AE445" s="10"/>
      <c r="AF445" s="11"/>
      <c r="AG445" s="11"/>
      <c r="AH445" s="11"/>
      <c r="AI445" s="10"/>
      <c r="AJ445" s="10"/>
    </row>
    <row r="446" customFormat="false" ht="26.85" hidden="false" customHeight="false" outlineLevel="0" collapsed="false">
      <c r="A446" s="7" t="n">
        <v>444</v>
      </c>
      <c r="B446" s="7" t="str">
        <f aca="false">IF(I446="Y",IF(COUNTIF(I$3:I446,"Y")&lt;=20,"pilot",IF(COUNTIF(I$3:I446,"Y")&lt;=40,"dev",IF(COUNTIF(I$3:I446,"Y")&lt;=200,"test","extra"))),"")</f>
        <v/>
      </c>
      <c r="C446" s="7" t="str">
        <f aca="false">IF(I446="Y",IF(COUNTA(K446,M446,O446,Q446,S446,U446,W446,Y446,AA446,AC446,AE446)=11,"done","in progress"),IF(I446="N","excluded",""))</f>
        <v/>
      </c>
      <c r="D446" s="7" t="s">
        <v>1132</v>
      </c>
      <c r="E446" s="8" t="s">
        <v>96</v>
      </c>
      <c r="F446" s="9" t="s">
        <v>1133</v>
      </c>
      <c r="G446" s="7" t="s">
        <v>1134</v>
      </c>
      <c r="H446" s="7"/>
      <c r="I446" s="10"/>
      <c r="J446" s="10"/>
      <c r="K446" s="10"/>
      <c r="L446" s="11"/>
      <c r="M446" s="10"/>
      <c r="N446" s="11"/>
      <c r="O446" s="10"/>
      <c r="P446" s="11"/>
      <c r="Q446" s="10"/>
      <c r="R446" s="11"/>
      <c r="S446" s="10"/>
      <c r="T446" s="11"/>
      <c r="U446" s="10"/>
      <c r="V446" s="11"/>
      <c r="W446" s="10"/>
      <c r="X446" s="11"/>
      <c r="Y446" s="10"/>
      <c r="Z446" s="11"/>
      <c r="AA446" s="10"/>
      <c r="AB446" s="11"/>
      <c r="AC446" s="10"/>
      <c r="AD446" s="11"/>
      <c r="AE446" s="10"/>
      <c r="AF446" s="11"/>
      <c r="AG446" s="11"/>
      <c r="AH446" s="11"/>
      <c r="AI446" s="10"/>
      <c r="AJ446" s="10"/>
    </row>
    <row r="447" customFormat="false" ht="52.2" hidden="false" customHeight="false" outlineLevel="0" collapsed="false">
      <c r="A447" s="7" t="n">
        <v>445</v>
      </c>
      <c r="B447" s="7" t="str">
        <f aca="false">IF(I447="Y",IF(COUNTIF(I$3:I447,"Y")&lt;=20,"pilot",IF(COUNTIF(I$3:I447,"Y")&lt;=40,"dev",IF(COUNTIF(I$3:I447,"Y")&lt;=200,"test","extra"))),"")</f>
        <v/>
      </c>
      <c r="C447" s="7" t="str">
        <f aca="false">IF(I447="Y",IF(COUNTA(K447,M447,O447,Q447,S447,U447,W447,Y447,AA447,AC447,AE447)=11,"done","in progress"),IF(I447="N","excluded",""))</f>
        <v/>
      </c>
      <c r="D447" s="7" t="s">
        <v>1135</v>
      </c>
      <c r="E447" s="8" t="s">
        <v>96</v>
      </c>
      <c r="F447" s="9" t="s">
        <v>1136</v>
      </c>
      <c r="G447" s="7" t="s">
        <v>125</v>
      </c>
      <c r="H447" s="7"/>
      <c r="I447" s="10"/>
      <c r="J447" s="10"/>
      <c r="K447" s="10"/>
      <c r="L447" s="11"/>
      <c r="M447" s="10"/>
      <c r="N447" s="11"/>
      <c r="O447" s="10"/>
      <c r="P447" s="11"/>
      <c r="Q447" s="10"/>
      <c r="R447" s="11"/>
      <c r="S447" s="10"/>
      <c r="T447" s="11"/>
      <c r="U447" s="10"/>
      <c r="V447" s="11"/>
      <c r="W447" s="10"/>
      <c r="X447" s="11"/>
      <c r="Y447" s="10"/>
      <c r="Z447" s="11"/>
      <c r="AA447" s="10"/>
      <c r="AB447" s="11"/>
      <c r="AC447" s="10"/>
      <c r="AD447" s="11"/>
      <c r="AE447" s="10"/>
      <c r="AF447" s="11"/>
      <c r="AG447" s="11"/>
      <c r="AH447" s="11"/>
      <c r="AI447" s="10"/>
      <c r="AJ447" s="10"/>
    </row>
    <row r="448" customFormat="false" ht="52.2" hidden="false" customHeight="false" outlineLevel="0" collapsed="false">
      <c r="A448" s="7" t="n">
        <v>446</v>
      </c>
      <c r="B448" s="7" t="str">
        <f aca="false">IF(I448="Y",IF(COUNTIF(I$3:I448,"Y")&lt;=20,"pilot",IF(COUNTIF(I$3:I448,"Y")&lt;=40,"dev",IF(COUNTIF(I$3:I448,"Y")&lt;=200,"test","extra"))),"")</f>
        <v/>
      </c>
      <c r="C448" s="7" t="str">
        <f aca="false">IF(I448="Y",IF(COUNTA(K448,M448,O448,Q448,S448,U448,W448,Y448,AA448,AC448,AE448)=11,"done","in progress"),IF(I448="N","excluded",""))</f>
        <v/>
      </c>
      <c r="D448" s="7" t="s">
        <v>1137</v>
      </c>
      <c r="E448" s="8" t="s">
        <v>96</v>
      </c>
      <c r="F448" s="9" t="s">
        <v>1138</v>
      </c>
      <c r="G448" s="7" t="s">
        <v>171</v>
      </c>
      <c r="H448" s="7"/>
      <c r="I448" s="10"/>
      <c r="J448" s="10"/>
      <c r="K448" s="10"/>
      <c r="L448" s="11"/>
      <c r="M448" s="10"/>
      <c r="N448" s="11"/>
      <c r="O448" s="10"/>
      <c r="P448" s="11"/>
      <c r="Q448" s="10"/>
      <c r="R448" s="11"/>
      <c r="S448" s="10"/>
      <c r="T448" s="11"/>
      <c r="U448" s="10"/>
      <c r="V448" s="11"/>
      <c r="W448" s="10"/>
      <c r="X448" s="11"/>
      <c r="Y448" s="10"/>
      <c r="Z448" s="11"/>
      <c r="AA448" s="10"/>
      <c r="AB448" s="11"/>
      <c r="AC448" s="10"/>
      <c r="AD448" s="11"/>
      <c r="AE448" s="10"/>
      <c r="AF448" s="11"/>
      <c r="AG448" s="11"/>
      <c r="AH448" s="11"/>
      <c r="AI448" s="10"/>
      <c r="AJ448" s="10"/>
    </row>
    <row r="449" customFormat="false" ht="52.2" hidden="false" customHeight="false" outlineLevel="0" collapsed="false">
      <c r="A449" s="7" t="n">
        <v>447</v>
      </c>
      <c r="B449" s="7" t="str">
        <f aca="false">IF(I449="Y",IF(COUNTIF(I$3:I449,"Y")&lt;=20,"pilot",IF(COUNTIF(I$3:I449,"Y")&lt;=40,"dev",IF(COUNTIF(I$3:I449,"Y")&lt;=200,"test","extra"))),"")</f>
        <v/>
      </c>
      <c r="C449" s="7" t="str">
        <f aca="false">IF(I449="Y",IF(COUNTA(K449,M449,O449,Q449,S449,U449,W449,Y449,AA449,AC449,AE449)=11,"done","in progress"),IF(I449="N","excluded",""))</f>
        <v/>
      </c>
      <c r="D449" s="7" t="s">
        <v>1139</v>
      </c>
      <c r="E449" s="8" t="s">
        <v>96</v>
      </c>
      <c r="F449" s="9" t="s">
        <v>1140</v>
      </c>
      <c r="G449" s="7" t="s">
        <v>1141</v>
      </c>
      <c r="H449" s="7"/>
      <c r="I449" s="10"/>
      <c r="J449" s="10"/>
      <c r="K449" s="10"/>
      <c r="L449" s="11"/>
      <c r="M449" s="10"/>
      <c r="N449" s="11"/>
      <c r="O449" s="10"/>
      <c r="P449" s="11"/>
      <c r="Q449" s="10"/>
      <c r="R449" s="11"/>
      <c r="S449" s="10"/>
      <c r="T449" s="11"/>
      <c r="U449" s="10"/>
      <c r="V449" s="11"/>
      <c r="W449" s="10"/>
      <c r="X449" s="11"/>
      <c r="Y449" s="10"/>
      <c r="Z449" s="11"/>
      <c r="AA449" s="10"/>
      <c r="AB449" s="11"/>
      <c r="AC449" s="10"/>
      <c r="AD449" s="11"/>
      <c r="AE449" s="10"/>
      <c r="AF449" s="11"/>
      <c r="AG449" s="11"/>
      <c r="AH449" s="11"/>
      <c r="AI449" s="10"/>
      <c r="AJ449" s="10"/>
    </row>
    <row r="450" customFormat="false" ht="26.85" hidden="false" customHeight="false" outlineLevel="0" collapsed="false">
      <c r="A450" s="7" t="n">
        <v>448</v>
      </c>
      <c r="B450" s="7" t="str">
        <f aca="false">IF(I450="Y",IF(COUNTIF(I$3:I450,"Y")&lt;=20,"pilot",IF(COUNTIF(I$3:I450,"Y")&lt;=40,"dev",IF(COUNTIF(I$3:I450,"Y")&lt;=200,"test","extra"))),"")</f>
        <v/>
      </c>
      <c r="C450" s="7" t="str">
        <f aca="false">IF(I450="Y",IF(COUNTA(K450,M450,O450,Q450,S450,U450,W450,Y450,AA450,AC450,AE450)=11,"done","in progress"),IF(I450="N","excluded",""))</f>
        <v/>
      </c>
      <c r="D450" s="7" t="s">
        <v>1142</v>
      </c>
      <c r="E450" s="8" t="s">
        <v>96</v>
      </c>
      <c r="F450" s="9" t="s">
        <v>1143</v>
      </c>
      <c r="G450" s="7" t="s">
        <v>1009</v>
      </c>
      <c r="H450" s="7"/>
      <c r="I450" s="10"/>
      <c r="J450" s="10"/>
      <c r="K450" s="10"/>
      <c r="L450" s="11"/>
      <c r="M450" s="10"/>
      <c r="N450" s="11"/>
      <c r="O450" s="10"/>
      <c r="P450" s="11"/>
      <c r="Q450" s="10"/>
      <c r="R450" s="11"/>
      <c r="S450" s="10"/>
      <c r="T450" s="11"/>
      <c r="U450" s="10"/>
      <c r="V450" s="11"/>
      <c r="W450" s="10"/>
      <c r="X450" s="11"/>
      <c r="Y450" s="10"/>
      <c r="Z450" s="11"/>
      <c r="AA450" s="10"/>
      <c r="AB450" s="11"/>
      <c r="AC450" s="10"/>
      <c r="AD450" s="11"/>
      <c r="AE450" s="10"/>
      <c r="AF450" s="11"/>
      <c r="AG450" s="11"/>
      <c r="AH450" s="11"/>
      <c r="AI450" s="10"/>
      <c r="AJ450" s="10"/>
    </row>
    <row r="451" customFormat="false" ht="39.55" hidden="false" customHeight="false" outlineLevel="0" collapsed="false">
      <c r="A451" s="7" t="n">
        <v>449</v>
      </c>
      <c r="B451" s="7" t="str">
        <f aca="false">IF(I451="Y",IF(COUNTIF(I$3:I451,"Y")&lt;=20,"pilot",IF(COUNTIF(I$3:I451,"Y")&lt;=40,"dev",IF(COUNTIF(I$3:I451,"Y")&lt;=200,"test","extra"))),"")</f>
        <v/>
      </c>
      <c r="C451" s="7" t="str">
        <f aca="false">IF(I451="Y",IF(COUNTA(K451,M451,O451,Q451,S451,U451,W451,Y451,AA451,AC451,AE451)=11,"done","in progress"),IF(I451="N","excluded",""))</f>
        <v/>
      </c>
      <c r="D451" s="7" t="s">
        <v>1144</v>
      </c>
      <c r="E451" s="8" t="s">
        <v>96</v>
      </c>
      <c r="F451" s="9" t="s">
        <v>1145</v>
      </c>
      <c r="G451" s="7" t="s">
        <v>1146</v>
      </c>
      <c r="H451" s="7"/>
      <c r="I451" s="10"/>
      <c r="J451" s="10"/>
      <c r="K451" s="10"/>
      <c r="L451" s="11"/>
      <c r="M451" s="10"/>
      <c r="N451" s="11"/>
      <c r="O451" s="10"/>
      <c r="P451" s="11"/>
      <c r="Q451" s="10"/>
      <c r="R451" s="11"/>
      <c r="S451" s="10"/>
      <c r="T451" s="11"/>
      <c r="U451" s="10"/>
      <c r="V451" s="11"/>
      <c r="W451" s="10"/>
      <c r="X451" s="11"/>
      <c r="Y451" s="10"/>
      <c r="Z451" s="11"/>
      <c r="AA451" s="10"/>
      <c r="AB451" s="11"/>
      <c r="AC451" s="10"/>
      <c r="AD451" s="11"/>
      <c r="AE451" s="10"/>
      <c r="AF451" s="11"/>
      <c r="AG451" s="11"/>
      <c r="AH451" s="11"/>
      <c r="AI451" s="10"/>
      <c r="AJ451" s="10"/>
    </row>
    <row r="452" customFormat="false" ht="39.55" hidden="false" customHeight="false" outlineLevel="0" collapsed="false">
      <c r="A452" s="7" t="n">
        <v>450</v>
      </c>
      <c r="B452" s="7" t="str">
        <f aca="false">IF(I452="Y",IF(COUNTIF(I$3:I452,"Y")&lt;=20,"pilot",IF(COUNTIF(I$3:I452,"Y")&lt;=40,"dev",IF(COUNTIF(I$3:I452,"Y")&lt;=200,"test","extra"))),"")</f>
        <v/>
      </c>
      <c r="C452" s="7" t="str">
        <f aca="false">IF(I452="Y",IF(COUNTA(K452,M452,O452,Q452,S452,U452,W452,Y452,AA452,AC452,AE452)=11,"done","in progress"),IF(I452="N","excluded",""))</f>
        <v/>
      </c>
      <c r="D452" s="7" t="s">
        <v>1147</v>
      </c>
      <c r="E452" s="8" t="s">
        <v>96</v>
      </c>
      <c r="F452" s="9" t="s">
        <v>1148</v>
      </c>
      <c r="G452" s="7" t="s">
        <v>500</v>
      </c>
      <c r="H452" s="7"/>
      <c r="I452" s="10"/>
      <c r="J452" s="10"/>
      <c r="K452" s="10"/>
      <c r="L452" s="11"/>
      <c r="M452" s="10"/>
      <c r="N452" s="11"/>
      <c r="O452" s="10"/>
      <c r="P452" s="11"/>
      <c r="Q452" s="10"/>
      <c r="R452" s="11"/>
      <c r="S452" s="10"/>
      <c r="T452" s="11"/>
      <c r="U452" s="10"/>
      <c r="V452" s="11"/>
      <c r="W452" s="10"/>
      <c r="X452" s="11"/>
      <c r="Y452" s="10"/>
      <c r="Z452" s="11"/>
      <c r="AA452" s="10"/>
      <c r="AB452" s="11"/>
      <c r="AC452" s="10"/>
      <c r="AD452" s="11"/>
      <c r="AE452" s="10"/>
      <c r="AF452" s="11"/>
      <c r="AG452" s="11"/>
      <c r="AH452" s="11"/>
      <c r="AI452" s="10"/>
      <c r="AJ452" s="10"/>
    </row>
    <row r="453" customFormat="false" ht="39.55" hidden="false" customHeight="false" outlineLevel="0" collapsed="false">
      <c r="A453" s="7" t="n">
        <v>451</v>
      </c>
      <c r="B453" s="7" t="str">
        <f aca="false">IF(I453="Y",IF(COUNTIF(I$3:I453,"Y")&lt;=20,"pilot",IF(COUNTIF(I$3:I453,"Y")&lt;=40,"dev",IF(COUNTIF(I$3:I453,"Y")&lt;=200,"test","extra"))),"")</f>
        <v/>
      </c>
      <c r="C453" s="7" t="str">
        <f aca="false">IF(I453="Y",IF(COUNTA(K453,M453,O453,Q453,S453,U453,W453,Y453,AA453,AC453,AE453)=11,"done","in progress"),IF(I453="N","excluded",""))</f>
        <v/>
      </c>
      <c r="D453" s="7" t="s">
        <v>1149</v>
      </c>
      <c r="E453" s="8" t="s">
        <v>96</v>
      </c>
      <c r="F453" s="9" t="s">
        <v>1150</v>
      </c>
      <c r="G453" s="7" t="s">
        <v>98</v>
      </c>
      <c r="H453" s="7"/>
      <c r="I453" s="10"/>
      <c r="J453" s="10"/>
      <c r="K453" s="10"/>
      <c r="L453" s="11"/>
      <c r="M453" s="10"/>
      <c r="N453" s="11"/>
      <c r="O453" s="10"/>
      <c r="P453" s="11"/>
      <c r="Q453" s="10"/>
      <c r="R453" s="11"/>
      <c r="S453" s="10"/>
      <c r="T453" s="11"/>
      <c r="U453" s="10"/>
      <c r="V453" s="11"/>
      <c r="W453" s="10"/>
      <c r="X453" s="11"/>
      <c r="Y453" s="10"/>
      <c r="Z453" s="11"/>
      <c r="AA453" s="10"/>
      <c r="AB453" s="11"/>
      <c r="AC453" s="10"/>
      <c r="AD453" s="11"/>
      <c r="AE453" s="10"/>
      <c r="AF453" s="11"/>
      <c r="AG453" s="11"/>
      <c r="AH453" s="11"/>
      <c r="AI453" s="10"/>
      <c r="AJ453" s="10"/>
    </row>
    <row r="454" customFormat="false" ht="26.85" hidden="false" customHeight="false" outlineLevel="0" collapsed="false">
      <c r="A454" s="7" t="n">
        <v>452</v>
      </c>
      <c r="B454" s="7" t="str">
        <f aca="false">IF(I454="Y",IF(COUNTIF(I$3:I454,"Y")&lt;=20,"pilot",IF(COUNTIF(I$3:I454,"Y")&lt;=40,"dev",IF(COUNTIF(I$3:I454,"Y")&lt;=200,"test","extra"))),"")</f>
        <v/>
      </c>
      <c r="C454" s="7" t="str">
        <f aca="false">IF(I454="Y",IF(COUNTA(K454,M454,O454,Q454,S454,U454,W454,Y454,AA454,AC454,AE454)=11,"done","in progress"),IF(I454="N","excluded",""))</f>
        <v/>
      </c>
      <c r="D454" s="7" t="s">
        <v>1151</v>
      </c>
      <c r="E454" s="8" t="s">
        <v>96</v>
      </c>
      <c r="F454" s="9" t="s">
        <v>1152</v>
      </c>
      <c r="G454" s="7" t="s">
        <v>317</v>
      </c>
      <c r="H454" s="7"/>
      <c r="I454" s="10"/>
      <c r="J454" s="10"/>
      <c r="K454" s="10"/>
      <c r="L454" s="11"/>
      <c r="M454" s="10"/>
      <c r="N454" s="11"/>
      <c r="O454" s="10"/>
      <c r="P454" s="11"/>
      <c r="Q454" s="10"/>
      <c r="R454" s="11"/>
      <c r="S454" s="10"/>
      <c r="T454" s="11"/>
      <c r="U454" s="10"/>
      <c r="V454" s="11"/>
      <c r="W454" s="10"/>
      <c r="X454" s="11"/>
      <c r="Y454" s="10"/>
      <c r="Z454" s="11"/>
      <c r="AA454" s="10"/>
      <c r="AB454" s="11"/>
      <c r="AC454" s="10"/>
      <c r="AD454" s="11"/>
      <c r="AE454" s="10"/>
      <c r="AF454" s="11"/>
      <c r="AG454" s="11"/>
      <c r="AH454" s="11"/>
      <c r="AI454" s="10"/>
      <c r="AJ454" s="10"/>
    </row>
    <row r="455" customFormat="false" ht="39.55" hidden="false" customHeight="false" outlineLevel="0" collapsed="false">
      <c r="A455" s="7" t="n">
        <v>453</v>
      </c>
      <c r="B455" s="7" t="str">
        <f aca="false">IF(I455="Y",IF(COUNTIF(I$3:I455,"Y")&lt;=20,"pilot",IF(COUNTIF(I$3:I455,"Y")&lt;=40,"dev",IF(COUNTIF(I$3:I455,"Y")&lt;=200,"test","extra"))),"")</f>
        <v/>
      </c>
      <c r="C455" s="7" t="str">
        <f aca="false">IF(I455="Y",IF(COUNTA(K455,M455,O455,Q455,S455,U455,W455,Y455,AA455,AC455,AE455)=11,"done","in progress"),IF(I455="N","excluded",""))</f>
        <v/>
      </c>
      <c r="D455" s="7" t="s">
        <v>1153</v>
      </c>
      <c r="E455" s="8" t="s">
        <v>96</v>
      </c>
      <c r="F455" s="9" t="s">
        <v>1154</v>
      </c>
      <c r="G455" s="7" t="s">
        <v>1155</v>
      </c>
      <c r="H455" s="7"/>
      <c r="I455" s="10"/>
      <c r="J455" s="10"/>
      <c r="K455" s="10"/>
      <c r="L455" s="11"/>
      <c r="M455" s="10"/>
      <c r="N455" s="11"/>
      <c r="O455" s="10"/>
      <c r="P455" s="11"/>
      <c r="Q455" s="10"/>
      <c r="R455" s="11"/>
      <c r="S455" s="10"/>
      <c r="T455" s="11"/>
      <c r="U455" s="10"/>
      <c r="V455" s="11"/>
      <c r="W455" s="10"/>
      <c r="X455" s="11"/>
      <c r="Y455" s="10"/>
      <c r="Z455" s="11"/>
      <c r="AA455" s="10"/>
      <c r="AB455" s="11"/>
      <c r="AC455" s="10"/>
      <c r="AD455" s="11"/>
      <c r="AE455" s="10"/>
      <c r="AF455" s="11"/>
      <c r="AG455" s="11"/>
      <c r="AH455" s="11"/>
      <c r="AI455" s="10"/>
      <c r="AJ455" s="10"/>
    </row>
    <row r="456" customFormat="false" ht="39.55" hidden="false" customHeight="false" outlineLevel="0" collapsed="false">
      <c r="A456" s="7" t="n">
        <v>454</v>
      </c>
      <c r="B456" s="7" t="str">
        <f aca="false">IF(I456="Y",IF(COUNTIF(I$3:I456,"Y")&lt;=20,"pilot",IF(COUNTIF(I$3:I456,"Y")&lt;=40,"dev",IF(COUNTIF(I$3:I456,"Y")&lt;=200,"test","extra"))),"")</f>
        <v/>
      </c>
      <c r="C456" s="7" t="str">
        <f aca="false">IF(I456="Y",IF(COUNTA(K456,M456,O456,Q456,S456,U456,W456,Y456,AA456,AC456,AE456)=11,"done","in progress"),IF(I456="N","excluded",""))</f>
        <v/>
      </c>
      <c r="D456" s="7" t="s">
        <v>1156</v>
      </c>
      <c r="E456" s="8" t="s">
        <v>96</v>
      </c>
      <c r="F456" s="9" t="s">
        <v>1157</v>
      </c>
      <c r="G456" s="7" t="s">
        <v>116</v>
      </c>
      <c r="H456" s="7"/>
      <c r="I456" s="10"/>
      <c r="J456" s="10"/>
      <c r="K456" s="10"/>
      <c r="L456" s="11"/>
      <c r="M456" s="10"/>
      <c r="N456" s="11"/>
      <c r="O456" s="10"/>
      <c r="P456" s="11"/>
      <c r="Q456" s="10"/>
      <c r="R456" s="11"/>
      <c r="S456" s="10"/>
      <c r="T456" s="11"/>
      <c r="U456" s="10"/>
      <c r="V456" s="11"/>
      <c r="W456" s="10"/>
      <c r="X456" s="11"/>
      <c r="Y456" s="10"/>
      <c r="Z456" s="11"/>
      <c r="AA456" s="10"/>
      <c r="AB456" s="11"/>
      <c r="AC456" s="10"/>
      <c r="AD456" s="11"/>
      <c r="AE456" s="10"/>
      <c r="AF456" s="11"/>
      <c r="AG456" s="11"/>
      <c r="AH456" s="11"/>
      <c r="AI456" s="10"/>
      <c r="AJ456" s="10"/>
    </row>
    <row r="457" customFormat="false" ht="39.55" hidden="false" customHeight="false" outlineLevel="0" collapsed="false">
      <c r="A457" s="7" t="n">
        <v>455</v>
      </c>
      <c r="B457" s="7" t="str">
        <f aca="false">IF(I457="Y",IF(COUNTIF(I$3:I457,"Y")&lt;=20,"pilot",IF(COUNTIF(I$3:I457,"Y")&lt;=40,"dev",IF(COUNTIF(I$3:I457,"Y")&lt;=200,"test","extra"))),"")</f>
        <v/>
      </c>
      <c r="C457" s="7" t="str">
        <f aca="false">IF(I457="Y",IF(COUNTA(K457,M457,O457,Q457,S457,U457,W457,Y457,AA457,AC457,AE457)=11,"done","in progress"),IF(I457="N","excluded",""))</f>
        <v/>
      </c>
      <c r="D457" s="7" t="s">
        <v>1158</v>
      </c>
      <c r="E457" s="8" t="s">
        <v>96</v>
      </c>
      <c r="F457" s="9" t="s">
        <v>1159</v>
      </c>
      <c r="G457" s="7" t="s">
        <v>1160</v>
      </c>
      <c r="H457" s="7"/>
      <c r="I457" s="10"/>
      <c r="J457" s="10"/>
      <c r="K457" s="10"/>
      <c r="L457" s="11"/>
      <c r="M457" s="10"/>
      <c r="N457" s="11"/>
      <c r="O457" s="10"/>
      <c r="P457" s="11"/>
      <c r="Q457" s="10"/>
      <c r="R457" s="11"/>
      <c r="S457" s="10"/>
      <c r="T457" s="11"/>
      <c r="U457" s="10"/>
      <c r="V457" s="11"/>
      <c r="W457" s="10"/>
      <c r="X457" s="11"/>
      <c r="Y457" s="10"/>
      <c r="Z457" s="11"/>
      <c r="AA457" s="10"/>
      <c r="AB457" s="11"/>
      <c r="AC457" s="10"/>
      <c r="AD457" s="11"/>
      <c r="AE457" s="10"/>
      <c r="AF457" s="11"/>
      <c r="AG457" s="11"/>
      <c r="AH457" s="11"/>
      <c r="AI457" s="10"/>
      <c r="AJ457" s="10"/>
    </row>
    <row r="458" customFormat="false" ht="39.55" hidden="false" customHeight="false" outlineLevel="0" collapsed="false">
      <c r="A458" s="7" t="n">
        <v>456</v>
      </c>
      <c r="B458" s="7" t="str">
        <f aca="false">IF(I458="Y",IF(COUNTIF(I$3:I458,"Y")&lt;=20,"pilot",IF(COUNTIF(I$3:I458,"Y")&lt;=40,"dev",IF(COUNTIF(I$3:I458,"Y")&lt;=200,"test","extra"))),"")</f>
        <v/>
      </c>
      <c r="C458" s="7" t="str">
        <f aca="false">IF(I458="Y",IF(COUNTA(K458,M458,O458,Q458,S458,U458,W458,Y458,AA458,AC458,AE458)=11,"done","in progress"),IF(I458="N","excluded",""))</f>
        <v/>
      </c>
      <c r="D458" s="7" t="s">
        <v>1161</v>
      </c>
      <c r="E458" s="8" t="s">
        <v>96</v>
      </c>
      <c r="F458" s="9" t="s">
        <v>1162</v>
      </c>
      <c r="G458" s="7" t="s">
        <v>133</v>
      </c>
      <c r="H458" s="7"/>
      <c r="I458" s="10"/>
      <c r="J458" s="10"/>
      <c r="K458" s="10"/>
      <c r="L458" s="11"/>
      <c r="M458" s="10"/>
      <c r="N458" s="11"/>
      <c r="O458" s="10"/>
      <c r="P458" s="11"/>
      <c r="Q458" s="10"/>
      <c r="R458" s="11"/>
      <c r="S458" s="10"/>
      <c r="T458" s="11"/>
      <c r="U458" s="10"/>
      <c r="V458" s="11"/>
      <c r="W458" s="10"/>
      <c r="X458" s="11"/>
      <c r="Y458" s="10"/>
      <c r="Z458" s="11"/>
      <c r="AA458" s="10"/>
      <c r="AB458" s="11"/>
      <c r="AC458" s="10"/>
      <c r="AD458" s="11"/>
      <c r="AE458" s="10"/>
      <c r="AF458" s="11"/>
      <c r="AG458" s="11"/>
      <c r="AH458" s="11"/>
      <c r="AI458" s="10"/>
      <c r="AJ458" s="10"/>
    </row>
    <row r="459" customFormat="false" ht="26.85" hidden="false" customHeight="false" outlineLevel="0" collapsed="false">
      <c r="A459" s="7" t="n">
        <v>457</v>
      </c>
      <c r="B459" s="7" t="str">
        <f aca="false">IF(I459="Y",IF(COUNTIF(I$3:I459,"Y")&lt;=20,"pilot",IF(COUNTIF(I$3:I459,"Y")&lt;=40,"dev",IF(COUNTIF(I$3:I459,"Y")&lt;=200,"test","extra"))),"")</f>
        <v/>
      </c>
      <c r="C459" s="7" t="str">
        <f aca="false">IF(I459="Y",IF(COUNTA(K459,M459,O459,Q459,S459,U459,W459,Y459,AA459,AC459,AE459)=11,"done","in progress"),IF(I459="N","excluded",""))</f>
        <v/>
      </c>
      <c r="D459" s="7" t="s">
        <v>1163</v>
      </c>
      <c r="E459" s="8" t="s">
        <v>96</v>
      </c>
      <c r="F459" s="9" t="s">
        <v>1164</v>
      </c>
      <c r="G459" s="7" t="s">
        <v>107</v>
      </c>
      <c r="H459" s="7"/>
      <c r="I459" s="10"/>
      <c r="J459" s="10"/>
      <c r="K459" s="10"/>
      <c r="L459" s="11"/>
      <c r="M459" s="10"/>
      <c r="N459" s="11"/>
      <c r="O459" s="10"/>
      <c r="P459" s="11"/>
      <c r="Q459" s="10"/>
      <c r="R459" s="11"/>
      <c r="S459" s="10"/>
      <c r="T459" s="11"/>
      <c r="U459" s="10"/>
      <c r="V459" s="11"/>
      <c r="W459" s="10"/>
      <c r="X459" s="11"/>
      <c r="Y459" s="10"/>
      <c r="Z459" s="11"/>
      <c r="AA459" s="10"/>
      <c r="AB459" s="11"/>
      <c r="AC459" s="10"/>
      <c r="AD459" s="11"/>
      <c r="AE459" s="10"/>
      <c r="AF459" s="11"/>
      <c r="AG459" s="11"/>
      <c r="AH459" s="11"/>
      <c r="AI459" s="10"/>
      <c r="AJ459" s="10"/>
    </row>
    <row r="460" customFormat="false" ht="39.55" hidden="false" customHeight="false" outlineLevel="0" collapsed="false">
      <c r="A460" s="7" t="n">
        <v>458</v>
      </c>
      <c r="B460" s="7" t="str">
        <f aca="false">IF(I460="Y",IF(COUNTIF(I$3:I460,"Y")&lt;=20,"pilot",IF(COUNTIF(I$3:I460,"Y")&lt;=40,"dev",IF(COUNTIF(I$3:I460,"Y")&lt;=200,"test","extra"))),"")</f>
        <v/>
      </c>
      <c r="C460" s="7" t="str">
        <f aca="false">IF(I460="Y",IF(COUNTA(K460,M460,O460,Q460,S460,U460,W460,Y460,AA460,AC460,AE460)=11,"done","in progress"),IF(I460="N","excluded",""))</f>
        <v/>
      </c>
      <c r="D460" s="7" t="s">
        <v>1165</v>
      </c>
      <c r="E460" s="8" t="s">
        <v>96</v>
      </c>
      <c r="F460" s="9" t="s">
        <v>1166</v>
      </c>
      <c r="G460" s="7" t="s">
        <v>747</v>
      </c>
      <c r="H460" s="7"/>
      <c r="I460" s="10"/>
      <c r="J460" s="10"/>
      <c r="K460" s="10"/>
      <c r="L460" s="11"/>
      <c r="M460" s="10"/>
      <c r="N460" s="11"/>
      <c r="O460" s="10"/>
      <c r="P460" s="11"/>
      <c r="Q460" s="10"/>
      <c r="R460" s="11"/>
      <c r="S460" s="10"/>
      <c r="T460" s="11"/>
      <c r="U460" s="10"/>
      <c r="V460" s="11"/>
      <c r="W460" s="10"/>
      <c r="X460" s="11"/>
      <c r="Y460" s="10"/>
      <c r="Z460" s="11"/>
      <c r="AA460" s="10"/>
      <c r="AB460" s="11"/>
      <c r="AC460" s="10"/>
      <c r="AD460" s="11"/>
      <c r="AE460" s="10"/>
      <c r="AF460" s="11"/>
      <c r="AG460" s="11"/>
      <c r="AH460" s="11"/>
      <c r="AI460" s="10"/>
      <c r="AJ460" s="10"/>
    </row>
    <row r="461" customFormat="false" ht="26.85" hidden="false" customHeight="false" outlineLevel="0" collapsed="false">
      <c r="A461" s="7" t="n">
        <v>459</v>
      </c>
      <c r="B461" s="7" t="str">
        <f aca="false">IF(I461="Y",IF(COUNTIF(I$3:I461,"Y")&lt;=20,"pilot",IF(COUNTIF(I$3:I461,"Y")&lt;=40,"dev",IF(COUNTIF(I$3:I461,"Y")&lt;=200,"test","extra"))),"")</f>
        <v/>
      </c>
      <c r="C461" s="7" t="str">
        <f aca="false">IF(I461="Y",IF(COUNTA(K461,M461,O461,Q461,S461,U461,W461,Y461,AA461,AC461,AE461)=11,"done","in progress"),IF(I461="N","excluded",""))</f>
        <v/>
      </c>
      <c r="D461" s="7" t="s">
        <v>1167</v>
      </c>
      <c r="E461" s="8" t="s">
        <v>96</v>
      </c>
      <c r="F461" s="9" t="s">
        <v>1168</v>
      </c>
      <c r="G461" s="7" t="s">
        <v>238</v>
      </c>
      <c r="H461" s="7"/>
      <c r="I461" s="10"/>
      <c r="J461" s="10"/>
      <c r="K461" s="10"/>
      <c r="L461" s="11"/>
      <c r="M461" s="10"/>
      <c r="N461" s="11"/>
      <c r="O461" s="10"/>
      <c r="P461" s="11"/>
      <c r="Q461" s="10"/>
      <c r="R461" s="11"/>
      <c r="S461" s="10"/>
      <c r="T461" s="11"/>
      <c r="U461" s="10"/>
      <c r="V461" s="11"/>
      <c r="W461" s="10"/>
      <c r="X461" s="11"/>
      <c r="Y461" s="10"/>
      <c r="Z461" s="11"/>
      <c r="AA461" s="10"/>
      <c r="AB461" s="11"/>
      <c r="AC461" s="10"/>
      <c r="AD461" s="11"/>
      <c r="AE461" s="10"/>
      <c r="AF461" s="11"/>
      <c r="AG461" s="11"/>
      <c r="AH461" s="11"/>
      <c r="AI461" s="10"/>
      <c r="AJ461" s="10"/>
    </row>
    <row r="462" customFormat="false" ht="39.55" hidden="false" customHeight="false" outlineLevel="0" collapsed="false">
      <c r="A462" s="7" t="n">
        <v>460</v>
      </c>
      <c r="B462" s="7" t="str">
        <f aca="false">IF(I462="Y",IF(COUNTIF(I$3:I462,"Y")&lt;=20,"pilot",IF(COUNTIF(I$3:I462,"Y")&lt;=40,"dev",IF(COUNTIF(I$3:I462,"Y")&lt;=200,"test","extra"))),"")</f>
        <v/>
      </c>
      <c r="C462" s="7" t="str">
        <f aca="false">IF(I462="Y",IF(COUNTA(K462,M462,O462,Q462,S462,U462,W462,Y462,AA462,AC462,AE462)=11,"done","in progress"),IF(I462="N","excluded",""))</f>
        <v/>
      </c>
      <c r="D462" s="7" t="s">
        <v>1169</v>
      </c>
      <c r="E462" s="8" t="s">
        <v>96</v>
      </c>
      <c r="F462" s="9" t="s">
        <v>1170</v>
      </c>
      <c r="G462" s="7" t="s">
        <v>113</v>
      </c>
      <c r="H462" s="7"/>
      <c r="I462" s="10"/>
      <c r="J462" s="10"/>
      <c r="K462" s="10"/>
      <c r="L462" s="11"/>
      <c r="M462" s="10"/>
      <c r="N462" s="11"/>
      <c r="O462" s="10"/>
      <c r="P462" s="11"/>
      <c r="Q462" s="10"/>
      <c r="R462" s="11"/>
      <c r="S462" s="10"/>
      <c r="T462" s="11"/>
      <c r="U462" s="10"/>
      <c r="V462" s="11"/>
      <c r="W462" s="10"/>
      <c r="X462" s="11"/>
      <c r="Y462" s="10"/>
      <c r="Z462" s="11"/>
      <c r="AA462" s="10"/>
      <c r="AB462" s="11"/>
      <c r="AC462" s="10"/>
      <c r="AD462" s="11"/>
      <c r="AE462" s="10"/>
      <c r="AF462" s="11"/>
      <c r="AG462" s="11"/>
      <c r="AH462" s="11"/>
      <c r="AI462" s="10"/>
      <c r="AJ462" s="10"/>
    </row>
    <row r="463" customFormat="false" ht="26.85" hidden="false" customHeight="false" outlineLevel="0" collapsed="false">
      <c r="A463" s="7" t="n">
        <v>461</v>
      </c>
      <c r="B463" s="7" t="str">
        <f aca="false">IF(I463="Y",IF(COUNTIF(I$3:I463,"Y")&lt;=20,"pilot",IF(COUNTIF(I$3:I463,"Y")&lt;=40,"dev",IF(COUNTIF(I$3:I463,"Y")&lt;=200,"test","extra"))),"")</f>
        <v/>
      </c>
      <c r="C463" s="7" t="str">
        <f aca="false">IF(I463="Y",IF(COUNTA(K463,M463,O463,Q463,S463,U463,W463,Y463,AA463,AC463,AE463)=11,"done","in progress"),IF(I463="N","excluded",""))</f>
        <v/>
      </c>
      <c r="D463" s="7" t="s">
        <v>1171</v>
      </c>
      <c r="E463" s="8" t="s">
        <v>96</v>
      </c>
      <c r="F463" s="9" t="s">
        <v>1172</v>
      </c>
      <c r="G463" s="7" t="s">
        <v>125</v>
      </c>
      <c r="H463" s="7"/>
      <c r="I463" s="10"/>
      <c r="J463" s="10"/>
      <c r="K463" s="10"/>
      <c r="L463" s="11"/>
      <c r="M463" s="10"/>
      <c r="N463" s="11"/>
      <c r="O463" s="10"/>
      <c r="P463" s="11"/>
      <c r="Q463" s="10"/>
      <c r="R463" s="11"/>
      <c r="S463" s="10"/>
      <c r="T463" s="11"/>
      <c r="U463" s="10"/>
      <c r="V463" s="11"/>
      <c r="W463" s="10"/>
      <c r="X463" s="11"/>
      <c r="Y463" s="10"/>
      <c r="Z463" s="11"/>
      <c r="AA463" s="10"/>
      <c r="AB463" s="11"/>
      <c r="AC463" s="10"/>
      <c r="AD463" s="11"/>
      <c r="AE463" s="10"/>
      <c r="AF463" s="11"/>
      <c r="AG463" s="11"/>
      <c r="AH463" s="11"/>
      <c r="AI463" s="10"/>
      <c r="AJ463" s="10"/>
    </row>
    <row r="464" customFormat="false" ht="26.85" hidden="false" customHeight="false" outlineLevel="0" collapsed="false">
      <c r="A464" s="7" t="n">
        <v>462</v>
      </c>
      <c r="B464" s="7" t="str">
        <f aca="false">IF(I464="Y",IF(COUNTIF(I$3:I464,"Y")&lt;=20,"pilot",IF(COUNTIF(I$3:I464,"Y")&lt;=40,"dev",IF(COUNTIF(I$3:I464,"Y")&lt;=200,"test","extra"))),"")</f>
        <v/>
      </c>
      <c r="C464" s="7" t="str">
        <f aca="false">IF(I464="Y",IF(COUNTA(K464,M464,O464,Q464,S464,U464,W464,Y464,AA464,AC464,AE464)=11,"done","in progress"),IF(I464="N","excluded",""))</f>
        <v/>
      </c>
      <c r="D464" s="7" t="s">
        <v>1173</v>
      </c>
      <c r="E464" s="8" t="s">
        <v>96</v>
      </c>
      <c r="F464" s="9" t="s">
        <v>1174</v>
      </c>
      <c r="G464" s="7" t="s">
        <v>1175</v>
      </c>
      <c r="H464" s="7"/>
      <c r="I464" s="10"/>
      <c r="J464" s="10"/>
      <c r="K464" s="10"/>
      <c r="L464" s="11"/>
      <c r="M464" s="10"/>
      <c r="N464" s="11"/>
      <c r="O464" s="10"/>
      <c r="P464" s="11"/>
      <c r="Q464" s="10"/>
      <c r="R464" s="11"/>
      <c r="S464" s="10"/>
      <c r="T464" s="11"/>
      <c r="U464" s="10"/>
      <c r="V464" s="11"/>
      <c r="W464" s="10"/>
      <c r="X464" s="11"/>
      <c r="Y464" s="10"/>
      <c r="Z464" s="11"/>
      <c r="AA464" s="10"/>
      <c r="AB464" s="11"/>
      <c r="AC464" s="10"/>
      <c r="AD464" s="11"/>
      <c r="AE464" s="10"/>
      <c r="AF464" s="11"/>
      <c r="AG464" s="11"/>
      <c r="AH464" s="11"/>
      <c r="AI464" s="10"/>
      <c r="AJ464" s="10"/>
    </row>
    <row r="465" customFormat="false" ht="39.55" hidden="false" customHeight="false" outlineLevel="0" collapsed="false">
      <c r="A465" s="7" t="n">
        <v>463</v>
      </c>
      <c r="B465" s="7" t="str">
        <f aca="false">IF(I465="Y",IF(COUNTIF(I$3:I465,"Y")&lt;=20,"pilot",IF(COUNTIF(I$3:I465,"Y")&lt;=40,"dev",IF(COUNTIF(I$3:I465,"Y")&lt;=200,"test","extra"))),"")</f>
        <v/>
      </c>
      <c r="C465" s="7" t="str">
        <f aca="false">IF(I465="Y",IF(COUNTA(K465,M465,O465,Q465,S465,U465,W465,Y465,AA465,AC465,AE465)=11,"done","in progress"),IF(I465="N","excluded",""))</f>
        <v/>
      </c>
      <c r="D465" s="7" t="s">
        <v>1176</v>
      </c>
      <c r="E465" s="8" t="s">
        <v>96</v>
      </c>
      <c r="F465" s="9" t="s">
        <v>1177</v>
      </c>
      <c r="G465" s="7" t="s">
        <v>171</v>
      </c>
      <c r="H465" s="7" t="s">
        <v>1178</v>
      </c>
      <c r="I465" s="10"/>
      <c r="J465" s="10"/>
      <c r="K465" s="10"/>
      <c r="L465" s="11"/>
      <c r="M465" s="10"/>
      <c r="N465" s="11"/>
      <c r="O465" s="10"/>
      <c r="P465" s="11"/>
      <c r="Q465" s="10"/>
      <c r="R465" s="11"/>
      <c r="S465" s="10"/>
      <c r="T465" s="11"/>
      <c r="U465" s="10"/>
      <c r="V465" s="11"/>
      <c r="W465" s="10"/>
      <c r="X465" s="11"/>
      <c r="Y465" s="10"/>
      <c r="Z465" s="11"/>
      <c r="AA465" s="10"/>
      <c r="AB465" s="11"/>
      <c r="AC465" s="10"/>
      <c r="AD465" s="11"/>
      <c r="AE465" s="10"/>
      <c r="AF465" s="11"/>
      <c r="AG465" s="11"/>
      <c r="AH465" s="11"/>
      <c r="AI465" s="10"/>
      <c r="AJ465" s="10"/>
    </row>
    <row r="466" customFormat="false" ht="39.55" hidden="false" customHeight="false" outlineLevel="0" collapsed="false">
      <c r="A466" s="7" t="n">
        <v>464</v>
      </c>
      <c r="B466" s="7" t="str">
        <f aca="false">IF(I466="Y",IF(COUNTIF(I$3:I466,"Y")&lt;=20,"pilot",IF(COUNTIF(I$3:I466,"Y")&lt;=40,"dev",IF(COUNTIF(I$3:I466,"Y")&lt;=200,"test","extra"))),"")</f>
        <v/>
      </c>
      <c r="C466" s="7" t="str">
        <f aca="false">IF(I466="Y",IF(COUNTA(K466,M466,O466,Q466,S466,U466,W466,Y466,AA466,AC466,AE466)=11,"done","in progress"),IF(I466="N","excluded",""))</f>
        <v/>
      </c>
      <c r="D466" s="7" t="s">
        <v>1179</v>
      </c>
      <c r="E466" s="8" t="s">
        <v>96</v>
      </c>
      <c r="F466" s="9" t="s">
        <v>1180</v>
      </c>
      <c r="G466" s="7" t="s">
        <v>116</v>
      </c>
      <c r="H466" s="7"/>
      <c r="I466" s="10"/>
      <c r="J466" s="10"/>
      <c r="K466" s="10"/>
      <c r="L466" s="11"/>
      <c r="M466" s="10"/>
      <c r="N466" s="11"/>
      <c r="O466" s="10"/>
      <c r="P466" s="11"/>
      <c r="Q466" s="10"/>
      <c r="R466" s="11"/>
      <c r="S466" s="10"/>
      <c r="T466" s="11"/>
      <c r="U466" s="10"/>
      <c r="V466" s="11"/>
      <c r="W466" s="10"/>
      <c r="X466" s="11"/>
      <c r="Y466" s="10"/>
      <c r="Z466" s="11"/>
      <c r="AA466" s="10"/>
      <c r="AB466" s="11"/>
      <c r="AC466" s="10"/>
      <c r="AD466" s="11"/>
      <c r="AE466" s="10"/>
      <c r="AF466" s="11"/>
      <c r="AG466" s="11"/>
      <c r="AH466" s="11"/>
      <c r="AI466" s="10"/>
      <c r="AJ466" s="10"/>
    </row>
    <row r="467" customFormat="false" ht="39.55" hidden="false" customHeight="false" outlineLevel="0" collapsed="false">
      <c r="A467" s="7" t="n">
        <v>465</v>
      </c>
      <c r="B467" s="7" t="str">
        <f aca="false">IF(I467="Y",IF(COUNTIF(I$3:I467,"Y")&lt;=20,"pilot",IF(COUNTIF(I$3:I467,"Y")&lt;=40,"dev",IF(COUNTIF(I$3:I467,"Y")&lt;=200,"test","extra"))),"")</f>
        <v/>
      </c>
      <c r="C467" s="7" t="str">
        <f aca="false">IF(I467="Y",IF(COUNTA(K467,M467,O467,Q467,S467,U467,W467,Y467,AA467,AC467,AE467)=11,"done","in progress"),IF(I467="N","excluded",""))</f>
        <v/>
      </c>
      <c r="D467" s="7" t="s">
        <v>1181</v>
      </c>
      <c r="E467" s="8" t="s">
        <v>96</v>
      </c>
      <c r="F467" s="9" t="s">
        <v>1182</v>
      </c>
      <c r="G467" s="7" t="s">
        <v>133</v>
      </c>
      <c r="H467" s="7"/>
      <c r="I467" s="10"/>
      <c r="J467" s="10"/>
      <c r="K467" s="10"/>
      <c r="L467" s="11"/>
      <c r="M467" s="10"/>
      <c r="N467" s="11"/>
      <c r="O467" s="10"/>
      <c r="P467" s="11"/>
      <c r="Q467" s="10"/>
      <c r="R467" s="11"/>
      <c r="S467" s="10"/>
      <c r="T467" s="11"/>
      <c r="U467" s="10"/>
      <c r="V467" s="11"/>
      <c r="W467" s="10"/>
      <c r="X467" s="11"/>
      <c r="Y467" s="10"/>
      <c r="Z467" s="11"/>
      <c r="AA467" s="10"/>
      <c r="AB467" s="11"/>
      <c r="AC467" s="10"/>
      <c r="AD467" s="11"/>
      <c r="AE467" s="10"/>
      <c r="AF467" s="11"/>
      <c r="AG467" s="11"/>
      <c r="AH467" s="11"/>
      <c r="AI467" s="10"/>
      <c r="AJ467" s="10"/>
    </row>
    <row r="468" customFormat="false" ht="39.55" hidden="false" customHeight="false" outlineLevel="0" collapsed="false">
      <c r="A468" s="7" t="n">
        <v>466</v>
      </c>
      <c r="B468" s="7" t="str">
        <f aca="false">IF(I468="Y",IF(COUNTIF(I$3:I468,"Y")&lt;=20,"pilot",IF(COUNTIF(I$3:I468,"Y")&lt;=40,"dev",IF(COUNTIF(I$3:I468,"Y")&lt;=200,"test","extra"))),"")</f>
        <v/>
      </c>
      <c r="C468" s="7" t="str">
        <f aca="false">IF(I468="Y",IF(COUNTA(K468,M468,O468,Q468,S468,U468,W468,Y468,AA468,AC468,AE468)=11,"done","in progress"),IF(I468="N","excluded",""))</f>
        <v/>
      </c>
      <c r="D468" s="7" t="s">
        <v>1183</v>
      </c>
      <c r="E468" s="8" t="s">
        <v>96</v>
      </c>
      <c r="F468" s="9" t="s">
        <v>1184</v>
      </c>
      <c r="G468" s="7" t="s">
        <v>104</v>
      </c>
      <c r="H468" s="7"/>
      <c r="I468" s="10"/>
      <c r="J468" s="10"/>
      <c r="K468" s="10"/>
      <c r="L468" s="11"/>
      <c r="M468" s="10"/>
      <c r="N468" s="11"/>
      <c r="O468" s="10"/>
      <c r="P468" s="11"/>
      <c r="Q468" s="10"/>
      <c r="R468" s="11"/>
      <c r="S468" s="10"/>
      <c r="T468" s="11"/>
      <c r="U468" s="10"/>
      <c r="V468" s="11"/>
      <c r="W468" s="10"/>
      <c r="X468" s="11"/>
      <c r="Y468" s="10"/>
      <c r="Z468" s="11"/>
      <c r="AA468" s="10"/>
      <c r="AB468" s="11"/>
      <c r="AC468" s="10"/>
      <c r="AD468" s="11"/>
      <c r="AE468" s="10"/>
      <c r="AF468" s="11"/>
      <c r="AG468" s="11"/>
      <c r="AH468" s="11"/>
      <c r="AI468" s="10"/>
      <c r="AJ468" s="10"/>
    </row>
    <row r="469" customFormat="false" ht="39.55" hidden="false" customHeight="false" outlineLevel="0" collapsed="false">
      <c r="A469" s="7" t="n">
        <v>467</v>
      </c>
      <c r="B469" s="7" t="str">
        <f aca="false">IF(I469="Y",IF(COUNTIF(I$3:I469,"Y")&lt;=20,"pilot",IF(COUNTIF(I$3:I469,"Y")&lt;=40,"dev",IF(COUNTIF(I$3:I469,"Y")&lt;=200,"test","extra"))),"")</f>
        <v/>
      </c>
      <c r="C469" s="7" t="str">
        <f aca="false">IF(I469="Y",IF(COUNTA(K469,M469,O469,Q469,S469,U469,W469,Y469,AA469,AC469,AE469)=11,"done","in progress"),IF(I469="N","excluded",""))</f>
        <v/>
      </c>
      <c r="D469" s="7" t="s">
        <v>1185</v>
      </c>
      <c r="E469" s="8" t="s">
        <v>96</v>
      </c>
      <c r="F469" s="9" t="s">
        <v>1186</v>
      </c>
      <c r="G469" s="7" t="s">
        <v>356</v>
      </c>
      <c r="H469" s="7"/>
      <c r="I469" s="10"/>
      <c r="J469" s="10"/>
      <c r="K469" s="10"/>
      <c r="L469" s="11"/>
      <c r="M469" s="10"/>
      <c r="N469" s="11"/>
      <c r="O469" s="10"/>
      <c r="P469" s="11"/>
      <c r="Q469" s="10"/>
      <c r="R469" s="11"/>
      <c r="S469" s="10"/>
      <c r="T469" s="11"/>
      <c r="U469" s="10"/>
      <c r="V469" s="11"/>
      <c r="W469" s="10"/>
      <c r="X469" s="11"/>
      <c r="Y469" s="10"/>
      <c r="Z469" s="11"/>
      <c r="AA469" s="10"/>
      <c r="AB469" s="11"/>
      <c r="AC469" s="10"/>
      <c r="AD469" s="11"/>
      <c r="AE469" s="10"/>
      <c r="AF469" s="11"/>
      <c r="AG469" s="11"/>
      <c r="AH469" s="11"/>
      <c r="AI469" s="10"/>
      <c r="AJ469" s="10"/>
    </row>
    <row r="470" customFormat="false" ht="26.85" hidden="false" customHeight="false" outlineLevel="0" collapsed="false">
      <c r="A470" s="7" t="n">
        <v>468</v>
      </c>
      <c r="B470" s="7" t="str">
        <f aca="false">IF(I470="Y",IF(COUNTIF(I$3:I470,"Y")&lt;=20,"pilot",IF(COUNTIF(I$3:I470,"Y")&lt;=40,"dev",IF(COUNTIF(I$3:I470,"Y")&lt;=200,"test","extra"))),"")</f>
        <v/>
      </c>
      <c r="C470" s="7" t="str">
        <f aca="false">IF(I470="Y",IF(COUNTA(K470,M470,O470,Q470,S470,U470,W470,Y470,AA470,AC470,AE470)=11,"done","in progress"),IF(I470="N","excluded",""))</f>
        <v/>
      </c>
      <c r="D470" s="7" t="s">
        <v>1187</v>
      </c>
      <c r="E470" s="8" t="s">
        <v>96</v>
      </c>
      <c r="F470" s="9" t="s">
        <v>1188</v>
      </c>
      <c r="G470" s="7" t="s">
        <v>1189</v>
      </c>
      <c r="H470" s="7"/>
      <c r="I470" s="10"/>
      <c r="J470" s="10"/>
      <c r="K470" s="10"/>
      <c r="L470" s="11"/>
      <c r="M470" s="10"/>
      <c r="N470" s="11"/>
      <c r="O470" s="10"/>
      <c r="P470" s="11"/>
      <c r="Q470" s="10"/>
      <c r="R470" s="11"/>
      <c r="S470" s="10"/>
      <c r="T470" s="11"/>
      <c r="U470" s="10"/>
      <c r="V470" s="11"/>
      <c r="W470" s="10"/>
      <c r="X470" s="11"/>
      <c r="Y470" s="10"/>
      <c r="Z470" s="11"/>
      <c r="AA470" s="10"/>
      <c r="AB470" s="11"/>
      <c r="AC470" s="10"/>
      <c r="AD470" s="11"/>
      <c r="AE470" s="10"/>
      <c r="AF470" s="11"/>
      <c r="AG470" s="11"/>
      <c r="AH470" s="11"/>
      <c r="AI470" s="10"/>
      <c r="AJ470" s="10"/>
    </row>
    <row r="471" customFormat="false" ht="39.55" hidden="false" customHeight="false" outlineLevel="0" collapsed="false">
      <c r="A471" s="7" t="n">
        <v>469</v>
      </c>
      <c r="B471" s="7" t="str">
        <f aca="false">IF(I471="Y",IF(COUNTIF(I$3:I471,"Y")&lt;=20,"pilot",IF(COUNTIF(I$3:I471,"Y")&lt;=40,"dev",IF(COUNTIF(I$3:I471,"Y")&lt;=200,"test","extra"))),"")</f>
        <v/>
      </c>
      <c r="C471" s="7" t="str">
        <f aca="false">IF(I471="Y",IF(COUNTA(K471,M471,O471,Q471,S471,U471,W471,Y471,AA471,AC471,AE471)=11,"done","in progress"),IF(I471="N","excluded",""))</f>
        <v/>
      </c>
      <c r="D471" s="7" t="s">
        <v>1190</v>
      </c>
      <c r="E471" s="8" t="s">
        <v>96</v>
      </c>
      <c r="F471" s="9" t="s">
        <v>1191</v>
      </c>
      <c r="G471" s="7" t="s">
        <v>133</v>
      </c>
      <c r="H471" s="7"/>
      <c r="I471" s="10"/>
      <c r="J471" s="10"/>
      <c r="K471" s="10"/>
      <c r="L471" s="11"/>
      <c r="M471" s="10"/>
      <c r="N471" s="11"/>
      <c r="O471" s="10"/>
      <c r="P471" s="11"/>
      <c r="Q471" s="10"/>
      <c r="R471" s="11"/>
      <c r="S471" s="10"/>
      <c r="T471" s="11"/>
      <c r="U471" s="10"/>
      <c r="V471" s="11"/>
      <c r="W471" s="10"/>
      <c r="X471" s="11"/>
      <c r="Y471" s="10"/>
      <c r="Z471" s="11"/>
      <c r="AA471" s="10"/>
      <c r="AB471" s="11"/>
      <c r="AC471" s="10"/>
      <c r="AD471" s="11"/>
      <c r="AE471" s="10"/>
      <c r="AF471" s="11"/>
      <c r="AG471" s="11"/>
      <c r="AH471" s="11"/>
      <c r="AI471" s="10"/>
      <c r="AJ471" s="10"/>
    </row>
    <row r="472" customFormat="false" ht="39.55" hidden="false" customHeight="false" outlineLevel="0" collapsed="false">
      <c r="A472" s="7" t="n">
        <v>470</v>
      </c>
      <c r="B472" s="7" t="str">
        <f aca="false">IF(I472="Y",IF(COUNTIF(I$3:I472,"Y")&lt;=20,"pilot",IF(COUNTIF(I$3:I472,"Y")&lt;=40,"dev",IF(COUNTIF(I$3:I472,"Y")&lt;=200,"test","extra"))),"")</f>
        <v/>
      </c>
      <c r="C472" s="7" t="str">
        <f aca="false">IF(I472="Y",IF(COUNTA(K472,M472,O472,Q472,S472,U472,W472,Y472,AA472,AC472,AE472)=11,"done","in progress"),IF(I472="N","excluded",""))</f>
        <v/>
      </c>
      <c r="D472" s="7" t="s">
        <v>1192</v>
      </c>
      <c r="E472" s="8" t="s">
        <v>96</v>
      </c>
      <c r="F472" s="9" t="s">
        <v>1193</v>
      </c>
      <c r="G472" s="7" t="s">
        <v>302</v>
      </c>
      <c r="H472" s="7"/>
      <c r="I472" s="10"/>
      <c r="J472" s="10"/>
      <c r="K472" s="10"/>
      <c r="L472" s="11"/>
      <c r="M472" s="10"/>
      <c r="N472" s="11"/>
      <c r="O472" s="10"/>
      <c r="P472" s="11"/>
      <c r="Q472" s="10"/>
      <c r="R472" s="11"/>
      <c r="S472" s="10"/>
      <c r="T472" s="11"/>
      <c r="U472" s="10"/>
      <c r="V472" s="11"/>
      <c r="W472" s="10"/>
      <c r="X472" s="11"/>
      <c r="Y472" s="10"/>
      <c r="Z472" s="11"/>
      <c r="AA472" s="10"/>
      <c r="AB472" s="11"/>
      <c r="AC472" s="10"/>
      <c r="AD472" s="11"/>
      <c r="AE472" s="10"/>
      <c r="AF472" s="11"/>
      <c r="AG472" s="11"/>
      <c r="AH472" s="11"/>
      <c r="AI472" s="10"/>
      <c r="AJ472" s="10"/>
    </row>
    <row r="473" customFormat="false" ht="26.85" hidden="false" customHeight="false" outlineLevel="0" collapsed="false">
      <c r="A473" s="7" t="n">
        <v>471</v>
      </c>
      <c r="B473" s="7" t="str">
        <f aca="false">IF(I473="Y",IF(COUNTIF(I$3:I473,"Y")&lt;=20,"pilot",IF(COUNTIF(I$3:I473,"Y")&lt;=40,"dev",IF(COUNTIF(I$3:I473,"Y")&lt;=200,"test","extra"))),"")</f>
        <v/>
      </c>
      <c r="C473" s="7" t="str">
        <f aca="false">IF(I473="Y",IF(COUNTA(K473,M473,O473,Q473,S473,U473,W473,Y473,AA473,AC473,AE473)=11,"done","in progress"),IF(I473="N","excluded",""))</f>
        <v/>
      </c>
      <c r="D473" s="7" t="s">
        <v>1194</v>
      </c>
      <c r="E473" s="8" t="s">
        <v>96</v>
      </c>
      <c r="F473" s="9" t="s">
        <v>1195</v>
      </c>
      <c r="G473" s="7" t="s">
        <v>138</v>
      </c>
      <c r="H473" s="7"/>
      <c r="I473" s="10"/>
      <c r="J473" s="10"/>
      <c r="K473" s="10"/>
      <c r="L473" s="11"/>
      <c r="M473" s="10"/>
      <c r="N473" s="11"/>
      <c r="O473" s="10"/>
      <c r="P473" s="11"/>
      <c r="Q473" s="10"/>
      <c r="R473" s="11"/>
      <c r="S473" s="10"/>
      <c r="T473" s="11"/>
      <c r="U473" s="10"/>
      <c r="V473" s="11"/>
      <c r="W473" s="10"/>
      <c r="X473" s="11"/>
      <c r="Y473" s="10"/>
      <c r="Z473" s="11"/>
      <c r="AA473" s="10"/>
      <c r="AB473" s="11"/>
      <c r="AC473" s="10"/>
      <c r="AD473" s="11"/>
      <c r="AE473" s="10"/>
      <c r="AF473" s="11"/>
      <c r="AG473" s="11"/>
      <c r="AH473" s="11"/>
      <c r="AI473" s="10"/>
      <c r="AJ473" s="10"/>
    </row>
    <row r="474" customFormat="false" ht="39.55" hidden="false" customHeight="false" outlineLevel="0" collapsed="false">
      <c r="A474" s="7" t="n">
        <v>472</v>
      </c>
      <c r="B474" s="7" t="str">
        <f aca="false">IF(I474="Y",IF(COUNTIF(I$3:I474,"Y")&lt;=20,"pilot",IF(COUNTIF(I$3:I474,"Y")&lt;=40,"dev",IF(COUNTIF(I$3:I474,"Y")&lt;=200,"test","extra"))),"")</f>
        <v/>
      </c>
      <c r="C474" s="7" t="str">
        <f aca="false">IF(I474="Y",IF(COUNTA(K474,M474,O474,Q474,S474,U474,W474,Y474,AA474,AC474,AE474)=11,"done","in progress"),IF(I474="N","excluded",""))</f>
        <v/>
      </c>
      <c r="D474" s="7" t="s">
        <v>1196</v>
      </c>
      <c r="E474" s="8" t="s">
        <v>96</v>
      </c>
      <c r="F474" s="9" t="s">
        <v>1197</v>
      </c>
      <c r="G474" s="7" t="s">
        <v>116</v>
      </c>
      <c r="H474" s="7"/>
      <c r="I474" s="10"/>
      <c r="J474" s="10"/>
      <c r="K474" s="10"/>
      <c r="L474" s="11"/>
      <c r="M474" s="10"/>
      <c r="N474" s="11"/>
      <c r="O474" s="10"/>
      <c r="P474" s="11"/>
      <c r="Q474" s="10"/>
      <c r="R474" s="11"/>
      <c r="S474" s="10"/>
      <c r="T474" s="11"/>
      <c r="U474" s="10"/>
      <c r="V474" s="11"/>
      <c r="W474" s="10"/>
      <c r="X474" s="11"/>
      <c r="Y474" s="10"/>
      <c r="Z474" s="11"/>
      <c r="AA474" s="10"/>
      <c r="AB474" s="11"/>
      <c r="AC474" s="10"/>
      <c r="AD474" s="11"/>
      <c r="AE474" s="10"/>
      <c r="AF474" s="11"/>
      <c r="AG474" s="11"/>
      <c r="AH474" s="11"/>
      <c r="AI474" s="10"/>
      <c r="AJ474" s="10"/>
    </row>
    <row r="475" customFormat="false" ht="39.55" hidden="false" customHeight="false" outlineLevel="0" collapsed="false">
      <c r="A475" s="7" t="n">
        <v>473</v>
      </c>
      <c r="B475" s="7" t="str">
        <f aca="false">IF(I475="Y",IF(COUNTIF(I$3:I475,"Y")&lt;=20,"pilot",IF(COUNTIF(I$3:I475,"Y")&lt;=40,"dev",IF(COUNTIF(I$3:I475,"Y")&lt;=200,"test","extra"))),"")</f>
        <v/>
      </c>
      <c r="C475" s="7" t="str">
        <f aca="false">IF(I475="Y",IF(COUNTA(K475,M475,O475,Q475,S475,U475,W475,Y475,AA475,AC475,AE475)=11,"done","in progress"),IF(I475="N","excluded",""))</f>
        <v/>
      </c>
      <c r="D475" s="7" t="s">
        <v>1198</v>
      </c>
      <c r="E475" s="8" t="s">
        <v>96</v>
      </c>
      <c r="F475" s="9" t="s">
        <v>1199</v>
      </c>
      <c r="G475" s="7" t="s">
        <v>489</v>
      </c>
      <c r="H475" s="7"/>
      <c r="I475" s="10"/>
      <c r="J475" s="10"/>
      <c r="K475" s="10"/>
      <c r="L475" s="11"/>
      <c r="M475" s="10"/>
      <c r="N475" s="11"/>
      <c r="O475" s="10"/>
      <c r="P475" s="11"/>
      <c r="Q475" s="10"/>
      <c r="R475" s="11"/>
      <c r="S475" s="10"/>
      <c r="T475" s="11"/>
      <c r="U475" s="10"/>
      <c r="V475" s="11"/>
      <c r="W475" s="10"/>
      <c r="X475" s="11"/>
      <c r="Y475" s="10"/>
      <c r="Z475" s="11"/>
      <c r="AA475" s="10"/>
      <c r="AB475" s="11"/>
      <c r="AC475" s="10"/>
      <c r="AD475" s="11"/>
      <c r="AE475" s="10"/>
      <c r="AF475" s="11"/>
      <c r="AG475" s="11"/>
      <c r="AH475" s="11"/>
      <c r="AI475" s="10"/>
      <c r="AJ475" s="10"/>
    </row>
    <row r="476" customFormat="false" ht="39.55" hidden="false" customHeight="false" outlineLevel="0" collapsed="false">
      <c r="A476" s="7" t="n">
        <v>474</v>
      </c>
      <c r="B476" s="7" t="str">
        <f aca="false">IF(I476="Y",IF(COUNTIF(I$3:I476,"Y")&lt;=20,"pilot",IF(COUNTIF(I$3:I476,"Y")&lt;=40,"dev",IF(COUNTIF(I$3:I476,"Y")&lt;=200,"test","extra"))),"")</f>
        <v/>
      </c>
      <c r="C476" s="7" t="str">
        <f aca="false">IF(I476="Y",IF(COUNTA(K476,M476,O476,Q476,S476,U476,W476,Y476,AA476,AC476,AE476)=11,"done","in progress"),IF(I476="N","excluded",""))</f>
        <v/>
      </c>
      <c r="D476" s="7" t="s">
        <v>1200</v>
      </c>
      <c r="E476" s="8" t="s">
        <v>96</v>
      </c>
      <c r="F476" s="9" t="s">
        <v>1201</v>
      </c>
      <c r="G476" s="7" t="s">
        <v>116</v>
      </c>
      <c r="H476" s="7"/>
      <c r="I476" s="10"/>
      <c r="J476" s="10"/>
      <c r="K476" s="10"/>
      <c r="L476" s="11"/>
      <c r="M476" s="10"/>
      <c r="N476" s="11"/>
      <c r="O476" s="10"/>
      <c r="P476" s="11"/>
      <c r="Q476" s="10"/>
      <c r="R476" s="11"/>
      <c r="S476" s="10"/>
      <c r="T476" s="11"/>
      <c r="U476" s="10"/>
      <c r="V476" s="11"/>
      <c r="W476" s="10"/>
      <c r="X476" s="11"/>
      <c r="Y476" s="10"/>
      <c r="Z476" s="11"/>
      <c r="AA476" s="10"/>
      <c r="AB476" s="11"/>
      <c r="AC476" s="10"/>
      <c r="AD476" s="11"/>
      <c r="AE476" s="10"/>
      <c r="AF476" s="11"/>
      <c r="AG476" s="11"/>
      <c r="AH476" s="11"/>
      <c r="AI476" s="10"/>
      <c r="AJ476" s="10"/>
    </row>
    <row r="477" customFormat="false" ht="39.55" hidden="false" customHeight="false" outlineLevel="0" collapsed="false">
      <c r="A477" s="7" t="n">
        <v>475</v>
      </c>
      <c r="B477" s="7" t="str">
        <f aca="false">IF(I477="Y",IF(COUNTIF(I$3:I477,"Y")&lt;=20,"pilot",IF(COUNTIF(I$3:I477,"Y")&lt;=40,"dev",IF(COUNTIF(I$3:I477,"Y")&lt;=200,"test","extra"))),"")</f>
        <v/>
      </c>
      <c r="C477" s="7" t="str">
        <f aca="false">IF(I477="Y",IF(COUNTA(K477,M477,O477,Q477,S477,U477,W477,Y477,AA477,AC477,AE477)=11,"done","in progress"),IF(I477="N","excluded",""))</f>
        <v/>
      </c>
      <c r="D477" s="7" t="s">
        <v>1202</v>
      </c>
      <c r="E477" s="8" t="s">
        <v>96</v>
      </c>
      <c r="F477" s="9" t="s">
        <v>1203</v>
      </c>
      <c r="G477" s="7" t="s">
        <v>305</v>
      </c>
      <c r="H477" s="7"/>
      <c r="I477" s="10"/>
      <c r="J477" s="10"/>
      <c r="K477" s="10"/>
      <c r="L477" s="11"/>
      <c r="M477" s="10"/>
      <c r="N477" s="11"/>
      <c r="O477" s="10"/>
      <c r="P477" s="11"/>
      <c r="Q477" s="10"/>
      <c r="R477" s="11"/>
      <c r="S477" s="10"/>
      <c r="T477" s="11"/>
      <c r="U477" s="10"/>
      <c r="V477" s="11"/>
      <c r="W477" s="10"/>
      <c r="X477" s="11"/>
      <c r="Y477" s="10"/>
      <c r="Z477" s="11"/>
      <c r="AA477" s="10"/>
      <c r="AB477" s="11"/>
      <c r="AC477" s="10"/>
      <c r="AD477" s="11"/>
      <c r="AE477" s="10"/>
      <c r="AF477" s="11"/>
      <c r="AG477" s="11"/>
      <c r="AH477" s="11"/>
      <c r="AI477" s="10"/>
      <c r="AJ477" s="10"/>
    </row>
    <row r="478" customFormat="false" ht="39.55" hidden="false" customHeight="false" outlineLevel="0" collapsed="false">
      <c r="A478" s="7" t="n">
        <v>476</v>
      </c>
      <c r="B478" s="7" t="str">
        <f aca="false">IF(I478="Y",IF(COUNTIF(I$3:I478,"Y")&lt;=20,"pilot",IF(COUNTIF(I$3:I478,"Y")&lt;=40,"dev",IF(COUNTIF(I$3:I478,"Y")&lt;=200,"test","extra"))),"")</f>
        <v/>
      </c>
      <c r="C478" s="7" t="str">
        <f aca="false">IF(I478="Y",IF(COUNTA(K478,M478,O478,Q478,S478,U478,W478,Y478,AA478,AC478,AE478)=11,"done","in progress"),IF(I478="N","excluded",""))</f>
        <v/>
      </c>
      <c r="D478" s="7" t="s">
        <v>1204</v>
      </c>
      <c r="E478" s="8" t="s">
        <v>96</v>
      </c>
      <c r="F478" s="9" t="s">
        <v>1205</v>
      </c>
      <c r="G478" s="7" t="s">
        <v>238</v>
      </c>
      <c r="H478" s="7"/>
      <c r="I478" s="10"/>
      <c r="J478" s="10"/>
      <c r="K478" s="10"/>
      <c r="L478" s="11"/>
      <c r="M478" s="10"/>
      <c r="N478" s="11"/>
      <c r="O478" s="10"/>
      <c r="P478" s="11"/>
      <c r="Q478" s="10"/>
      <c r="R478" s="11"/>
      <c r="S478" s="10"/>
      <c r="T478" s="11"/>
      <c r="U478" s="10"/>
      <c r="V478" s="11"/>
      <c r="W478" s="10"/>
      <c r="X478" s="11"/>
      <c r="Y478" s="10"/>
      <c r="Z478" s="11"/>
      <c r="AA478" s="10"/>
      <c r="AB478" s="11"/>
      <c r="AC478" s="10"/>
      <c r="AD478" s="11"/>
      <c r="AE478" s="10"/>
      <c r="AF478" s="11"/>
      <c r="AG478" s="11"/>
      <c r="AH478" s="11"/>
      <c r="AI478" s="10"/>
      <c r="AJ478" s="10"/>
    </row>
    <row r="479" customFormat="false" ht="52.2" hidden="false" customHeight="false" outlineLevel="0" collapsed="false">
      <c r="A479" s="7" t="n">
        <v>477</v>
      </c>
      <c r="B479" s="7" t="str">
        <f aca="false">IF(I479="Y",IF(COUNTIF(I$3:I479,"Y")&lt;=20,"pilot",IF(COUNTIF(I$3:I479,"Y")&lt;=40,"dev",IF(COUNTIF(I$3:I479,"Y")&lt;=200,"test","extra"))),"")</f>
        <v/>
      </c>
      <c r="C479" s="7" t="str">
        <f aca="false">IF(I479="Y",IF(COUNTA(K479,M479,O479,Q479,S479,U479,W479,Y479,AA479,AC479,AE479)=11,"done","in progress"),IF(I479="N","excluded",""))</f>
        <v/>
      </c>
      <c r="D479" s="7" t="s">
        <v>1206</v>
      </c>
      <c r="E479" s="8" t="s">
        <v>96</v>
      </c>
      <c r="F479" s="9" t="s">
        <v>1207</v>
      </c>
      <c r="G479" s="7" t="s">
        <v>104</v>
      </c>
      <c r="H479" s="7"/>
      <c r="I479" s="10"/>
      <c r="J479" s="10"/>
      <c r="K479" s="10"/>
      <c r="L479" s="11"/>
      <c r="M479" s="10"/>
      <c r="N479" s="11"/>
      <c r="O479" s="10"/>
      <c r="P479" s="11"/>
      <c r="Q479" s="10"/>
      <c r="R479" s="11"/>
      <c r="S479" s="10"/>
      <c r="T479" s="11"/>
      <c r="U479" s="10"/>
      <c r="V479" s="11"/>
      <c r="W479" s="10"/>
      <c r="X479" s="11"/>
      <c r="Y479" s="10"/>
      <c r="Z479" s="11"/>
      <c r="AA479" s="10"/>
      <c r="AB479" s="11"/>
      <c r="AC479" s="10"/>
      <c r="AD479" s="11"/>
      <c r="AE479" s="10"/>
      <c r="AF479" s="11"/>
      <c r="AG479" s="11"/>
      <c r="AH479" s="11"/>
      <c r="AI479" s="10"/>
      <c r="AJ479" s="10"/>
    </row>
    <row r="480" customFormat="false" ht="39.55" hidden="false" customHeight="false" outlineLevel="0" collapsed="false">
      <c r="A480" s="7" t="n">
        <v>478</v>
      </c>
      <c r="B480" s="7" t="str">
        <f aca="false">IF(I480="Y",IF(COUNTIF(I$3:I480,"Y")&lt;=20,"pilot",IF(COUNTIF(I$3:I480,"Y")&lt;=40,"dev",IF(COUNTIF(I$3:I480,"Y")&lt;=200,"test","extra"))),"")</f>
        <v/>
      </c>
      <c r="C480" s="7" t="str">
        <f aca="false">IF(I480="Y",IF(COUNTA(K480,M480,O480,Q480,S480,U480,W480,Y480,AA480,AC480,AE480)=11,"done","in progress"),IF(I480="N","excluded",""))</f>
        <v/>
      </c>
      <c r="D480" s="7" t="s">
        <v>1208</v>
      </c>
      <c r="E480" s="8" t="s">
        <v>96</v>
      </c>
      <c r="F480" s="9" t="s">
        <v>1209</v>
      </c>
      <c r="G480" s="7" t="s">
        <v>251</v>
      </c>
      <c r="H480" s="7"/>
      <c r="I480" s="10"/>
      <c r="J480" s="10"/>
      <c r="K480" s="10"/>
      <c r="L480" s="11"/>
      <c r="M480" s="10"/>
      <c r="N480" s="11"/>
      <c r="O480" s="10"/>
      <c r="P480" s="11"/>
      <c r="Q480" s="10"/>
      <c r="R480" s="11"/>
      <c r="S480" s="10"/>
      <c r="T480" s="11"/>
      <c r="U480" s="10"/>
      <c r="V480" s="11"/>
      <c r="W480" s="10"/>
      <c r="X480" s="11"/>
      <c r="Y480" s="10"/>
      <c r="Z480" s="11"/>
      <c r="AA480" s="10"/>
      <c r="AB480" s="11"/>
      <c r="AC480" s="10"/>
      <c r="AD480" s="11"/>
      <c r="AE480" s="10"/>
      <c r="AF480" s="11"/>
      <c r="AG480" s="11"/>
      <c r="AH480" s="11"/>
      <c r="AI480" s="10"/>
      <c r="AJ480" s="10"/>
    </row>
    <row r="481" customFormat="false" ht="39.55" hidden="false" customHeight="false" outlineLevel="0" collapsed="false">
      <c r="A481" s="7" t="n">
        <v>479</v>
      </c>
      <c r="B481" s="7" t="str">
        <f aca="false">IF(I481="Y",IF(COUNTIF(I$3:I481,"Y")&lt;=20,"pilot",IF(COUNTIF(I$3:I481,"Y")&lt;=40,"dev",IF(COUNTIF(I$3:I481,"Y")&lt;=200,"test","extra"))),"")</f>
        <v/>
      </c>
      <c r="C481" s="7" t="str">
        <f aca="false">IF(I481="Y",IF(COUNTA(K481,M481,O481,Q481,S481,U481,W481,Y481,AA481,AC481,AE481)=11,"done","in progress"),IF(I481="N","excluded",""))</f>
        <v/>
      </c>
      <c r="D481" s="7" t="s">
        <v>1210</v>
      </c>
      <c r="E481" s="8" t="s">
        <v>96</v>
      </c>
      <c r="F481" s="9" t="s">
        <v>1211</v>
      </c>
      <c r="G481" s="7" t="s">
        <v>122</v>
      </c>
      <c r="H481" s="7"/>
      <c r="I481" s="10"/>
      <c r="J481" s="10"/>
      <c r="K481" s="10"/>
      <c r="L481" s="11"/>
      <c r="M481" s="10"/>
      <c r="N481" s="11"/>
      <c r="O481" s="10"/>
      <c r="P481" s="11"/>
      <c r="Q481" s="10"/>
      <c r="R481" s="11"/>
      <c r="S481" s="10"/>
      <c r="T481" s="11"/>
      <c r="U481" s="10"/>
      <c r="V481" s="11"/>
      <c r="W481" s="10"/>
      <c r="X481" s="11"/>
      <c r="Y481" s="10"/>
      <c r="Z481" s="11"/>
      <c r="AA481" s="10"/>
      <c r="AB481" s="11"/>
      <c r="AC481" s="10"/>
      <c r="AD481" s="11"/>
      <c r="AE481" s="10"/>
      <c r="AF481" s="11"/>
      <c r="AG481" s="11"/>
      <c r="AH481" s="11"/>
      <c r="AI481" s="10"/>
      <c r="AJ481" s="10"/>
    </row>
    <row r="482" customFormat="false" ht="39.55" hidden="false" customHeight="false" outlineLevel="0" collapsed="false">
      <c r="A482" s="7" t="n">
        <v>480</v>
      </c>
      <c r="B482" s="7" t="str">
        <f aca="false">IF(I482="Y",IF(COUNTIF(I$3:I482,"Y")&lt;=20,"pilot",IF(COUNTIF(I$3:I482,"Y")&lt;=40,"dev",IF(COUNTIF(I$3:I482,"Y")&lt;=200,"test","extra"))),"")</f>
        <v/>
      </c>
      <c r="C482" s="7" t="str">
        <f aca="false">IF(I482="Y",IF(COUNTA(K482,M482,O482,Q482,S482,U482,W482,Y482,AA482,AC482,AE482)=11,"done","in progress"),IF(I482="N","excluded",""))</f>
        <v/>
      </c>
      <c r="D482" s="7" t="s">
        <v>1212</v>
      </c>
      <c r="E482" s="8" t="s">
        <v>96</v>
      </c>
      <c r="F482" s="9" t="s">
        <v>1213</v>
      </c>
      <c r="G482" s="7" t="s">
        <v>116</v>
      </c>
      <c r="H482" s="7"/>
      <c r="I482" s="10"/>
      <c r="J482" s="10"/>
      <c r="K482" s="10"/>
      <c r="L482" s="11"/>
      <c r="M482" s="10"/>
      <c r="N482" s="11"/>
      <c r="O482" s="10"/>
      <c r="P482" s="11"/>
      <c r="Q482" s="10"/>
      <c r="R482" s="11"/>
      <c r="S482" s="10"/>
      <c r="T482" s="11"/>
      <c r="U482" s="10"/>
      <c r="V482" s="11"/>
      <c r="W482" s="10"/>
      <c r="X482" s="11"/>
      <c r="Y482" s="10"/>
      <c r="Z482" s="11"/>
      <c r="AA482" s="10"/>
      <c r="AB482" s="11"/>
      <c r="AC482" s="10"/>
      <c r="AD482" s="11"/>
      <c r="AE482" s="10"/>
      <c r="AF482" s="11"/>
      <c r="AG482" s="11"/>
      <c r="AH482" s="11"/>
      <c r="AI482" s="10"/>
      <c r="AJ482" s="10"/>
    </row>
    <row r="483" customFormat="false" ht="39.55" hidden="false" customHeight="false" outlineLevel="0" collapsed="false">
      <c r="A483" s="7" t="n">
        <v>481</v>
      </c>
      <c r="B483" s="7" t="str">
        <f aca="false">IF(I483="Y",IF(COUNTIF(I$3:I483,"Y")&lt;=20,"pilot",IF(COUNTIF(I$3:I483,"Y")&lt;=40,"dev",IF(COUNTIF(I$3:I483,"Y")&lt;=200,"test","extra"))),"")</f>
        <v/>
      </c>
      <c r="C483" s="7" t="str">
        <f aca="false">IF(I483="Y",IF(COUNTA(K483,M483,O483,Q483,S483,U483,W483,Y483,AA483,AC483,AE483)=11,"done","in progress"),IF(I483="N","excluded",""))</f>
        <v/>
      </c>
      <c r="D483" s="7" t="s">
        <v>1214</v>
      </c>
      <c r="E483" s="8" t="s">
        <v>96</v>
      </c>
      <c r="F483" s="9" t="s">
        <v>1215</v>
      </c>
      <c r="G483" s="7" t="s">
        <v>1082</v>
      </c>
      <c r="H483" s="7"/>
      <c r="I483" s="10"/>
      <c r="J483" s="10"/>
      <c r="K483" s="10"/>
      <c r="L483" s="11"/>
      <c r="M483" s="10"/>
      <c r="N483" s="11"/>
      <c r="O483" s="10"/>
      <c r="P483" s="11"/>
      <c r="Q483" s="10"/>
      <c r="R483" s="11"/>
      <c r="S483" s="10"/>
      <c r="T483" s="11"/>
      <c r="U483" s="10"/>
      <c r="V483" s="11"/>
      <c r="W483" s="10"/>
      <c r="X483" s="11"/>
      <c r="Y483" s="10"/>
      <c r="Z483" s="11"/>
      <c r="AA483" s="10"/>
      <c r="AB483" s="11"/>
      <c r="AC483" s="10"/>
      <c r="AD483" s="11"/>
      <c r="AE483" s="10"/>
      <c r="AF483" s="11"/>
      <c r="AG483" s="11"/>
      <c r="AH483" s="11"/>
      <c r="AI483" s="10"/>
      <c r="AJ483" s="10"/>
    </row>
    <row r="484" customFormat="false" ht="39.55" hidden="false" customHeight="false" outlineLevel="0" collapsed="false">
      <c r="A484" s="7" t="n">
        <v>482</v>
      </c>
      <c r="B484" s="7" t="str">
        <f aca="false">IF(I484="Y",IF(COUNTIF(I$3:I484,"Y")&lt;=20,"pilot",IF(COUNTIF(I$3:I484,"Y")&lt;=40,"dev",IF(COUNTIF(I$3:I484,"Y")&lt;=200,"test","extra"))),"")</f>
        <v/>
      </c>
      <c r="C484" s="7" t="str">
        <f aca="false">IF(I484="Y",IF(COUNTA(K484,M484,O484,Q484,S484,U484,W484,Y484,AA484,AC484,AE484)=11,"done","in progress"),IF(I484="N","excluded",""))</f>
        <v/>
      </c>
      <c r="D484" s="7" t="s">
        <v>1216</v>
      </c>
      <c r="E484" s="8" t="s">
        <v>96</v>
      </c>
      <c r="F484" s="9" t="s">
        <v>1217</v>
      </c>
      <c r="G484" s="7" t="s">
        <v>588</v>
      </c>
      <c r="H484" s="7"/>
      <c r="I484" s="10"/>
      <c r="J484" s="10"/>
      <c r="K484" s="10"/>
      <c r="L484" s="11"/>
      <c r="M484" s="10"/>
      <c r="N484" s="11"/>
      <c r="O484" s="10"/>
      <c r="P484" s="11"/>
      <c r="Q484" s="10"/>
      <c r="R484" s="11"/>
      <c r="S484" s="10"/>
      <c r="T484" s="11"/>
      <c r="U484" s="10"/>
      <c r="V484" s="11"/>
      <c r="W484" s="10"/>
      <c r="X484" s="11"/>
      <c r="Y484" s="10"/>
      <c r="Z484" s="11"/>
      <c r="AA484" s="10"/>
      <c r="AB484" s="11"/>
      <c r="AC484" s="10"/>
      <c r="AD484" s="11"/>
      <c r="AE484" s="10"/>
      <c r="AF484" s="11"/>
      <c r="AG484" s="11"/>
      <c r="AH484" s="11"/>
      <c r="AI484" s="10"/>
      <c r="AJ484" s="10"/>
    </row>
    <row r="485" customFormat="false" ht="52.2" hidden="false" customHeight="false" outlineLevel="0" collapsed="false">
      <c r="A485" s="7" t="n">
        <v>483</v>
      </c>
      <c r="B485" s="7" t="str">
        <f aca="false">IF(I485="Y",IF(COUNTIF(I$3:I485,"Y")&lt;=20,"pilot",IF(COUNTIF(I$3:I485,"Y")&lt;=40,"dev",IF(COUNTIF(I$3:I485,"Y")&lt;=200,"test","extra"))),"")</f>
        <v/>
      </c>
      <c r="C485" s="7" t="str">
        <f aca="false">IF(I485="Y",IF(COUNTA(K485,M485,O485,Q485,S485,U485,W485,Y485,AA485,AC485,AE485)=11,"done","in progress"),IF(I485="N","excluded",""))</f>
        <v/>
      </c>
      <c r="D485" s="7" t="s">
        <v>1218</v>
      </c>
      <c r="E485" s="8" t="s">
        <v>96</v>
      </c>
      <c r="F485" s="9" t="s">
        <v>1219</v>
      </c>
      <c r="G485" s="7" t="s">
        <v>1220</v>
      </c>
      <c r="H485" s="7"/>
      <c r="I485" s="10"/>
      <c r="J485" s="10"/>
      <c r="K485" s="10"/>
      <c r="L485" s="11"/>
      <c r="M485" s="10"/>
      <c r="N485" s="11"/>
      <c r="O485" s="10"/>
      <c r="P485" s="11"/>
      <c r="Q485" s="10"/>
      <c r="R485" s="11"/>
      <c r="S485" s="10"/>
      <c r="T485" s="11"/>
      <c r="U485" s="10"/>
      <c r="V485" s="11"/>
      <c r="W485" s="10"/>
      <c r="X485" s="11"/>
      <c r="Y485" s="10"/>
      <c r="Z485" s="11"/>
      <c r="AA485" s="10"/>
      <c r="AB485" s="11"/>
      <c r="AC485" s="10"/>
      <c r="AD485" s="11"/>
      <c r="AE485" s="10"/>
      <c r="AF485" s="11"/>
      <c r="AG485" s="11"/>
      <c r="AH485" s="11"/>
      <c r="AI485" s="10"/>
      <c r="AJ485" s="10"/>
    </row>
    <row r="486" customFormat="false" ht="26.85" hidden="false" customHeight="false" outlineLevel="0" collapsed="false">
      <c r="A486" s="7" t="n">
        <v>484</v>
      </c>
      <c r="B486" s="7" t="str">
        <f aca="false">IF(I486="Y",IF(COUNTIF(I$3:I486,"Y")&lt;=20,"pilot",IF(COUNTIF(I$3:I486,"Y")&lt;=40,"dev",IF(COUNTIF(I$3:I486,"Y")&lt;=200,"test","extra"))),"")</f>
        <v/>
      </c>
      <c r="C486" s="7" t="str">
        <f aca="false">IF(I486="Y",IF(COUNTA(K486,M486,O486,Q486,S486,U486,W486,Y486,AA486,AC486,AE486)=11,"done","in progress"),IF(I486="N","excluded",""))</f>
        <v/>
      </c>
      <c r="D486" s="7" t="s">
        <v>1221</v>
      </c>
      <c r="E486" s="8" t="s">
        <v>96</v>
      </c>
      <c r="F486" s="9" t="s">
        <v>1222</v>
      </c>
      <c r="G486" s="7" t="s">
        <v>116</v>
      </c>
      <c r="H486" s="7"/>
      <c r="I486" s="10"/>
      <c r="J486" s="10"/>
      <c r="K486" s="10"/>
      <c r="L486" s="11"/>
      <c r="M486" s="10"/>
      <c r="N486" s="11"/>
      <c r="O486" s="10"/>
      <c r="P486" s="11"/>
      <c r="Q486" s="10"/>
      <c r="R486" s="11"/>
      <c r="S486" s="10"/>
      <c r="T486" s="11"/>
      <c r="U486" s="10"/>
      <c r="V486" s="11"/>
      <c r="W486" s="10"/>
      <c r="X486" s="11"/>
      <c r="Y486" s="10"/>
      <c r="Z486" s="11"/>
      <c r="AA486" s="10"/>
      <c r="AB486" s="11"/>
      <c r="AC486" s="10"/>
      <c r="AD486" s="11"/>
      <c r="AE486" s="10"/>
      <c r="AF486" s="11"/>
      <c r="AG486" s="11"/>
      <c r="AH486" s="11"/>
      <c r="AI486" s="10"/>
      <c r="AJ486" s="10"/>
    </row>
    <row r="487" customFormat="false" ht="39.55" hidden="false" customHeight="false" outlineLevel="0" collapsed="false">
      <c r="A487" s="7" t="n">
        <v>485</v>
      </c>
      <c r="B487" s="7" t="str">
        <f aca="false">IF(I487="Y",IF(COUNTIF(I$3:I487,"Y")&lt;=20,"pilot",IF(COUNTIF(I$3:I487,"Y")&lt;=40,"dev",IF(COUNTIF(I$3:I487,"Y")&lt;=200,"test","extra"))),"")</f>
        <v/>
      </c>
      <c r="C487" s="7" t="str">
        <f aca="false">IF(I487="Y",IF(COUNTA(K487,M487,O487,Q487,S487,U487,W487,Y487,AA487,AC487,AE487)=11,"done","in progress"),IF(I487="N","excluded",""))</f>
        <v/>
      </c>
      <c r="D487" s="7" t="s">
        <v>1223</v>
      </c>
      <c r="E487" s="8" t="s">
        <v>96</v>
      </c>
      <c r="F487" s="9" t="s">
        <v>1224</v>
      </c>
      <c r="G487" s="7" t="s">
        <v>98</v>
      </c>
      <c r="H487" s="7"/>
      <c r="I487" s="10"/>
      <c r="J487" s="10"/>
      <c r="K487" s="10"/>
      <c r="L487" s="11"/>
      <c r="M487" s="10"/>
      <c r="N487" s="11"/>
      <c r="O487" s="10"/>
      <c r="P487" s="11"/>
      <c r="Q487" s="10"/>
      <c r="R487" s="11"/>
      <c r="S487" s="10"/>
      <c r="T487" s="11"/>
      <c r="U487" s="10"/>
      <c r="V487" s="11"/>
      <c r="W487" s="10"/>
      <c r="X487" s="11"/>
      <c r="Y487" s="10"/>
      <c r="Z487" s="11"/>
      <c r="AA487" s="10"/>
      <c r="AB487" s="11"/>
      <c r="AC487" s="10"/>
      <c r="AD487" s="11"/>
      <c r="AE487" s="10"/>
      <c r="AF487" s="11"/>
      <c r="AG487" s="11"/>
      <c r="AH487" s="11"/>
      <c r="AI487" s="10"/>
      <c r="AJ487" s="10"/>
    </row>
    <row r="488" customFormat="false" ht="39.55" hidden="false" customHeight="false" outlineLevel="0" collapsed="false">
      <c r="A488" s="7" t="n">
        <v>486</v>
      </c>
      <c r="B488" s="7" t="str">
        <f aca="false">IF(I488="Y",IF(COUNTIF(I$3:I488,"Y")&lt;=20,"pilot",IF(COUNTIF(I$3:I488,"Y")&lt;=40,"dev",IF(COUNTIF(I$3:I488,"Y")&lt;=200,"test","extra"))),"")</f>
        <v/>
      </c>
      <c r="C488" s="7" t="str">
        <f aca="false">IF(I488="Y",IF(COUNTA(K488,M488,O488,Q488,S488,U488,W488,Y488,AA488,AC488,AE488)=11,"done","in progress"),IF(I488="N","excluded",""))</f>
        <v/>
      </c>
      <c r="D488" s="7" t="s">
        <v>1225</v>
      </c>
      <c r="E488" s="8" t="s">
        <v>96</v>
      </c>
      <c r="F488" s="9" t="s">
        <v>1226</v>
      </c>
      <c r="G488" s="7" t="s">
        <v>256</v>
      </c>
      <c r="H488" s="7"/>
      <c r="I488" s="10"/>
      <c r="J488" s="10"/>
      <c r="K488" s="10"/>
      <c r="L488" s="11"/>
      <c r="M488" s="10"/>
      <c r="N488" s="11"/>
      <c r="O488" s="10"/>
      <c r="P488" s="11"/>
      <c r="Q488" s="10"/>
      <c r="R488" s="11"/>
      <c r="S488" s="10"/>
      <c r="T488" s="11"/>
      <c r="U488" s="10"/>
      <c r="V488" s="11"/>
      <c r="W488" s="10"/>
      <c r="X488" s="11"/>
      <c r="Y488" s="10"/>
      <c r="Z488" s="11"/>
      <c r="AA488" s="10"/>
      <c r="AB488" s="11"/>
      <c r="AC488" s="10"/>
      <c r="AD488" s="11"/>
      <c r="AE488" s="10"/>
      <c r="AF488" s="11"/>
      <c r="AG488" s="11"/>
      <c r="AH488" s="11"/>
      <c r="AI488" s="10"/>
      <c r="AJ488" s="10"/>
    </row>
    <row r="489" customFormat="false" ht="52.2" hidden="false" customHeight="false" outlineLevel="0" collapsed="false">
      <c r="A489" s="7" t="n">
        <v>487</v>
      </c>
      <c r="B489" s="7" t="str">
        <f aca="false">IF(I489="Y",IF(COUNTIF(I$3:I489,"Y")&lt;=20,"pilot",IF(COUNTIF(I$3:I489,"Y")&lt;=40,"dev",IF(COUNTIF(I$3:I489,"Y")&lt;=200,"test","extra"))),"")</f>
        <v/>
      </c>
      <c r="C489" s="7" t="str">
        <f aca="false">IF(I489="Y",IF(COUNTA(K489,M489,O489,Q489,S489,U489,W489,Y489,AA489,AC489,AE489)=11,"done","in progress"),IF(I489="N","excluded",""))</f>
        <v/>
      </c>
      <c r="D489" s="7" t="s">
        <v>1227</v>
      </c>
      <c r="E489" s="8" t="s">
        <v>96</v>
      </c>
      <c r="F489" s="9" t="s">
        <v>1228</v>
      </c>
      <c r="G489" s="7" t="s">
        <v>251</v>
      </c>
      <c r="H489" s="7"/>
      <c r="I489" s="10"/>
      <c r="J489" s="10"/>
      <c r="K489" s="10"/>
      <c r="L489" s="11"/>
      <c r="M489" s="10"/>
      <c r="N489" s="11"/>
      <c r="O489" s="10"/>
      <c r="P489" s="11"/>
      <c r="Q489" s="10"/>
      <c r="R489" s="11"/>
      <c r="S489" s="10"/>
      <c r="T489" s="11"/>
      <c r="U489" s="10"/>
      <c r="V489" s="11"/>
      <c r="W489" s="10"/>
      <c r="X489" s="11"/>
      <c r="Y489" s="10"/>
      <c r="Z489" s="11"/>
      <c r="AA489" s="10"/>
      <c r="AB489" s="11"/>
      <c r="AC489" s="10"/>
      <c r="AD489" s="11"/>
      <c r="AE489" s="10"/>
      <c r="AF489" s="11"/>
      <c r="AG489" s="11"/>
      <c r="AH489" s="11"/>
      <c r="AI489" s="10"/>
      <c r="AJ489" s="10"/>
    </row>
    <row r="490" customFormat="false" ht="39.55" hidden="false" customHeight="false" outlineLevel="0" collapsed="false">
      <c r="A490" s="7" t="n">
        <v>488</v>
      </c>
      <c r="B490" s="7" t="str">
        <f aca="false">IF(I490="Y",IF(COUNTIF(I$3:I490,"Y")&lt;=20,"pilot",IF(COUNTIF(I$3:I490,"Y")&lt;=40,"dev",IF(COUNTIF(I$3:I490,"Y")&lt;=200,"test","extra"))),"")</f>
        <v/>
      </c>
      <c r="C490" s="7" t="str">
        <f aca="false">IF(I490="Y",IF(COUNTA(K490,M490,O490,Q490,S490,U490,W490,Y490,AA490,AC490,AE490)=11,"done","in progress"),IF(I490="N","excluded",""))</f>
        <v/>
      </c>
      <c r="D490" s="7" t="s">
        <v>1229</v>
      </c>
      <c r="E490" s="8" t="s">
        <v>96</v>
      </c>
      <c r="F490" s="9" t="s">
        <v>1230</v>
      </c>
      <c r="G490" s="7" t="s">
        <v>113</v>
      </c>
      <c r="H490" s="7"/>
      <c r="I490" s="10"/>
      <c r="J490" s="10"/>
      <c r="K490" s="10"/>
      <c r="L490" s="11"/>
      <c r="M490" s="10"/>
      <c r="N490" s="11"/>
      <c r="O490" s="10"/>
      <c r="P490" s="11"/>
      <c r="Q490" s="10"/>
      <c r="R490" s="11"/>
      <c r="S490" s="10"/>
      <c r="T490" s="11"/>
      <c r="U490" s="10"/>
      <c r="V490" s="11"/>
      <c r="W490" s="10"/>
      <c r="X490" s="11"/>
      <c r="Y490" s="10"/>
      <c r="Z490" s="11"/>
      <c r="AA490" s="10"/>
      <c r="AB490" s="11"/>
      <c r="AC490" s="10"/>
      <c r="AD490" s="11"/>
      <c r="AE490" s="10"/>
      <c r="AF490" s="11"/>
      <c r="AG490" s="11"/>
      <c r="AH490" s="11"/>
      <c r="AI490" s="10"/>
      <c r="AJ490" s="10"/>
    </row>
    <row r="491" customFormat="false" ht="39.55" hidden="false" customHeight="false" outlineLevel="0" collapsed="false">
      <c r="A491" s="7" t="n">
        <v>489</v>
      </c>
      <c r="B491" s="7" t="str">
        <f aca="false">IF(I491="Y",IF(COUNTIF(I$3:I491,"Y")&lt;=20,"pilot",IF(COUNTIF(I$3:I491,"Y")&lt;=40,"dev",IF(COUNTIF(I$3:I491,"Y")&lt;=200,"test","extra"))),"")</f>
        <v/>
      </c>
      <c r="C491" s="7" t="str">
        <f aca="false">IF(I491="Y",IF(COUNTA(K491,M491,O491,Q491,S491,U491,W491,Y491,AA491,AC491,AE491)=11,"done","in progress"),IF(I491="N","excluded",""))</f>
        <v/>
      </c>
      <c r="D491" s="7" t="s">
        <v>1231</v>
      </c>
      <c r="E491" s="8" t="s">
        <v>96</v>
      </c>
      <c r="F491" s="9" t="s">
        <v>1232</v>
      </c>
      <c r="G491" s="7" t="s">
        <v>1233</v>
      </c>
      <c r="H491" s="7" t="s">
        <v>193</v>
      </c>
      <c r="I491" s="10"/>
      <c r="J491" s="10"/>
      <c r="K491" s="10"/>
      <c r="L491" s="11"/>
      <c r="M491" s="10"/>
      <c r="N491" s="11"/>
      <c r="O491" s="10"/>
      <c r="P491" s="11"/>
      <c r="Q491" s="10"/>
      <c r="R491" s="11"/>
      <c r="S491" s="10"/>
      <c r="T491" s="11"/>
      <c r="U491" s="10"/>
      <c r="V491" s="11"/>
      <c r="W491" s="10"/>
      <c r="X491" s="11"/>
      <c r="Y491" s="10"/>
      <c r="Z491" s="11"/>
      <c r="AA491" s="10"/>
      <c r="AB491" s="11"/>
      <c r="AC491" s="10"/>
      <c r="AD491" s="11"/>
      <c r="AE491" s="10"/>
      <c r="AF491" s="11"/>
      <c r="AG491" s="11"/>
      <c r="AH491" s="11"/>
      <c r="AI491" s="10"/>
      <c r="AJ491" s="10"/>
    </row>
    <row r="492" customFormat="false" ht="39.55" hidden="false" customHeight="false" outlineLevel="0" collapsed="false">
      <c r="A492" s="7" t="n">
        <v>490</v>
      </c>
      <c r="B492" s="7" t="str">
        <f aca="false">IF(I492="Y",IF(COUNTIF(I$3:I492,"Y")&lt;=20,"pilot",IF(COUNTIF(I$3:I492,"Y")&lt;=40,"dev",IF(COUNTIF(I$3:I492,"Y")&lt;=200,"test","extra"))),"")</f>
        <v/>
      </c>
      <c r="C492" s="7" t="str">
        <f aca="false">IF(I492="Y",IF(COUNTA(K492,M492,O492,Q492,S492,U492,W492,Y492,AA492,AC492,AE492)=11,"done","in progress"),IF(I492="N","excluded",""))</f>
        <v/>
      </c>
      <c r="D492" s="7" t="s">
        <v>1234</v>
      </c>
      <c r="E492" s="8" t="s">
        <v>96</v>
      </c>
      <c r="F492" s="9" t="s">
        <v>1235</v>
      </c>
      <c r="G492" s="7" t="s">
        <v>133</v>
      </c>
      <c r="H492" s="7"/>
      <c r="I492" s="10"/>
      <c r="J492" s="10"/>
      <c r="K492" s="10"/>
      <c r="L492" s="11"/>
      <c r="M492" s="10"/>
      <c r="N492" s="11"/>
      <c r="O492" s="10"/>
      <c r="P492" s="11"/>
      <c r="Q492" s="10"/>
      <c r="R492" s="11"/>
      <c r="S492" s="10"/>
      <c r="T492" s="11"/>
      <c r="U492" s="10"/>
      <c r="V492" s="11"/>
      <c r="W492" s="10"/>
      <c r="X492" s="11"/>
      <c r="Y492" s="10"/>
      <c r="Z492" s="11"/>
      <c r="AA492" s="10"/>
      <c r="AB492" s="11"/>
      <c r="AC492" s="10"/>
      <c r="AD492" s="11"/>
      <c r="AE492" s="10"/>
      <c r="AF492" s="11"/>
      <c r="AG492" s="11"/>
      <c r="AH492" s="11"/>
      <c r="AI492" s="10"/>
      <c r="AJ492" s="10"/>
    </row>
    <row r="493" customFormat="false" ht="39.55" hidden="false" customHeight="false" outlineLevel="0" collapsed="false">
      <c r="A493" s="7" t="n">
        <v>491</v>
      </c>
      <c r="B493" s="7" t="str">
        <f aca="false">IF(I493="Y",IF(COUNTIF(I$3:I493,"Y")&lt;=20,"pilot",IF(COUNTIF(I$3:I493,"Y")&lt;=40,"dev",IF(COUNTIF(I$3:I493,"Y")&lt;=200,"test","extra"))),"")</f>
        <v/>
      </c>
      <c r="C493" s="7" t="str">
        <f aca="false">IF(I493="Y",IF(COUNTA(K493,M493,O493,Q493,S493,U493,W493,Y493,AA493,AC493,AE493)=11,"done","in progress"),IF(I493="N","excluded",""))</f>
        <v/>
      </c>
      <c r="D493" s="7" t="s">
        <v>1236</v>
      </c>
      <c r="E493" s="8" t="s">
        <v>96</v>
      </c>
      <c r="F493" s="9" t="s">
        <v>1237</v>
      </c>
      <c r="G493" s="7" t="s">
        <v>133</v>
      </c>
      <c r="H493" s="7"/>
      <c r="I493" s="10"/>
      <c r="J493" s="10"/>
      <c r="K493" s="10"/>
      <c r="L493" s="11"/>
      <c r="M493" s="10"/>
      <c r="N493" s="11"/>
      <c r="O493" s="10"/>
      <c r="P493" s="11"/>
      <c r="Q493" s="10"/>
      <c r="R493" s="11"/>
      <c r="S493" s="10"/>
      <c r="T493" s="11"/>
      <c r="U493" s="10"/>
      <c r="V493" s="11"/>
      <c r="W493" s="10"/>
      <c r="X493" s="11"/>
      <c r="Y493" s="10"/>
      <c r="Z493" s="11"/>
      <c r="AA493" s="10"/>
      <c r="AB493" s="11"/>
      <c r="AC493" s="10"/>
      <c r="AD493" s="11"/>
      <c r="AE493" s="10"/>
      <c r="AF493" s="11"/>
      <c r="AG493" s="11"/>
      <c r="AH493" s="11"/>
      <c r="AI493" s="10"/>
      <c r="AJ493" s="10"/>
    </row>
    <row r="494" customFormat="false" ht="39.55" hidden="false" customHeight="false" outlineLevel="0" collapsed="false">
      <c r="A494" s="7" t="n">
        <v>492</v>
      </c>
      <c r="B494" s="7" t="str">
        <f aca="false">IF(I494="Y",IF(COUNTIF(I$3:I494,"Y")&lt;=20,"pilot",IF(COUNTIF(I$3:I494,"Y")&lt;=40,"dev",IF(COUNTIF(I$3:I494,"Y")&lt;=200,"test","extra"))),"")</f>
        <v/>
      </c>
      <c r="C494" s="7" t="str">
        <f aca="false">IF(I494="Y",IF(COUNTA(K494,M494,O494,Q494,S494,U494,W494,Y494,AA494,AC494,AE494)=11,"done","in progress"),IF(I494="N","excluded",""))</f>
        <v/>
      </c>
      <c r="D494" s="7" t="s">
        <v>1238</v>
      </c>
      <c r="E494" s="8" t="s">
        <v>96</v>
      </c>
      <c r="F494" s="9" t="s">
        <v>1239</v>
      </c>
      <c r="G494" s="7" t="s">
        <v>1240</v>
      </c>
      <c r="H494" s="7"/>
      <c r="I494" s="10"/>
      <c r="J494" s="10"/>
      <c r="K494" s="10"/>
      <c r="L494" s="11"/>
      <c r="M494" s="10"/>
      <c r="N494" s="11"/>
      <c r="O494" s="10"/>
      <c r="P494" s="11"/>
      <c r="Q494" s="10"/>
      <c r="R494" s="11"/>
      <c r="S494" s="10"/>
      <c r="T494" s="11"/>
      <c r="U494" s="10"/>
      <c r="V494" s="11"/>
      <c r="W494" s="10"/>
      <c r="X494" s="11"/>
      <c r="Y494" s="10"/>
      <c r="Z494" s="11"/>
      <c r="AA494" s="10"/>
      <c r="AB494" s="11"/>
      <c r="AC494" s="10"/>
      <c r="AD494" s="11"/>
      <c r="AE494" s="10"/>
      <c r="AF494" s="11"/>
      <c r="AG494" s="11"/>
      <c r="AH494" s="11"/>
      <c r="AI494" s="10"/>
      <c r="AJ494" s="10"/>
    </row>
    <row r="495" customFormat="false" ht="39.55" hidden="false" customHeight="false" outlineLevel="0" collapsed="false">
      <c r="A495" s="7" t="n">
        <v>493</v>
      </c>
      <c r="B495" s="7" t="str">
        <f aca="false">IF(I495="Y",IF(COUNTIF(I$3:I495,"Y")&lt;=20,"pilot",IF(COUNTIF(I$3:I495,"Y")&lt;=40,"dev",IF(COUNTIF(I$3:I495,"Y")&lt;=200,"test","extra"))),"")</f>
        <v/>
      </c>
      <c r="C495" s="7" t="str">
        <f aca="false">IF(I495="Y",IF(COUNTA(K495,M495,O495,Q495,S495,U495,W495,Y495,AA495,AC495,AE495)=11,"done","in progress"),IF(I495="N","excluded",""))</f>
        <v/>
      </c>
      <c r="D495" s="7" t="s">
        <v>1241</v>
      </c>
      <c r="E495" s="8" t="s">
        <v>96</v>
      </c>
      <c r="F495" s="9" t="s">
        <v>1242</v>
      </c>
      <c r="G495" s="7" t="s">
        <v>133</v>
      </c>
      <c r="H495" s="7"/>
      <c r="I495" s="10"/>
      <c r="J495" s="10"/>
      <c r="K495" s="10"/>
      <c r="L495" s="11"/>
      <c r="M495" s="10"/>
      <c r="N495" s="11"/>
      <c r="O495" s="10"/>
      <c r="P495" s="11"/>
      <c r="Q495" s="10"/>
      <c r="R495" s="11"/>
      <c r="S495" s="10"/>
      <c r="T495" s="11"/>
      <c r="U495" s="10"/>
      <c r="V495" s="11"/>
      <c r="W495" s="10"/>
      <c r="X495" s="11"/>
      <c r="Y495" s="10"/>
      <c r="Z495" s="11"/>
      <c r="AA495" s="10"/>
      <c r="AB495" s="11"/>
      <c r="AC495" s="10"/>
      <c r="AD495" s="11"/>
      <c r="AE495" s="10"/>
      <c r="AF495" s="11"/>
      <c r="AG495" s="11"/>
      <c r="AH495" s="11"/>
      <c r="AI495" s="10"/>
      <c r="AJ495" s="10"/>
    </row>
    <row r="496" customFormat="false" ht="39.55" hidden="false" customHeight="false" outlineLevel="0" collapsed="false">
      <c r="A496" s="7" t="n">
        <v>494</v>
      </c>
      <c r="B496" s="7" t="str">
        <f aca="false">IF(I496="Y",IF(COUNTIF(I$3:I496,"Y")&lt;=20,"pilot",IF(COUNTIF(I$3:I496,"Y")&lt;=40,"dev",IF(COUNTIF(I$3:I496,"Y")&lt;=200,"test","extra"))),"")</f>
        <v/>
      </c>
      <c r="C496" s="7" t="str">
        <f aca="false">IF(I496="Y",IF(COUNTA(K496,M496,O496,Q496,S496,U496,W496,Y496,AA496,AC496,AE496)=11,"done","in progress"),IF(I496="N","excluded",""))</f>
        <v/>
      </c>
      <c r="D496" s="7" t="s">
        <v>1243</v>
      </c>
      <c r="E496" s="8" t="s">
        <v>96</v>
      </c>
      <c r="F496" s="9" t="s">
        <v>1244</v>
      </c>
      <c r="G496" s="7" t="s">
        <v>138</v>
      </c>
      <c r="H496" s="7"/>
      <c r="I496" s="10"/>
      <c r="J496" s="10"/>
      <c r="K496" s="10"/>
      <c r="L496" s="11"/>
      <c r="M496" s="10"/>
      <c r="N496" s="11"/>
      <c r="O496" s="10"/>
      <c r="P496" s="11"/>
      <c r="Q496" s="10"/>
      <c r="R496" s="11"/>
      <c r="S496" s="10"/>
      <c r="T496" s="11"/>
      <c r="U496" s="10"/>
      <c r="V496" s="11"/>
      <c r="W496" s="10"/>
      <c r="X496" s="11"/>
      <c r="Y496" s="10"/>
      <c r="Z496" s="11"/>
      <c r="AA496" s="10"/>
      <c r="AB496" s="11"/>
      <c r="AC496" s="10"/>
      <c r="AD496" s="11"/>
      <c r="AE496" s="10"/>
      <c r="AF496" s="11"/>
      <c r="AG496" s="11"/>
      <c r="AH496" s="11"/>
      <c r="AI496" s="10"/>
      <c r="AJ496" s="10"/>
    </row>
    <row r="497" customFormat="false" ht="26.85" hidden="false" customHeight="false" outlineLevel="0" collapsed="false">
      <c r="A497" s="7" t="n">
        <v>495</v>
      </c>
      <c r="B497" s="7" t="str">
        <f aca="false">IF(I497="Y",IF(COUNTIF(I$3:I497,"Y")&lt;=20,"pilot",IF(COUNTIF(I$3:I497,"Y")&lt;=40,"dev",IF(COUNTIF(I$3:I497,"Y")&lt;=200,"test","extra"))),"")</f>
        <v/>
      </c>
      <c r="C497" s="7" t="str">
        <f aca="false">IF(I497="Y",IF(COUNTA(K497,M497,O497,Q497,S497,U497,W497,Y497,AA497,AC497,AE497)=11,"done","in progress"),IF(I497="N","excluded",""))</f>
        <v/>
      </c>
      <c r="D497" s="7" t="s">
        <v>1245</v>
      </c>
      <c r="E497" s="8" t="s">
        <v>96</v>
      </c>
      <c r="F497" s="9" t="s">
        <v>1246</v>
      </c>
      <c r="G497" s="7" t="s">
        <v>654</v>
      </c>
      <c r="H497" s="7"/>
      <c r="I497" s="10"/>
      <c r="J497" s="10"/>
      <c r="K497" s="10"/>
      <c r="L497" s="11"/>
      <c r="M497" s="10"/>
      <c r="N497" s="11"/>
      <c r="O497" s="10"/>
      <c r="P497" s="11"/>
      <c r="Q497" s="10"/>
      <c r="R497" s="11"/>
      <c r="S497" s="10"/>
      <c r="T497" s="11"/>
      <c r="U497" s="10"/>
      <c r="V497" s="11"/>
      <c r="W497" s="10"/>
      <c r="X497" s="11"/>
      <c r="Y497" s="10"/>
      <c r="Z497" s="11"/>
      <c r="AA497" s="10"/>
      <c r="AB497" s="11"/>
      <c r="AC497" s="10"/>
      <c r="AD497" s="11"/>
      <c r="AE497" s="10"/>
      <c r="AF497" s="11"/>
      <c r="AG497" s="11"/>
      <c r="AH497" s="11"/>
      <c r="AI497" s="10"/>
      <c r="AJ497" s="10"/>
    </row>
    <row r="498" customFormat="false" ht="52.2" hidden="false" customHeight="false" outlineLevel="0" collapsed="false">
      <c r="A498" s="7" t="n">
        <v>496</v>
      </c>
      <c r="B498" s="7" t="str">
        <f aca="false">IF(I498="Y",IF(COUNTIF(I$3:I498,"Y")&lt;=20,"pilot",IF(COUNTIF(I$3:I498,"Y")&lt;=40,"dev",IF(COUNTIF(I$3:I498,"Y")&lt;=200,"test","extra"))),"")</f>
        <v/>
      </c>
      <c r="C498" s="7" t="str">
        <f aca="false">IF(I498="Y",IF(COUNTA(K498,M498,O498,Q498,S498,U498,W498,Y498,AA498,AC498,AE498)=11,"done","in progress"),IF(I498="N","excluded",""))</f>
        <v/>
      </c>
      <c r="D498" s="7" t="s">
        <v>1247</v>
      </c>
      <c r="E498" s="8" t="s">
        <v>96</v>
      </c>
      <c r="F498" s="9" t="s">
        <v>1248</v>
      </c>
      <c r="G498" s="7" t="s">
        <v>523</v>
      </c>
      <c r="H498" s="7"/>
      <c r="I498" s="10"/>
      <c r="J498" s="10"/>
      <c r="K498" s="10"/>
      <c r="L498" s="11"/>
      <c r="M498" s="10"/>
      <c r="N498" s="11"/>
      <c r="O498" s="10"/>
      <c r="P498" s="11"/>
      <c r="Q498" s="10"/>
      <c r="R498" s="11"/>
      <c r="S498" s="10"/>
      <c r="T498" s="11"/>
      <c r="U498" s="10"/>
      <c r="V498" s="11"/>
      <c r="W498" s="10"/>
      <c r="X498" s="11"/>
      <c r="Y498" s="10"/>
      <c r="Z498" s="11"/>
      <c r="AA498" s="10"/>
      <c r="AB498" s="11"/>
      <c r="AC498" s="10"/>
      <c r="AD498" s="11"/>
      <c r="AE498" s="10"/>
      <c r="AF498" s="11"/>
      <c r="AG498" s="11"/>
      <c r="AH498" s="11"/>
      <c r="AI498" s="10"/>
      <c r="AJ498" s="10"/>
    </row>
    <row r="499" customFormat="false" ht="52.2" hidden="false" customHeight="false" outlineLevel="0" collapsed="false">
      <c r="A499" s="7" t="n">
        <v>497</v>
      </c>
      <c r="B499" s="7" t="str">
        <f aca="false">IF(I499="Y",IF(COUNTIF(I$3:I499,"Y")&lt;=20,"pilot",IF(COUNTIF(I$3:I499,"Y")&lt;=40,"dev",IF(COUNTIF(I$3:I499,"Y")&lt;=200,"test","extra"))),"")</f>
        <v/>
      </c>
      <c r="C499" s="7" t="str">
        <f aca="false">IF(I499="Y",IF(COUNTA(K499,M499,O499,Q499,S499,U499,W499,Y499,AA499,AC499,AE499)=11,"done","in progress"),IF(I499="N","excluded",""))</f>
        <v/>
      </c>
      <c r="D499" s="7" t="s">
        <v>1249</v>
      </c>
      <c r="E499" s="8" t="s">
        <v>96</v>
      </c>
      <c r="F499" s="9" t="s">
        <v>1250</v>
      </c>
      <c r="G499" s="7" t="s">
        <v>104</v>
      </c>
      <c r="H499" s="7"/>
      <c r="I499" s="10"/>
      <c r="J499" s="10"/>
      <c r="K499" s="10"/>
      <c r="L499" s="11"/>
      <c r="M499" s="10"/>
      <c r="N499" s="11"/>
      <c r="O499" s="10"/>
      <c r="P499" s="11"/>
      <c r="Q499" s="10"/>
      <c r="R499" s="11"/>
      <c r="S499" s="10"/>
      <c r="T499" s="11"/>
      <c r="U499" s="10"/>
      <c r="V499" s="11"/>
      <c r="W499" s="10"/>
      <c r="X499" s="11"/>
      <c r="Y499" s="10"/>
      <c r="Z499" s="11"/>
      <c r="AA499" s="10"/>
      <c r="AB499" s="11"/>
      <c r="AC499" s="10"/>
      <c r="AD499" s="11"/>
      <c r="AE499" s="10"/>
      <c r="AF499" s="11"/>
      <c r="AG499" s="11"/>
      <c r="AH499" s="11"/>
      <c r="AI499" s="10"/>
      <c r="AJ499" s="10"/>
    </row>
    <row r="500" customFormat="false" ht="39.55" hidden="false" customHeight="false" outlineLevel="0" collapsed="false">
      <c r="A500" s="7" t="n">
        <v>498</v>
      </c>
      <c r="B500" s="7" t="str">
        <f aca="false">IF(I500="Y",IF(COUNTIF(I$3:I500,"Y")&lt;=20,"pilot",IF(COUNTIF(I$3:I500,"Y")&lt;=40,"dev",IF(COUNTIF(I$3:I500,"Y")&lt;=200,"test","extra"))),"")</f>
        <v/>
      </c>
      <c r="C500" s="7" t="str">
        <f aca="false">IF(I500="Y",IF(COUNTA(K500,M500,O500,Q500,S500,U500,W500,Y500,AA500,AC500,AE500)=11,"done","in progress"),IF(I500="N","excluded",""))</f>
        <v/>
      </c>
      <c r="D500" s="7" t="s">
        <v>1251</v>
      </c>
      <c r="E500" s="8" t="s">
        <v>96</v>
      </c>
      <c r="F500" s="9" t="s">
        <v>1252</v>
      </c>
      <c r="G500" s="7" t="s">
        <v>383</v>
      </c>
      <c r="H500" s="7"/>
      <c r="I500" s="10"/>
      <c r="J500" s="10"/>
      <c r="K500" s="10"/>
      <c r="L500" s="11"/>
      <c r="M500" s="10"/>
      <c r="N500" s="11"/>
      <c r="O500" s="10"/>
      <c r="P500" s="11"/>
      <c r="Q500" s="10"/>
      <c r="R500" s="11"/>
      <c r="S500" s="10"/>
      <c r="T500" s="11"/>
      <c r="U500" s="10"/>
      <c r="V500" s="11"/>
      <c r="W500" s="10"/>
      <c r="X500" s="11"/>
      <c r="Y500" s="10"/>
      <c r="Z500" s="11"/>
      <c r="AA500" s="10"/>
      <c r="AB500" s="11"/>
      <c r="AC500" s="10"/>
      <c r="AD500" s="11"/>
      <c r="AE500" s="10"/>
      <c r="AF500" s="11"/>
      <c r="AG500" s="11"/>
      <c r="AH500" s="11"/>
      <c r="AI500" s="10"/>
      <c r="AJ500" s="10"/>
    </row>
    <row r="501" customFormat="false" ht="39.55" hidden="false" customHeight="false" outlineLevel="0" collapsed="false">
      <c r="A501" s="7" t="n">
        <v>499</v>
      </c>
      <c r="B501" s="7" t="str">
        <f aca="false">IF(I501="Y",IF(COUNTIF(I$3:I501,"Y")&lt;=20,"pilot",IF(COUNTIF(I$3:I501,"Y")&lt;=40,"dev",IF(COUNTIF(I$3:I501,"Y")&lt;=200,"test","extra"))),"")</f>
        <v/>
      </c>
      <c r="C501" s="7" t="str">
        <f aca="false">IF(I501="Y",IF(COUNTA(K501,M501,O501,Q501,S501,U501,W501,Y501,AA501,AC501,AE501)=11,"done","in progress"),IF(I501="N","excluded",""))</f>
        <v/>
      </c>
      <c r="D501" s="7" t="s">
        <v>1253</v>
      </c>
      <c r="E501" s="8" t="s">
        <v>96</v>
      </c>
      <c r="F501" s="9" t="s">
        <v>1254</v>
      </c>
      <c r="G501" s="7" t="s">
        <v>302</v>
      </c>
      <c r="H501" s="7"/>
      <c r="I501" s="10"/>
      <c r="J501" s="10"/>
      <c r="K501" s="10"/>
      <c r="L501" s="11"/>
      <c r="M501" s="10"/>
      <c r="N501" s="11"/>
      <c r="O501" s="10"/>
      <c r="P501" s="11"/>
      <c r="Q501" s="10"/>
      <c r="R501" s="11"/>
      <c r="S501" s="10"/>
      <c r="T501" s="11"/>
      <c r="U501" s="10"/>
      <c r="V501" s="11"/>
      <c r="W501" s="10"/>
      <c r="X501" s="11"/>
      <c r="Y501" s="10"/>
      <c r="Z501" s="11"/>
      <c r="AA501" s="10"/>
      <c r="AB501" s="11"/>
      <c r="AC501" s="10"/>
      <c r="AD501" s="11"/>
      <c r="AE501" s="10"/>
      <c r="AF501" s="11"/>
      <c r="AG501" s="11"/>
      <c r="AH501" s="11"/>
      <c r="AI501" s="10"/>
      <c r="AJ501" s="10"/>
    </row>
    <row r="502" customFormat="false" ht="26.85" hidden="false" customHeight="false" outlineLevel="0" collapsed="false">
      <c r="A502" s="7" t="n">
        <v>500</v>
      </c>
      <c r="B502" s="7" t="str">
        <f aca="false">IF(I502="Y",IF(COUNTIF(I$3:I502,"Y")&lt;=20,"pilot",IF(COUNTIF(I$3:I502,"Y")&lt;=40,"dev",IF(COUNTIF(I$3:I502,"Y")&lt;=200,"test","extra"))),"")</f>
        <v/>
      </c>
      <c r="C502" s="7" t="str">
        <f aca="false">IF(I502="Y",IF(COUNTA(K502,M502,O502,Q502,S502,U502,W502,Y502,AA502,AC502,AE502)=11,"done","in progress"),IF(I502="N","excluded",""))</f>
        <v/>
      </c>
      <c r="D502" s="7" t="s">
        <v>1255</v>
      </c>
      <c r="E502" s="8" t="s">
        <v>96</v>
      </c>
      <c r="F502" s="9" t="s">
        <v>1256</v>
      </c>
      <c r="G502" s="7" t="s">
        <v>305</v>
      </c>
      <c r="H502" s="7"/>
      <c r="I502" s="10"/>
      <c r="J502" s="10"/>
      <c r="K502" s="10"/>
      <c r="L502" s="11"/>
      <c r="M502" s="10"/>
      <c r="N502" s="11"/>
      <c r="O502" s="10"/>
      <c r="P502" s="11"/>
      <c r="Q502" s="10"/>
      <c r="R502" s="11"/>
      <c r="S502" s="10"/>
      <c r="T502" s="11"/>
      <c r="U502" s="10"/>
      <c r="V502" s="11"/>
      <c r="W502" s="10"/>
      <c r="X502" s="11"/>
      <c r="Y502" s="10"/>
      <c r="Z502" s="11"/>
      <c r="AA502" s="10"/>
      <c r="AB502" s="11"/>
      <c r="AC502" s="10"/>
      <c r="AD502" s="11"/>
      <c r="AE502" s="10"/>
      <c r="AF502" s="11"/>
      <c r="AG502" s="11"/>
      <c r="AH502" s="11"/>
      <c r="AI502" s="10"/>
      <c r="AJ502" s="10"/>
    </row>
    <row r="503" customFormat="false" ht="39.55" hidden="false" customHeight="false" outlineLevel="0" collapsed="false">
      <c r="A503" s="7" t="n">
        <v>501</v>
      </c>
      <c r="B503" s="7" t="str">
        <f aca="false">IF(I503="Y",IF(COUNTIF(I$3:I503,"Y")&lt;=20,"pilot",IF(COUNTIF(I$3:I503,"Y")&lt;=40,"dev",IF(COUNTIF(I$3:I503,"Y")&lt;=200,"test","extra"))),"")</f>
        <v/>
      </c>
      <c r="C503" s="7" t="str">
        <f aca="false">IF(I503="Y",IF(COUNTA(K503,M503,O503,Q503,S503,U503,W503,Y503,AA503,AC503,AE503)=11,"done","in progress"),IF(I503="N","excluded",""))</f>
        <v/>
      </c>
      <c r="D503" s="7" t="s">
        <v>1257</v>
      </c>
      <c r="E503" s="8" t="s">
        <v>96</v>
      </c>
      <c r="F503" s="9" t="s">
        <v>1258</v>
      </c>
      <c r="G503" s="7" t="s">
        <v>747</v>
      </c>
      <c r="H503" s="7"/>
      <c r="I503" s="10"/>
      <c r="J503" s="10"/>
      <c r="K503" s="10"/>
      <c r="L503" s="11"/>
      <c r="M503" s="10"/>
      <c r="N503" s="11"/>
      <c r="O503" s="10"/>
      <c r="P503" s="11"/>
      <c r="Q503" s="10"/>
      <c r="R503" s="11"/>
      <c r="S503" s="10"/>
      <c r="T503" s="11"/>
      <c r="U503" s="10"/>
      <c r="V503" s="11"/>
      <c r="W503" s="10"/>
      <c r="X503" s="11"/>
      <c r="Y503" s="10"/>
      <c r="Z503" s="11"/>
      <c r="AA503" s="10"/>
      <c r="AB503" s="11"/>
      <c r="AC503" s="10"/>
      <c r="AD503" s="11"/>
      <c r="AE503" s="10"/>
      <c r="AF503" s="11"/>
      <c r="AG503" s="11"/>
      <c r="AH503" s="11"/>
      <c r="AI503" s="10"/>
      <c r="AJ503" s="10"/>
    </row>
    <row r="504" customFormat="false" ht="52.2" hidden="false" customHeight="false" outlineLevel="0" collapsed="false">
      <c r="A504" s="7" t="n">
        <v>502</v>
      </c>
      <c r="B504" s="7" t="str">
        <f aca="false">IF(I504="Y",IF(COUNTIF(I$3:I504,"Y")&lt;=20,"pilot",IF(COUNTIF(I$3:I504,"Y")&lt;=40,"dev",IF(COUNTIF(I$3:I504,"Y")&lt;=200,"test","extra"))),"")</f>
        <v/>
      </c>
      <c r="C504" s="7" t="str">
        <f aca="false">IF(I504="Y",IF(COUNTA(K504,M504,O504,Q504,S504,U504,W504,Y504,AA504,AC504,AE504)=11,"done","in progress"),IF(I504="N","excluded",""))</f>
        <v/>
      </c>
      <c r="D504" s="7" t="s">
        <v>1259</v>
      </c>
      <c r="E504" s="8" t="s">
        <v>96</v>
      </c>
      <c r="F504" s="9" t="s">
        <v>1260</v>
      </c>
      <c r="G504" s="7" t="s">
        <v>516</v>
      </c>
      <c r="H504" s="7"/>
      <c r="I504" s="10"/>
      <c r="J504" s="10"/>
      <c r="K504" s="10"/>
      <c r="L504" s="11"/>
      <c r="M504" s="10"/>
      <c r="N504" s="11"/>
      <c r="O504" s="10"/>
      <c r="P504" s="11"/>
      <c r="Q504" s="10"/>
      <c r="R504" s="11"/>
      <c r="S504" s="10"/>
      <c r="T504" s="11"/>
      <c r="U504" s="10"/>
      <c r="V504" s="11"/>
      <c r="W504" s="10"/>
      <c r="X504" s="11"/>
      <c r="Y504" s="10"/>
      <c r="Z504" s="11"/>
      <c r="AA504" s="10"/>
      <c r="AB504" s="11"/>
      <c r="AC504" s="10"/>
      <c r="AD504" s="11"/>
      <c r="AE504" s="10"/>
      <c r="AF504" s="11"/>
      <c r="AG504" s="11"/>
      <c r="AH504" s="11"/>
      <c r="AI504" s="10"/>
      <c r="AJ504" s="10"/>
    </row>
    <row r="505" customFormat="false" ht="15" hidden="false" customHeight="false" outlineLevel="0" collapsed="false">
      <c r="A505" s="7" t="n">
        <v>503</v>
      </c>
      <c r="B505" s="7" t="str">
        <f aca="false">IF(I505="Y",IF(COUNTIF(I$3:I505,"Y")&lt;=20,"pilot",IF(COUNTIF(I$3:I505,"Y")&lt;=40,"dev",IF(COUNTIF(I$3:I505,"Y")&lt;=200,"test","extra"))),"")</f>
        <v/>
      </c>
      <c r="C505" s="7" t="str">
        <f aca="false">IF(I505="Y",IF(COUNTA(K505,M505,O505,Q505,S505,U505,W505,Y505,AA505,AC505,AE505)=11,"done","in progress"),IF(I505="N","excluded",""))</f>
        <v/>
      </c>
      <c r="D505" s="7" t="s">
        <v>1261</v>
      </c>
      <c r="E505" s="8" t="s">
        <v>96</v>
      </c>
      <c r="F505" s="9" t="s">
        <v>1262</v>
      </c>
      <c r="G505" s="7" t="s">
        <v>1134</v>
      </c>
      <c r="H505" s="7"/>
      <c r="I505" s="10"/>
      <c r="J505" s="10"/>
      <c r="K505" s="10"/>
      <c r="L505" s="11"/>
      <c r="M505" s="10"/>
      <c r="N505" s="11"/>
      <c r="O505" s="10"/>
      <c r="P505" s="11"/>
      <c r="Q505" s="10"/>
      <c r="R505" s="11"/>
      <c r="S505" s="10"/>
      <c r="T505" s="11"/>
      <c r="U505" s="10"/>
      <c r="V505" s="11"/>
      <c r="W505" s="10"/>
      <c r="X505" s="11"/>
      <c r="Y505" s="10"/>
      <c r="Z505" s="11"/>
      <c r="AA505" s="10"/>
      <c r="AB505" s="11"/>
      <c r="AC505" s="10"/>
      <c r="AD505" s="11"/>
      <c r="AE505" s="10"/>
      <c r="AF505" s="11"/>
      <c r="AG505" s="11"/>
      <c r="AH505" s="11"/>
      <c r="AI505" s="10"/>
      <c r="AJ505" s="10"/>
    </row>
    <row r="506" customFormat="false" ht="39.55" hidden="false" customHeight="false" outlineLevel="0" collapsed="false">
      <c r="A506" s="7" t="n">
        <v>504</v>
      </c>
      <c r="B506" s="7" t="str">
        <f aca="false">IF(I506="Y",IF(COUNTIF(I$3:I506,"Y")&lt;=20,"pilot",IF(COUNTIF(I$3:I506,"Y")&lt;=40,"dev",IF(COUNTIF(I$3:I506,"Y")&lt;=200,"test","extra"))),"")</f>
        <v/>
      </c>
      <c r="C506" s="7" t="str">
        <f aca="false">IF(I506="Y",IF(COUNTA(K506,M506,O506,Q506,S506,U506,W506,Y506,AA506,AC506,AE506)=11,"done","in progress"),IF(I506="N","excluded",""))</f>
        <v/>
      </c>
      <c r="D506" s="7" t="s">
        <v>1263</v>
      </c>
      <c r="E506" s="8" t="s">
        <v>96</v>
      </c>
      <c r="F506" s="9" t="s">
        <v>1264</v>
      </c>
      <c r="G506" s="7" t="s">
        <v>171</v>
      </c>
      <c r="H506" s="7"/>
      <c r="I506" s="10"/>
      <c r="J506" s="10"/>
      <c r="K506" s="10"/>
      <c r="L506" s="11"/>
      <c r="M506" s="10"/>
      <c r="N506" s="11"/>
      <c r="O506" s="10"/>
      <c r="P506" s="11"/>
      <c r="Q506" s="10"/>
      <c r="R506" s="11"/>
      <c r="S506" s="10"/>
      <c r="T506" s="11"/>
      <c r="U506" s="10"/>
      <c r="V506" s="11"/>
      <c r="W506" s="10"/>
      <c r="X506" s="11"/>
      <c r="Y506" s="10"/>
      <c r="Z506" s="11"/>
      <c r="AA506" s="10"/>
      <c r="AB506" s="11"/>
      <c r="AC506" s="10"/>
      <c r="AD506" s="11"/>
      <c r="AE506" s="10"/>
      <c r="AF506" s="11"/>
      <c r="AG506" s="11"/>
      <c r="AH506" s="11"/>
      <c r="AI506" s="10"/>
      <c r="AJ506" s="10"/>
    </row>
    <row r="507" customFormat="false" ht="39.55" hidden="false" customHeight="false" outlineLevel="0" collapsed="false">
      <c r="A507" s="7" t="n">
        <v>505</v>
      </c>
      <c r="B507" s="7" t="str">
        <f aca="false">IF(I507="Y",IF(COUNTIF(I$3:I507,"Y")&lt;=20,"pilot",IF(COUNTIF(I$3:I507,"Y")&lt;=40,"dev",IF(COUNTIF(I$3:I507,"Y")&lt;=200,"test","extra"))),"")</f>
        <v/>
      </c>
      <c r="C507" s="7" t="str">
        <f aca="false">IF(I507="Y",IF(COUNTA(K507,M507,O507,Q507,S507,U507,W507,Y507,AA507,AC507,AE507)=11,"done","in progress"),IF(I507="N","excluded",""))</f>
        <v/>
      </c>
      <c r="D507" s="7" t="s">
        <v>1265</v>
      </c>
      <c r="E507" s="8" t="s">
        <v>96</v>
      </c>
      <c r="F507" s="9" t="s">
        <v>1266</v>
      </c>
      <c r="G507" s="7" t="s">
        <v>113</v>
      </c>
      <c r="H507" s="7"/>
      <c r="I507" s="10"/>
      <c r="J507" s="10"/>
      <c r="K507" s="10"/>
      <c r="L507" s="11"/>
      <c r="M507" s="10"/>
      <c r="N507" s="11"/>
      <c r="O507" s="10"/>
      <c r="P507" s="11"/>
      <c r="Q507" s="10"/>
      <c r="R507" s="11"/>
      <c r="S507" s="10"/>
      <c r="T507" s="11"/>
      <c r="U507" s="10"/>
      <c r="V507" s="11"/>
      <c r="W507" s="10"/>
      <c r="X507" s="11"/>
      <c r="Y507" s="10"/>
      <c r="Z507" s="11"/>
      <c r="AA507" s="10"/>
      <c r="AB507" s="11"/>
      <c r="AC507" s="10"/>
      <c r="AD507" s="11"/>
      <c r="AE507" s="10"/>
      <c r="AF507" s="11"/>
      <c r="AG507" s="11"/>
      <c r="AH507" s="11"/>
      <c r="AI507" s="10"/>
      <c r="AJ507" s="10"/>
    </row>
    <row r="508" customFormat="false" ht="52.2" hidden="false" customHeight="false" outlineLevel="0" collapsed="false">
      <c r="A508" s="7" t="n">
        <v>506</v>
      </c>
      <c r="B508" s="7" t="str">
        <f aca="false">IF(I508="Y",IF(COUNTIF(I$3:I508,"Y")&lt;=20,"pilot",IF(COUNTIF(I$3:I508,"Y")&lt;=40,"dev",IF(COUNTIF(I$3:I508,"Y")&lt;=200,"test","extra"))),"")</f>
        <v/>
      </c>
      <c r="C508" s="7" t="str">
        <f aca="false">IF(I508="Y",IF(COUNTA(K508,M508,O508,Q508,S508,U508,W508,Y508,AA508,AC508,AE508)=11,"done","in progress"),IF(I508="N","excluded",""))</f>
        <v/>
      </c>
      <c r="D508" s="7" t="s">
        <v>1267</v>
      </c>
      <c r="E508" s="8" t="s">
        <v>96</v>
      </c>
      <c r="F508" s="9" t="s">
        <v>1268</v>
      </c>
      <c r="G508" s="7" t="s">
        <v>700</v>
      </c>
      <c r="H508" s="7"/>
      <c r="I508" s="10"/>
      <c r="J508" s="10"/>
      <c r="K508" s="10"/>
      <c r="L508" s="11"/>
      <c r="M508" s="10"/>
      <c r="N508" s="11"/>
      <c r="O508" s="10"/>
      <c r="P508" s="11"/>
      <c r="Q508" s="10"/>
      <c r="R508" s="11"/>
      <c r="S508" s="10"/>
      <c r="T508" s="11"/>
      <c r="U508" s="10"/>
      <c r="V508" s="11"/>
      <c r="W508" s="10"/>
      <c r="X508" s="11"/>
      <c r="Y508" s="10"/>
      <c r="Z508" s="11"/>
      <c r="AA508" s="10"/>
      <c r="AB508" s="11"/>
      <c r="AC508" s="10"/>
      <c r="AD508" s="11"/>
      <c r="AE508" s="10"/>
      <c r="AF508" s="11"/>
      <c r="AG508" s="11"/>
      <c r="AH508" s="11"/>
      <c r="AI508" s="10"/>
      <c r="AJ508" s="10"/>
    </row>
    <row r="509" customFormat="false" ht="39.55" hidden="false" customHeight="false" outlineLevel="0" collapsed="false">
      <c r="A509" s="7" t="n">
        <v>507</v>
      </c>
      <c r="B509" s="7" t="str">
        <f aca="false">IF(I509="Y",IF(COUNTIF(I$3:I509,"Y")&lt;=20,"pilot",IF(COUNTIF(I$3:I509,"Y")&lt;=40,"dev",IF(COUNTIF(I$3:I509,"Y")&lt;=200,"test","extra"))),"")</f>
        <v/>
      </c>
      <c r="C509" s="7" t="str">
        <f aca="false">IF(I509="Y",IF(COUNTA(K509,M509,O509,Q509,S509,U509,W509,Y509,AA509,AC509,AE509)=11,"done","in progress"),IF(I509="N","excluded",""))</f>
        <v/>
      </c>
      <c r="D509" s="7" t="s">
        <v>1269</v>
      </c>
      <c r="E509" s="8" t="s">
        <v>96</v>
      </c>
      <c r="F509" s="9" t="s">
        <v>1270</v>
      </c>
      <c r="G509" s="7" t="s">
        <v>107</v>
      </c>
      <c r="H509" s="7"/>
      <c r="I509" s="10"/>
      <c r="J509" s="10"/>
      <c r="K509" s="10"/>
      <c r="L509" s="11"/>
      <c r="M509" s="10"/>
      <c r="N509" s="11"/>
      <c r="O509" s="10"/>
      <c r="P509" s="11"/>
      <c r="Q509" s="10"/>
      <c r="R509" s="11"/>
      <c r="S509" s="10"/>
      <c r="T509" s="11"/>
      <c r="U509" s="10"/>
      <c r="V509" s="11"/>
      <c r="W509" s="10"/>
      <c r="X509" s="11"/>
      <c r="Y509" s="10"/>
      <c r="Z509" s="11"/>
      <c r="AA509" s="10"/>
      <c r="AB509" s="11"/>
      <c r="AC509" s="10"/>
      <c r="AD509" s="11"/>
      <c r="AE509" s="10"/>
      <c r="AF509" s="11"/>
      <c r="AG509" s="11"/>
      <c r="AH509" s="11"/>
      <c r="AI509" s="10"/>
      <c r="AJ509" s="10"/>
    </row>
    <row r="510" customFormat="false" ht="26.85" hidden="false" customHeight="false" outlineLevel="0" collapsed="false">
      <c r="A510" s="7" t="n">
        <v>508</v>
      </c>
      <c r="B510" s="7" t="str">
        <f aca="false">IF(I510="Y",IF(COUNTIF(I$3:I510,"Y")&lt;=20,"pilot",IF(COUNTIF(I$3:I510,"Y")&lt;=40,"dev",IF(COUNTIF(I$3:I510,"Y")&lt;=200,"test","extra"))),"")</f>
        <v/>
      </c>
      <c r="C510" s="7" t="str">
        <f aca="false">IF(I510="Y",IF(COUNTA(K510,M510,O510,Q510,S510,U510,W510,Y510,AA510,AC510,AE510)=11,"done","in progress"),IF(I510="N","excluded",""))</f>
        <v/>
      </c>
      <c r="D510" s="7" t="s">
        <v>1271</v>
      </c>
      <c r="E510" s="8" t="s">
        <v>96</v>
      </c>
      <c r="F510" s="9" t="s">
        <v>1272</v>
      </c>
      <c r="G510" s="7" t="s">
        <v>925</v>
      </c>
      <c r="H510" s="7" t="s">
        <v>929</v>
      </c>
      <c r="I510" s="10"/>
      <c r="J510" s="10"/>
      <c r="K510" s="10"/>
      <c r="L510" s="11"/>
      <c r="M510" s="10"/>
      <c r="N510" s="11"/>
      <c r="O510" s="10"/>
      <c r="P510" s="11"/>
      <c r="Q510" s="10"/>
      <c r="R510" s="11"/>
      <c r="S510" s="10"/>
      <c r="T510" s="11"/>
      <c r="U510" s="10"/>
      <c r="V510" s="11"/>
      <c r="W510" s="10"/>
      <c r="X510" s="11"/>
      <c r="Y510" s="10"/>
      <c r="Z510" s="11"/>
      <c r="AA510" s="10"/>
      <c r="AB510" s="11"/>
      <c r="AC510" s="10"/>
      <c r="AD510" s="11"/>
      <c r="AE510" s="10"/>
      <c r="AF510" s="11"/>
      <c r="AG510" s="11"/>
      <c r="AH510" s="11"/>
      <c r="AI510" s="10"/>
      <c r="AJ510" s="10"/>
    </row>
    <row r="511" customFormat="false" ht="39.55" hidden="false" customHeight="false" outlineLevel="0" collapsed="false">
      <c r="A511" s="7" t="n">
        <v>509</v>
      </c>
      <c r="B511" s="7" t="str">
        <f aca="false">IF(I511="Y",IF(COUNTIF(I$3:I511,"Y")&lt;=20,"pilot",IF(COUNTIF(I$3:I511,"Y")&lt;=40,"dev",IF(COUNTIF(I$3:I511,"Y")&lt;=200,"test","extra"))),"")</f>
        <v/>
      </c>
      <c r="C511" s="7" t="str">
        <f aca="false">IF(I511="Y",IF(COUNTA(K511,M511,O511,Q511,S511,U511,W511,Y511,AA511,AC511,AE511)=11,"done","in progress"),IF(I511="N","excluded",""))</f>
        <v/>
      </c>
      <c r="D511" s="7" t="s">
        <v>1273</v>
      </c>
      <c r="E511" s="8" t="s">
        <v>96</v>
      </c>
      <c r="F511" s="9" t="s">
        <v>1274</v>
      </c>
      <c r="G511" s="7" t="s">
        <v>133</v>
      </c>
      <c r="H511" s="7"/>
      <c r="I511" s="10"/>
      <c r="J511" s="10"/>
      <c r="K511" s="10"/>
      <c r="L511" s="11"/>
      <c r="M511" s="10"/>
      <c r="N511" s="11"/>
      <c r="O511" s="10"/>
      <c r="P511" s="11"/>
      <c r="Q511" s="10"/>
      <c r="R511" s="11"/>
      <c r="S511" s="10"/>
      <c r="T511" s="11"/>
      <c r="U511" s="10"/>
      <c r="V511" s="11"/>
      <c r="W511" s="10"/>
      <c r="X511" s="11"/>
      <c r="Y511" s="10"/>
      <c r="Z511" s="11"/>
      <c r="AA511" s="10"/>
      <c r="AB511" s="11"/>
      <c r="AC511" s="10"/>
      <c r="AD511" s="11"/>
      <c r="AE511" s="10"/>
      <c r="AF511" s="11"/>
      <c r="AG511" s="11"/>
      <c r="AH511" s="11"/>
      <c r="AI511" s="10"/>
      <c r="AJ511" s="10"/>
    </row>
    <row r="512" customFormat="false" ht="39.55" hidden="false" customHeight="false" outlineLevel="0" collapsed="false">
      <c r="A512" s="7" t="n">
        <v>510</v>
      </c>
      <c r="B512" s="7" t="str">
        <f aca="false">IF(I512="Y",IF(COUNTIF(I$3:I512,"Y")&lt;=20,"pilot",IF(COUNTIF(I$3:I512,"Y")&lt;=40,"dev",IF(COUNTIF(I$3:I512,"Y")&lt;=200,"test","extra"))),"")</f>
        <v/>
      </c>
      <c r="C512" s="7" t="str">
        <f aca="false">IF(I512="Y",IF(COUNTA(K512,M512,O512,Q512,S512,U512,W512,Y512,AA512,AC512,AE512)=11,"done","in progress"),IF(I512="N","excluded",""))</f>
        <v/>
      </c>
      <c r="D512" s="7" t="s">
        <v>1275</v>
      </c>
      <c r="E512" s="8" t="s">
        <v>96</v>
      </c>
      <c r="F512" s="9" t="s">
        <v>1276</v>
      </c>
      <c r="G512" s="7" t="s">
        <v>133</v>
      </c>
      <c r="H512" s="7"/>
      <c r="I512" s="10"/>
      <c r="J512" s="10"/>
      <c r="K512" s="10"/>
      <c r="L512" s="11"/>
      <c r="M512" s="10"/>
      <c r="N512" s="11"/>
      <c r="O512" s="10"/>
      <c r="P512" s="11"/>
      <c r="Q512" s="10"/>
      <c r="R512" s="11"/>
      <c r="S512" s="10"/>
      <c r="T512" s="11"/>
      <c r="U512" s="10"/>
      <c r="V512" s="11"/>
      <c r="W512" s="10"/>
      <c r="X512" s="11"/>
      <c r="Y512" s="10"/>
      <c r="Z512" s="11"/>
      <c r="AA512" s="10"/>
      <c r="AB512" s="11"/>
      <c r="AC512" s="10"/>
      <c r="AD512" s="11"/>
      <c r="AE512" s="10"/>
      <c r="AF512" s="11"/>
      <c r="AG512" s="11"/>
      <c r="AH512" s="11"/>
      <c r="AI512" s="10"/>
      <c r="AJ512" s="10"/>
    </row>
    <row r="513" customFormat="false" ht="52.2" hidden="false" customHeight="false" outlineLevel="0" collapsed="false">
      <c r="A513" s="7" t="n">
        <v>511</v>
      </c>
      <c r="B513" s="7" t="str">
        <f aca="false">IF(I513="Y",IF(COUNTIF(I$3:I513,"Y")&lt;=20,"pilot",IF(COUNTIF(I$3:I513,"Y")&lt;=40,"dev",IF(COUNTIF(I$3:I513,"Y")&lt;=200,"test","extra"))),"")</f>
        <v/>
      </c>
      <c r="C513" s="7" t="str">
        <f aca="false">IF(I513="Y",IF(COUNTA(K513,M513,O513,Q513,S513,U513,W513,Y513,AA513,AC513,AE513)=11,"done","in progress"),IF(I513="N","excluded",""))</f>
        <v/>
      </c>
      <c r="D513" s="7" t="s">
        <v>1277</v>
      </c>
      <c r="E513" s="8" t="s">
        <v>96</v>
      </c>
      <c r="F513" s="9" t="s">
        <v>1278</v>
      </c>
      <c r="G513" s="7" t="s">
        <v>1279</v>
      </c>
      <c r="H513" s="7"/>
      <c r="I513" s="10"/>
      <c r="J513" s="10"/>
      <c r="K513" s="10"/>
      <c r="L513" s="11"/>
      <c r="M513" s="10"/>
      <c r="N513" s="11"/>
      <c r="O513" s="10"/>
      <c r="P513" s="11"/>
      <c r="Q513" s="10"/>
      <c r="R513" s="11"/>
      <c r="S513" s="10"/>
      <c r="T513" s="11"/>
      <c r="U513" s="10"/>
      <c r="V513" s="11"/>
      <c r="W513" s="10"/>
      <c r="X513" s="11"/>
      <c r="Y513" s="10"/>
      <c r="Z513" s="11"/>
      <c r="AA513" s="10"/>
      <c r="AB513" s="11"/>
      <c r="AC513" s="10"/>
      <c r="AD513" s="11"/>
      <c r="AE513" s="10"/>
      <c r="AF513" s="11"/>
      <c r="AG513" s="11"/>
      <c r="AH513" s="11"/>
      <c r="AI513" s="10"/>
      <c r="AJ513" s="10"/>
    </row>
    <row r="514" customFormat="false" ht="52.2" hidden="false" customHeight="false" outlineLevel="0" collapsed="false">
      <c r="A514" s="7" t="n">
        <v>512</v>
      </c>
      <c r="B514" s="7" t="str">
        <f aca="false">IF(I514="Y",IF(COUNTIF(I$3:I514,"Y")&lt;=20,"pilot",IF(COUNTIF(I$3:I514,"Y")&lt;=40,"dev",IF(COUNTIF(I$3:I514,"Y")&lt;=200,"test","extra"))),"")</f>
        <v/>
      </c>
      <c r="C514" s="7" t="str">
        <f aca="false">IF(I514="Y",IF(COUNTA(K514,M514,O514,Q514,S514,U514,W514,Y514,AA514,AC514,AE514)=11,"done","in progress"),IF(I514="N","excluded",""))</f>
        <v/>
      </c>
      <c r="D514" s="7" t="s">
        <v>1280</v>
      </c>
      <c r="E514" s="8" t="s">
        <v>96</v>
      </c>
      <c r="F514" s="9" t="s">
        <v>1281</v>
      </c>
      <c r="G514" s="7" t="s">
        <v>1282</v>
      </c>
      <c r="H514" s="7"/>
      <c r="I514" s="10"/>
      <c r="J514" s="10"/>
      <c r="K514" s="10"/>
      <c r="L514" s="11"/>
      <c r="M514" s="10"/>
      <c r="N514" s="11"/>
      <c r="O514" s="10"/>
      <c r="P514" s="11"/>
      <c r="Q514" s="10"/>
      <c r="R514" s="11"/>
      <c r="S514" s="10"/>
      <c r="T514" s="11"/>
      <c r="U514" s="10"/>
      <c r="V514" s="11"/>
      <c r="W514" s="10"/>
      <c r="X514" s="11"/>
      <c r="Y514" s="10"/>
      <c r="Z514" s="11"/>
      <c r="AA514" s="10"/>
      <c r="AB514" s="11"/>
      <c r="AC514" s="10"/>
      <c r="AD514" s="11"/>
      <c r="AE514" s="10"/>
      <c r="AF514" s="11"/>
      <c r="AG514" s="11"/>
      <c r="AH514" s="11"/>
      <c r="AI514" s="10"/>
      <c r="AJ514" s="10"/>
    </row>
    <row r="515" customFormat="false" ht="39.55" hidden="false" customHeight="false" outlineLevel="0" collapsed="false">
      <c r="A515" s="7" t="n">
        <v>513</v>
      </c>
      <c r="B515" s="7" t="str">
        <f aca="false">IF(I515="Y",IF(COUNTIF(I$3:I515,"Y")&lt;=20,"pilot",IF(COUNTIF(I$3:I515,"Y")&lt;=40,"dev",IF(COUNTIF(I$3:I515,"Y")&lt;=200,"test","extra"))),"")</f>
        <v/>
      </c>
      <c r="C515" s="7" t="str">
        <f aca="false">IF(I515="Y",IF(COUNTA(K515,M515,O515,Q515,S515,U515,W515,Y515,AA515,AC515,AE515)=11,"done","in progress"),IF(I515="N","excluded",""))</f>
        <v/>
      </c>
      <c r="D515" s="7" t="s">
        <v>1283</v>
      </c>
      <c r="E515" s="8" t="s">
        <v>96</v>
      </c>
      <c r="F515" s="9" t="s">
        <v>1284</v>
      </c>
      <c r="G515" s="7" t="s">
        <v>104</v>
      </c>
      <c r="H515" s="7" t="s">
        <v>495</v>
      </c>
      <c r="I515" s="10"/>
      <c r="J515" s="10"/>
      <c r="K515" s="10"/>
      <c r="L515" s="11"/>
      <c r="M515" s="10"/>
      <c r="N515" s="11"/>
      <c r="O515" s="10"/>
      <c r="P515" s="11"/>
      <c r="Q515" s="10"/>
      <c r="R515" s="11"/>
      <c r="S515" s="10"/>
      <c r="T515" s="11"/>
      <c r="U515" s="10"/>
      <c r="V515" s="11"/>
      <c r="W515" s="10"/>
      <c r="X515" s="11"/>
      <c r="Y515" s="10"/>
      <c r="Z515" s="11"/>
      <c r="AA515" s="10"/>
      <c r="AB515" s="11"/>
      <c r="AC515" s="10"/>
      <c r="AD515" s="11"/>
      <c r="AE515" s="10"/>
      <c r="AF515" s="11"/>
      <c r="AG515" s="11"/>
      <c r="AH515" s="11"/>
      <c r="AI515" s="10"/>
      <c r="AJ515" s="10"/>
    </row>
    <row r="516" customFormat="false" ht="39.55" hidden="false" customHeight="false" outlineLevel="0" collapsed="false">
      <c r="A516" s="7" t="n">
        <v>514</v>
      </c>
      <c r="B516" s="7" t="str">
        <f aca="false">IF(I516="Y",IF(COUNTIF(I$3:I516,"Y")&lt;=20,"pilot",IF(COUNTIF(I$3:I516,"Y")&lt;=40,"dev",IF(COUNTIF(I$3:I516,"Y")&lt;=200,"test","extra"))),"")</f>
        <v/>
      </c>
      <c r="C516" s="7" t="str">
        <f aca="false">IF(I516="Y",IF(COUNTA(K516,M516,O516,Q516,S516,U516,W516,Y516,AA516,AC516,AE516)=11,"done","in progress"),IF(I516="N","excluded",""))</f>
        <v/>
      </c>
      <c r="D516" s="7" t="s">
        <v>1285</v>
      </c>
      <c r="E516" s="8" t="s">
        <v>96</v>
      </c>
      <c r="F516" s="9" t="s">
        <v>1286</v>
      </c>
      <c r="G516" s="7" t="s">
        <v>125</v>
      </c>
      <c r="H516" s="7"/>
      <c r="I516" s="10"/>
      <c r="J516" s="10"/>
      <c r="K516" s="10"/>
      <c r="L516" s="11"/>
      <c r="M516" s="10"/>
      <c r="N516" s="11"/>
      <c r="O516" s="10"/>
      <c r="P516" s="11"/>
      <c r="Q516" s="10"/>
      <c r="R516" s="11"/>
      <c r="S516" s="10"/>
      <c r="T516" s="11"/>
      <c r="U516" s="10"/>
      <c r="V516" s="11"/>
      <c r="W516" s="10"/>
      <c r="X516" s="11"/>
      <c r="Y516" s="10"/>
      <c r="Z516" s="11"/>
      <c r="AA516" s="10"/>
      <c r="AB516" s="11"/>
      <c r="AC516" s="10"/>
      <c r="AD516" s="11"/>
      <c r="AE516" s="10"/>
      <c r="AF516" s="11"/>
      <c r="AG516" s="11"/>
      <c r="AH516" s="11"/>
      <c r="AI516" s="10"/>
      <c r="AJ516" s="10"/>
    </row>
    <row r="517" customFormat="false" ht="26.85" hidden="false" customHeight="false" outlineLevel="0" collapsed="false">
      <c r="A517" s="7" t="n">
        <v>515</v>
      </c>
      <c r="B517" s="7" t="str">
        <f aca="false">IF(I517="Y",IF(COUNTIF(I$3:I517,"Y")&lt;=20,"pilot",IF(COUNTIF(I$3:I517,"Y")&lt;=40,"dev",IF(COUNTIF(I$3:I517,"Y")&lt;=200,"test","extra"))),"")</f>
        <v/>
      </c>
      <c r="C517" s="7" t="str">
        <f aca="false">IF(I517="Y",IF(COUNTA(K517,M517,O517,Q517,S517,U517,W517,Y517,AA517,AC517,AE517)=11,"done","in progress"),IF(I517="N","excluded",""))</f>
        <v/>
      </c>
      <c r="D517" s="7" t="s">
        <v>1287</v>
      </c>
      <c r="E517" s="8" t="s">
        <v>96</v>
      </c>
      <c r="F517" s="9" t="s">
        <v>1288</v>
      </c>
      <c r="G517" s="7" t="s">
        <v>98</v>
      </c>
      <c r="H517" s="7"/>
      <c r="I517" s="10"/>
      <c r="J517" s="10"/>
      <c r="K517" s="10"/>
      <c r="L517" s="11"/>
      <c r="M517" s="10"/>
      <c r="N517" s="11"/>
      <c r="O517" s="10"/>
      <c r="P517" s="11"/>
      <c r="Q517" s="10"/>
      <c r="R517" s="11"/>
      <c r="S517" s="10"/>
      <c r="T517" s="11"/>
      <c r="U517" s="10"/>
      <c r="V517" s="11"/>
      <c r="W517" s="10"/>
      <c r="X517" s="11"/>
      <c r="Y517" s="10"/>
      <c r="Z517" s="11"/>
      <c r="AA517" s="10"/>
      <c r="AB517" s="11"/>
      <c r="AC517" s="10"/>
      <c r="AD517" s="11"/>
      <c r="AE517" s="10"/>
      <c r="AF517" s="11"/>
      <c r="AG517" s="11"/>
      <c r="AH517" s="11"/>
      <c r="AI517" s="10"/>
      <c r="AJ517" s="10"/>
    </row>
    <row r="518" customFormat="false" ht="39.55" hidden="false" customHeight="false" outlineLevel="0" collapsed="false">
      <c r="A518" s="7" t="n">
        <v>516</v>
      </c>
      <c r="B518" s="7" t="str">
        <f aca="false">IF(I518="Y",IF(COUNTIF(I$3:I518,"Y")&lt;=20,"pilot",IF(COUNTIF(I$3:I518,"Y")&lt;=40,"dev",IF(COUNTIF(I$3:I518,"Y")&lt;=200,"test","extra"))),"")</f>
        <v/>
      </c>
      <c r="C518" s="7" t="str">
        <f aca="false">IF(I518="Y",IF(COUNTA(K518,M518,O518,Q518,S518,U518,W518,Y518,AA518,AC518,AE518)=11,"done","in progress"),IF(I518="N","excluded",""))</f>
        <v/>
      </c>
      <c r="D518" s="7" t="s">
        <v>1289</v>
      </c>
      <c r="E518" s="8" t="s">
        <v>96</v>
      </c>
      <c r="F518" s="9" t="s">
        <v>1290</v>
      </c>
      <c r="G518" s="7" t="s">
        <v>171</v>
      </c>
      <c r="H518" s="7"/>
      <c r="I518" s="10"/>
      <c r="J518" s="10"/>
      <c r="K518" s="10"/>
      <c r="L518" s="11"/>
      <c r="M518" s="10"/>
      <c r="N518" s="11"/>
      <c r="O518" s="10"/>
      <c r="P518" s="11"/>
      <c r="Q518" s="10"/>
      <c r="R518" s="11"/>
      <c r="S518" s="10"/>
      <c r="T518" s="11"/>
      <c r="U518" s="10"/>
      <c r="V518" s="11"/>
      <c r="W518" s="10"/>
      <c r="X518" s="11"/>
      <c r="Y518" s="10"/>
      <c r="Z518" s="11"/>
      <c r="AA518" s="10"/>
      <c r="AB518" s="11"/>
      <c r="AC518" s="10"/>
      <c r="AD518" s="11"/>
      <c r="AE518" s="10"/>
      <c r="AF518" s="11"/>
      <c r="AG518" s="11"/>
      <c r="AH518" s="11"/>
      <c r="AI518" s="10"/>
      <c r="AJ518" s="10"/>
    </row>
    <row r="519" customFormat="false" ht="39.55" hidden="false" customHeight="false" outlineLevel="0" collapsed="false">
      <c r="A519" s="7" t="n">
        <v>517</v>
      </c>
      <c r="B519" s="7" t="str">
        <f aca="false">IF(I519="Y",IF(COUNTIF(I$3:I519,"Y")&lt;=20,"pilot",IF(COUNTIF(I$3:I519,"Y")&lt;=40,"dev",IF(COUNTIF(I$3:I519,"Y")&lt;=200,"test","extra"))),"")</f>
        <v/>
      </c>
      <c r="C519" s="7" t="str">
        <f aca="false">IF(I519="Y",IF(COUNTA(K519,M519,O519,Q519,S519,U519,W519,Y519,AA519,AC519,AE519)=11,"done","in progress"),IF(I519="N","excluded",""))</f>
        <v/>
      </c>
      <c r="D519" s="7" t="s">
        <v>1291</v>
      </c>
      <c r="E519" s="8" t="s">
        <v>96</v>
      </c>
      <c r="F519" s="9" t="s">
        <v>1292</v>
      </c>
      <c r="G519" s="7" t="s">
        <v>125</v>
      </c>
      <c r="H519" s="7"/>
      <c r="I519" s="10"/>
      <c r="J519" s="10"/>
      <c r="K519" s="10"/>
      <c r="L519" s="11"/>
      <c r="M519" s="10"/>
      <c r="N519" s="11"/>
      <c r="O519" s="10"/>
      <c r="P519" s="11"/>
      <c r="Q519" s="10"/>
      <c r="R519" s="11"/>
      <c r="S519" s="10"/>
      <c r="T519" s="11"/>
      <c r="U519" s="10"/>
      <c r="V519" s="11"/>
      <c r="W519" s="10"/>
      <c r="X519" s="11"/>
      <c r="Y519" s="10"/>
      <c r="Z519" s="11"/>
      <c r="AA519" s="10"/>
      <c r="AB519" s="11"/>
      <c r="AC519" s="10"/>
      <c r="AD519" s="11"/>
      <c r="AE519" s="10"/>
      <c r="AF519" s="11"/>
      <c r="AG519" s="11"/>
      <c r="AH519" s="11"/>
      <c r="AI519" s="10"/>
      <c r="AJ519" s="10"/>
    </row>
    <row r="520" customFormat="false" ht="39.55" hidden="false" customHeight="false" outlineLevel="0" collapsed="false">
      <c r="A520" s="7" t="n">
        <v>518</v>
      </c>
      <c r="B520" s="7" t="str">
        <f aca="false">IF(I520="Y",IF(COUNTIF(I$3:I520,"Y")&lt;=20,"pilot",IF(COUNTIF(I$3:I520,"Y")&lt;=40,"dev",IF(COUNTIF(I$3:I520,"Y")&lt;=200,"test","extra"))),"")</f>
        <v/>
      </c>
      <c r="C520" s="7" t="str">
        <f aca="false">IF(I520="Y",IF(COUNTA(K520,M520,O520,Q520,S520,U520,W520,Y520,AA520,AC520,AE520)=11,"done","in progress"),IF(I520="N","excluded",""))</f>
        <v/>
      </c>
      <c r="D520" s="7" t="s">
        <v>1293</v>
      </c>
      <c r="E520" s="8" t="s">
        <v>96</v>
      </c>
      <c r="F520" s="9" t="s">
        <v>1294</v>
      </c>
      <c r="G520" s="7" t="s">
        <v>166</v>
      </c>
      <c r="H520" s="7"/>
      <c r="I520" s="10"/>
      <c r="J520" s="10"/>
      <c r="K520" s="10"/>
      <c r="L520" s="11"/>
      <c r="M520" s="10"/>
      <c r="N520" s="11"/>
      <c r="O520" s="10"/>
      <c r="P520" s="11"/>
      <c r="Q520" s="10"/>
      <c r="R520" s="11"/>
      <c r="S520" s="10"/>
      <c r="T520" s="11"/>
      <c r="U520" s="10"/>
      <c r="V520" s="11"/>
      <c r="W520" s="10"/>
      <c r="X520" s="11"/>
      <c r="Y520" s="10"/>
      <c r="Z520" s="11"/>
      <c r="AA520" s="10"/>
      <c r="AB520" s="11"/>
      <c r="AC520" s="10"/>
      <c r="AD520" s="11"/>
      <c r="AE520" s="10"/>
      <c r="AF520" s="11"/>
      <c r="AG520" s="11"/>
      <c r="AH520" s="11"/>
      <c r="AI520" s="10"/>
      <c r="AJ520" s="10"/>
    </row>
    <row r="521" customFormat="false" ht="52.2" hidden="false" customHeight="false" outlineLevel="0" collapsed="false">
      <c r="A521" s="7" t="n">
        <v>519</v>
      </c>
      <c r="B521" s="7" t="str">
        <f aca="false">IF(I521="Y",IF(COUNTIF(I$3:I521,"Y")&lt;=20,"pilot",IF(COUNTIF(I$3:I521,"Y")&lt;=40,"dev",IF(COUNTIF(I$3:I521,"Y")&lt;=200,"test","extra"))),"")</f>
        <v/>
      </c>
      <c r="C521" s="7" t="str">
        <f aca="false">IF(I521="Y",IF(COUNTA(K521,M521,O521,Q521,S521,U521,W521,Y521,AA521,AC521,AE521)=11,"done","in progress"),IF(I521="N","excluded",""))</f>
        <v/>
      </c>
      <c r="D521" s="7" t="s">
        <v>1295</v>
      </c>
      <c r="E521" s="8" t="s">
        <v>96</v>
      </c>
      <c r="F521" s="9" t="s">
        <v>1296</v>
      </c>
      <c r="G521" s="7" t="s">
        <v>125</v>
      </c>
      <c r="H521" s="7"/>
      <c r="I521" s="10"/>
      <c r="J521" s="10"/>
      <c r="K521" s="10"/>
      <c r="L521" s="11"/>
      <c r="M521" s="10"/>
      <c r="N521" s="11"/>
      <c r="O521" s="10"/>
      <c r="P521" s="11"/>
      <c r="Q521" s="10"/>
      <c r="R521" s="11"/>
      <c r="S521" s="10"/>
      <c r="T521" s="11"/>
      <c r="U521" s="10"/>
      <c r="V521" s="11"/>
      <c r="W521" s="10"/>
      <c r="X521" s="11"/>
      <c r="Y521" s="10"/>
      <c r="Z521" s="11"/>
      <c r="AA521" s="10"/>
      <c r="AB521" s="11"/>
      <c r="AC521" s="10"/>
      <c r="AD521" s="11"/>
      <c r="AE521" s="10"/>
      <c r="AF521" s="11"/>
      <c r="AG521" s="11"/>
      <c r="AH521" s="11"/>
      <c r="AI521" s="10"/>
      <c r="AJ521" s="10"/>
    </row>
    <row r="522" customFormat="false" ht="39.55" hidden="false" customHeight="false" outlineLevel="0" collapsed="false">
      <c r="A522" s="7" t="n">
        <v>520</v>
      </c>
      <c r="B522" s="7" t="str">
        <f aca="false">IF(I522="Y",IF(COUNTIF(I$3:I522,"Y")&lt;=20,"pilot",IF(COUNTIF(I$3:I522,"Y")&lt;=40,"dev",IF(COUNTIF(I$3:I522,"Y")&lt;=200,"test","extra"))),"")</f>
        <v/>
      </c>
      <c r="C522" s="7" t="str">
        <f aca="false">IF(I522="Y",IF(COUNTA(K522,M522,O522,Q522,S522,U522,W522,Y522,AA522,AC522,AE522)=11,"done","in progress"),IF(I522="N","excluded",""))</f>
        <v/>
      </c>
      <c r="D522" s="7" t="s">
        <v>1297</v>
      </c>
      <c r="E522" s="8" t="s">
        <v>96</v>
      </c>
      <c r="F522" s="9" t="s">
        <v>1298</v>
      </c>
      <c r="G522" s="7" t="s">
        <v>206</v>
      </c>
      <c r="H522" s="7"/>
      <c r="I522" s="10"/>
      <c r="J522" s="10"/>
      <c r="K522" s="10"/>
      <c r="L522" s="11"/>
      <c r="M522" s="10"/>
      <c r="N522" s="11"/>
      <c r="O522" s="10"/>
      <c r="P522" s="11"/>
      <c r="Q522" s="10"/>
      <c r="R522" s="11"/>
      <c r="S522" s="10"/>
      <c r="T522" s="11"/>
      <c r="U522" s="10"/>
      <c r="V522" s="11"/>
      <c r="W522" s="10"/>
      <c r="X522" s="11"/>
      <c r="Y522" s="10"/>
      <c r="Z522" s="11"/>
      <c r="AA522" s="10"/>
      <c r="AB522" s="11"/>
      <c r="AC522" s="10"/>
      <c r="AD522" s="11"/>
      <c r="AE522" s="10"/>
      <c r="AF522" s="11"/>
      <c r="AG522" s="11"/>
      <c r="AH522" s="11"/>
      <c r="AI522" s="10"/>
      <c r="AJ522" s="10"/>
    </row>
    <row r="523" customFormat="false" ht="26.85" hidden="false" customHeight="false" outlineLevel="0" collapsed="false">
      <c r="A523" s="7" t="n">
        <v>521</v>
      </c>
      <c r="B523" s="7" t="str">
        <f aca="false">IF(I523="Y",IF(COUNTIF(I$3:I523,"Y")&lt;=20,"pilot",IF(COUNTIF(I$3:I523,"Y")&lt;=40,"dev",IF(COUNTIF(I$3:I523,"Y")&lt;=200,"test","extra"))),"")</f>
        <v/>
      </c>
      <c r="C523" s="7" t="str">
        <f aca="false">IF(I523="Y",IF(COUNTA(K523,M523,O523,Q523,S523,U523,W523,Y523,AA523,AC523,AE523)=11,"done","in progress"),IF(I523="N","excluded",""))</f>
        <v/>
      </c>
      <c r="D523" s="7" t="s">
        <v>1299</v>
      </c>
      <c r="E523" s="8" t="s">
        <v>96</v>
      </c>
      <c r="F523" s="9" t="s">
        <v>1300</v>
      </c>
      <c r="G523" s="7" t="s">
        <v>925</v>
      </c>
      <c r="H523" s="7"/>
      <c r="I523" s="10"/>
      <c r="J523" s="10"/>
      <c r="K523" s="10"/>
      <c r="L523" s="11"/>
      <c r="M523" s="10"/>
      <c r="N523" s="11"/>
      <c r="O523" s="10"/>
      <c r="P523" s="11"/>
      <c r="Q523" s="10"/>
      <c r="R523" s="11"/>
      <c r="S523" s="10"/>
      <c r="T523" s="11"/>
      <c r="U523" s="10"/>
      <c r="V523" s="11"/>
      <c r="W523" s="10"/>
      <c r="X523" s="11"/>
      <c r="Y523" s="10"/>
      <c r="Z523" s="11"/>
      <c r="AA523" s="10"/>
      <c r="AB523" s="11"/>
      <c r="AC523" s="10"/>
      <c r="AD523" s="11"/>
      <c r="AE523" s="10"/>
      <c r="AF523" s="11"/>
      <c r="AG523" s="11"/>
      <c r="AH523" s="11"/>
      <c r="AI523" s="10"/>
      <c r="AJ523" s="10"/>
    </row>
    <row r="524" customFormat="false" ht="26.85" hidden="false" customHeight="false" outlineLevel="0" collapsed="false">
      <c r="A524" s="7" t="n">
        <v>522</v>
      </c>
      <c r="B524" s="7" t="str">
        <f aca="false">IF(I524="Y",IF(COUNTIF(I$3:I524,"Y")&lt;=20,"pilot",IF(COUNTIF(I$3:I524,"Y")&lt;=40,"dev",IF(COUNTIF(I$3:I524,"Y")&lt;=200,"test","extra"))),"")</f>
        <v/>
      </c>
      <c r="C524" s="7" t="str">
        <f aca="false">IF(I524="Y",IF(COUNTA(K524,M524,O524,Q524,S524,U524,W524,Y524,AA524,AC524,AE524)=11,"done","in progress"),IF(I524="N","excluded",""))</f>
        <v/>
      </c>
      <c r="D524" s="7" t="s">
        <v>1301</v>
      </c>
      <c r="E524" s="8" t="s">
        <v>96</v>
      </c>
      <c r="F524" s="9" t="s">
        <v>1302</v>
      </c>
      <c r="G524" s="7" t="s">
        <v>116</v>
      </c>
      <c r="H524" s="7"/>
      <c r="I524" s="10"/>
      <c r="J524" s="10"/>
      <c r="K524" s="10"/>
      <c r="L524" s="11"/>
      <c r="M524" s="10"/>
      <c r="N524" s="11"/>
      <c r="O524" s="10"/>
      <c r="P524" s="11"/>
      <c r="Q524" s="10"/>
      <c r="R524" s="11"/>
      <c r="S524" s="10"/>
      <c r="T524" s="11"/>
      <c r="U524" s="10"/>
      <c r="V524" s="11"/>
      <c r="W524" s="10"/>
      <c r="X524" s="11"/>
      <c r="Y524" s="10"/>
      <c r="Z524" s="11"/>
      <c r="AA524" s="10"/>
      <c r="AB524" s="11"/>
      <c r="AC524" s="10"/>
      <c r="AD524" s="11"/>
      <c r="AE524" s="10"/>
      <c r="AF524" s="11"/>
      <c r="AG524" s="11"/>
      <c r="AH524" s="11"/>
      <c r="AI524" s="10"/>
      <c r="AJ524" s="10"/>
    </row>
    <row r="525" customFormat="false" ht="39.55" hidden="false" customHeight="false" outlineLevel="0" collapsed="false">
      <c r="A525" s="7" t="n">
        <v>523</v>
      </c>
      <c r="B525" s="7" t="str">
        <f aca="false">IF(I525="Y",IF(COUNTIF(I$3:I525,"Y")&lt;=20,"pilot",IF(COUNTIF(I$3:I525,"Y")&lt;=40,"dev",IF(COUNTIF(I$3:I525,"Y")&lt;=200,"test","extra"))),"")</f>
        <v/>
      </c>
      <c r="C525" s="7" t="str">
        <f aca="false">IF(I525="Y",IF(COUNTA(K525,M525,O525,Q525,S525,U525,W525,Y525,AA525,AC525,AE525)=11,"done","in progress"),IF(I525="N","excluded",""))</f>
        <v/>
      </c>
      <c r="D525" s="7" t="s">
        <v>1303</v>
      </c>
      <c r="E525" s="8" t="s">
        <v>96</v>
      </c>
      <c r="F525" s="9" t="s">
        <v>1304</v>
      </c>
      <c r="G525" s="7" t="s">
        <v>116</v>
      </c>
      <c r="H525" s="7"/>
      <c r="I525" s="10"/>
      <c r="J525" s="10"/>
      <c r="K525" s="10"/>
      <c r="L525" s="11"/>
      <c r="M525" s="10"/>
      <c r="N525" s="11"/>
      <c r="O525" s="10"/>
      <c r="P525" s="11"/>
      <c r="Q525" s="10"/>
      <c r="R525" s="11"/>
      <c r="S525" s="10"/>
      <c r="T525" s="11"/>
      <c r="U525" s="10"/>
      <c r="V525" s="11"/>
      <c r="W525" s="10"/>
      <c r="X525" s="11"/>
      <c r="Y525" s="10"/>
      <c r="Z525" s="11"/>
      <c r="AA525" s="10"/>
      <c r="AB525" s="11"/>
      <c r="AC525" s="10"/>
      <c r="AD525" s="11"/>
      <c r="AE525" s="10"/>
      <c r="AF525" s="11"/>
      <c r="AG525" s="11"/>
      <c r="AH525" s="11"/>
      <c r="AI525" s="10"/>
      <c r="AJ525" s="10"/>
    </row>
    <row r="526" customFormat="false" ht="39.55" hidden="false" customHeight="false" outlineLevel="0" collapsed="false">
      <c r="A526" s="7" t="n">
        <v>524</v>
      </c>
      <c r="B526" s="7" t="str">
        <f aca="false">IF(I526="Y",IF(COUNTIF(I$3:I526,"Y")&lt;=20,"pilot",IF(COUNTIF(I$3:I526,"Y")&lt;=40,"dev",IF(COUNTIF(I$3:I526,"Y")&lt;=200,"test","extra"))),"")</f>
        <v/>
      </c>
      <c r="C526" s="7" t="str">
        <f aca="false">IF(I526="Y",IF(COUNTA(K526,M526,O526,Q526,S526,U526,W526,Y526,AA526,AC526,AE526)=11,"done","in progress"),IF(I526="N","excluded",""))</f>
        <v/>
      </c>
      <c r="D526" s="7" t="s">
        <v>1305</v>
      </c>
      <c r="E526" s="8" t="s">
        <v>96</v>
      </c>
      <c r="F526" s="9" t="s">
        <v>1306</v>
      </c>
      <c r="G526" s="7" t="s">
        <v>1175</v>
      </c>
      <c r="H526" s="7"/>
      <c r="I526" s="10"/>
      <c r="J526" s="10"/>
      <c r="K526" s="10"/>
      <c r="L526" s="11"/>
      <c r="M526" s="10"/>
      <c r="N526" s="11"/>
      <c r="O526" s="10"/>
      <c r="P526" s="11"/>
      <c r="Q526" s="10"/>
      <c r="R526" s="11"/>
      <c r="S526" s="10"/>
      <c r="T526" s="11"/>
      <c r="U526" s="10"/>
      <c r="V526" s="11"/>
      <c r="W526" s="10"/>
      <c r="X526" s="11"/>
      <c r="Y526" s="10"/>
      <c r="Z526" s="11"/>
      <c r="AA526" s="10"/>
      <c r="AB526" s="11"/>
      <c r="AC526" s="10"/>
      <c r="AD526" s="11"/>
      <c r="AE526" s="10"/>
      <c r="AF526" s="11"/>
      <c r="AG526" s="11"/>
      <c r="AH526" s="11"/>
      <c r="AI526" s="10"/>
      <c r="AJ526" s="10"/>
    </row>
    <row r="527" customFormat="false" ht="39.55" hidden="false" customHeight="false" outlineLevel="0" collapsed="false">
      <c r="A527" s="7" t="n">
        <v>525</v>
      </c>
      <c r="B527" s="7" t="str">
        <f aca="false">IF(I527="Y",IF(COUNTIF(I$3:I527,"Y")&lt;=20,"pilot",IF(COUNTIF(I$3:I527,"Y")&lt;=40,"dev",IF(COUNTIF(I$3:I527,"Y")&lt;=200,"test","extra"))),"")</f>
        <v/>
      </c>
      <c r="C527" s="7" t="str">
        <f aca="false">IF(I527="Y",IF(COUNTA(K527,M527,O527,Q527,S527,U527,W527,Y527,AA527,AC527,AE527)=11,"done","in progress"),IF(I527="N","excluded",""))</f>
        <v/>
      </c>
      <c r="D527" s="7" t="s">
        <v>1307</v>
      </c>
      <c r="E527" s="8" t="s">
        <v>96</v>
      </c>
      <c r="F527" s="9" t="s">
        <v>1308</v>
      </c>
      <c r="G527" s="7" t="s">
        <v>678</v>
      </c>
      <c r="H527" s="7"/>
      <c r="I527" s="10"/>
      <c r="J527" s="10"/>
      <c r="K527" s="10"/>
      <c r="L527" s="11"/>
      <c r="M527" s="10"/>
      <c r="N527" s="11"/>
      <c r="O527" s="10"/>
      <c r="P527" s="11"/>
      <c r="Q527" s="10"/>
      <c r="R527" s="11"/>
      <c r="S527" s="10"/>
      <c r="T527" s="11"/>
      <c r="U527" s="10"/>
      <c r="V527" s="11"/>
      <c r="W527" s="10"/>
      <c r="X527" s="11"/>
      <c r="Y527" s="10"/>
      <c r="Z527" s="11"/>
      <c r="AA527" s="10"/>
      <c r="AB527" s="11"/>
      <c r="AC527" s="10"/>
      <c r="AD527" s="11"/>
      <c r="AE527" s="10"/>
      <c r="AF527" s="11"/>
      <c r="AG527" s="11"/>
      <c r="AH527" s="11"/>
      <c r="AI527" s="10"/>
      <c r="AJ527" s="10"/>
    </row>
    <row r="528" customFormat="false" ht="52.2" hidden="false" customHeight="false" outlineLevel="0" collapsed="false">
      <c r="A528" s="7" t="n">
        <v>526</v>
      </c>
      <c r="B528" s="7" t="str">
        <f aca="false">IF(I528="Y",IF(COUNTIF(I$3:I528,"Y")&lt;=20,"pilot",IF(COUNTIF(I$3:I528,"Y")&lt;=40,"dev",IF(COUNTIF(I$3:I528,"Y")&lt;=200,"test","extra"))),"")</f>
        <v/>
      </c>
      <c r="C528" s="7" t="str">
        <f aca="false">IF(I528="Y",IF(COUNTA(K528,M528,O528,Q528,S528,U528,W528,Y528,AA528,AC528,AE528)=11,"done","in progress"),IF(I528="N","excluded",""))</f>
        <v/>
      </c>
      <c r="D528" s="7" t="s">
        <v>1309</v>
      </c>
      <c r="E528" s="8" t="s">
        <v>96</v>
      </c>
      <c r="F528" s="9" t="s">
        <v>1310</v>
      </c>
      <c r="G528" s="7" t="s">
        <v>104</v>
      </c>
      <c r="H528" s="7"/>
      <c r="I528" s="10"/>
      <c r="J528" s="10"/>
      <c r="K528" s="10"/>
      <c r="L528" s="11"/>
      <c r="M528" s="10"/>
      <c r="N528" s="11"/>
      <c r="O528" s="10"/>
      <c r="P528" s="11"/>
      <c r="Q528" s="10"/>
      <c r="R528" s="11"/>
      <c r="S528" s="10"/>
      <c r="T528" s="11"/>
      <c r="U528" s="10"/>
      <c r="V528" s="11"/>
      <c r="W528" s="10"/>
      <c r="X528" s="11"/>
      <c r="Y528" s="10"/>
      <c r="Z528" s="11"/>
      <c r="AA528" s="10"/>
      <c r="AB528" s="11"/>
      <c r="AC528" s="10"/>
      <c r="AD528" s="11"/>
      <c r="AE528" s="10"/>
      <c r="AF528" s="11"/>
      <c r="AG528" s="11"/>
      <c r="AH528" s="11"/>
      <c r="AI528" s="10"/>
      <c r="AJ528" s="10"/>
    </row>
    <row r="529" customFormat="false" ht="52.2" hidden="false" customHeight="false" outlineLevel="0" collapsed="false">
      <c r="A529" s="7" t="n">
        <v>527</v>
      </c>
      <c r="B529" s="7" t="str">
        <f aca="false">IF(I529="Y",IF(COUNTIF(I$3:I529,"Y")&lt;=20,"pilot",IF(COUNTIF(I$3:I529,"Y")&lt;=40,"dev",IF(COUNTIF(I$3:I529,"Y")&lt;=200,"test","extra"))),"")</f>
        <v/>
      </c>
      <c r="C529" s="7" t="str">
        <f aca="false">IF(I529="Y",IF(COUNTA(K529,M529,O529,Q529,S529,U529,W529,Y529,AA529,AC529,AE529)=11,"done","in progress"),IF(I529="N","excluded",""))</f>
        <v/>
      </c>
      <c r="D529" s="7" t="s">
        <v>1311</v>
      </c>
      <c r="E529" s="8" t="s">
        <v>96</v>
      </c>
      <c r="F529" s="9" t="s">
        <v>1312</v>
      </c>
      <c r="G529" s="7" t="s">
        <v>333</v>
      </c>
      <c r="H529" s="7"/>
      <c r="I529" s="10"/>
      <c r="J529" s="10"/>
      <c r="K529" s="10"/>
      <c r="L529" s="11"/>
      <c r="M529" s="10"/>
      <c r="N529" s="11"/>
      <c r="O529" s="10"/>
      <c r="P529" s="11"/>
      <c r="Q529" s="10"/>
      <c r="R529" s="11"/>
      <c r="S529" s="10"/>
      <c r="T529" s="11"/>
      <c r="U529" s="10"/>
      <c r="V529" s="11"/>
      <c r="W529" s="10"/>
      <c r="X529" s="11"/>
      <c r="Y529" s="10"/>
      <c r="Z529" s="11"/>
      <c r="AA529" s="10"/>
      <c r="AB529" s="11"/>
      <c r="AC529" s="10"/>
      <c r="AD529" s="11"/>
      <c r="AE529" s="10"/>
      <c r="AF529" s="11"/>
      <c r="AG529" s="11"/>
      <c r="AH529" s="11"/>
      <c r="AI529" s="10"/>
      <c r="AJ529" s="10"/>
    </row>
    <row r="530" customFormat="false" ht="39.55" hidden="false" customHeight="false" outlineLevel="0" collapsed="false">
      <c r="A530" s="7" t="n">
        <v>528</v>
      </c>
      <c r="B530" s="7" t="str">
        <f aca="false">IF(I530="Y",IF(COUNTIF(I$3:I530,"Y")&lt;=20,"pilot",IF(COUNTIF(I$3:I530,"Y")&lt;=40,"dev",IF(COUNTIF(I$3:I530,"Y")&lt;=200,"test","extra"))),"")</f>
        <v/>
      </c>
      <c r="C530" s="7" t="str">
        <f aca="false">IF(I530="Y",IF(COUNTA(K530,M530,O530,Q530,S530,U530,W530,Y530,AA530,AC530,AE530)=11,"done","in progress"),IF(I530="N","excluded",""))</f>
        <v/>
      </c>
      <c r="D530" s="7" t="s">
        <v>1313</v>
      </c>
      <c r="E530" s="8" t="s">
        <v>96</v>
      </c>
      <c r="F530" s="9" t="s">
        <v>1314</v>
      </c>
      <c r="G530" s="7" t="s">
        <v>107</v>
      </c>
      <c r="H530" s="7"/>
      <c r="I530" s="10"/>
      <c r="J530" s="10"/>
      <c r="K530" s="10"/>
      <c r="L530" s="11"/>
      <c r="M530" s="10"/>
      <c r="N530" s="11"/>
      <c r="O530" s="10"/>
      <c r="P530" s="11"/>
      <c r="Q530" s="10"/>
      <c r="R530" s="11"/>
      <c r="S530" s="10"/>
      <c r="T530" s="11"/>
      <c r="U530" s="10"/>
      <c r="V530" s="11"/>
      <c r="W530" s="10"/>
      <c r="X530" s="11"/>
      <c r="Y530" s="10"/>
      <c r="Z530" s="11"/>
      <c r="AA530" s="10"/>
      <c r="AB530" s="11"/>
      <c r="AC530" s="10"/>
      <c r="AD530" s="11"/>
      <c r="AE530" s="10"/>
      <c r="AF530" s="11"/>
      <c r="AG530" s="11"/>
      <c r="AH530" s="11"/>
      <c r="AI530" s="10"/>
      <c r="AJ530" s="10"/>
    </row>
    <row r="531" customFormat="false" ht="26.85" hidden="false" customHeight="false" outlineLevel="0" collapsed="false">
      <c r="A531" s="7" t="n">
        <v>529</v>
      </c>
      <c r="B531" s="7" t="str">
        <f aca="false">IF(I531="Y",IF(COUNTIF(I$3:I531,"Y")&lt;=20,"pilot",IF(COUNTIF(I$3:I531,"Y")&lt;=40,"dev",IF(COUNTIF(I$3:I531,"Y")&lt;=200,"test","extra"))),"")</f>
        <v/>
      </c>
      <c r="C531" s="7" t="str">
        <f aca="false">IF(I531="Y",IF(COUNTA(K531,M531,O531,Q531,S531,U531,W531,Y531,AA531,AC531,AE531)=11,"done","in progress"),IF(I531="N","excluded",""))</f>
        <v/>
      </c>
      <c r="D531" s="7" t="s">
        <v>1315</v>
      </c>
      <c r="E531" s="8" t="s">
        <v>96</v>
      </c>
      <c r="F531" s="9" t="s">
        <v>1316</v>
      </c>
      <c r="G531" s="7" t="s">
        <v>438</v>
      </c>
      <c r="H531" s="7"/>
      <c r="I531" s="10"/>
      <c r="J531" s="10"/>
      <c r="K531" s="10"/>
      <c r="L531" s="11"/>
      <c r="M531" s="10"/>
      <c r="N531" s="11"/>
      <c r="O531" s="10"/>
      <c r="P531" s="11"/>
      <c r="Q531" s="10"/>
      <c r="R531" s="11"/>
      <c r="S531" s="10"/>
      <c r="T531" s="11"/>
      <c r="U531" s="10"/>
      <c r="V531" s="11"/>
      <c r="W531" s="10"/>
      <c r="X531" s="11"/>
      <c r="Y531" s="10"/>
      <c r="Z531" s="11"/>
      <c r="AA531" s="10"/>
      <c r="AB531" s="11"/>
      <c r="AC531" s="10"/>
      <c r="AD531" s="11"/>
      <c r="AE531" s="10"/>
      <c r="AF531" s="11"/>
      <c r="AG531" s="11"/>
      <c r="AH531" s="11"/>
      <c r="AI531" s="10"/>
      <c r="AJ531" s="10"/>
    </row>
    <row r="532" customFormat="false" ht="39.55" hidden="false" customHeight="false" outlineLevel="0" collapsed="false">
      <c r="A532" s="7" t="n">
        <v>530</v>
      </c>
      <c r="B532" s="7" t="str">
        <f aca="false">IF(I532="Y",IF(COUNTIF(I$3:I532,"Y")&lt;=20,"pilot",IF(COUNTIF(I$3:I532,"Y")&lt;=40,"dev",IF(COUNTIF(I$3:I532,"Y")&lt;=200,"test","extra"))),"")</f>
        <v/>
      </c>
      <c r="C532" s="7" t="str">
        <f aca="false">IF(I532="Y",IF(COUNTA(K532,M532,O532,Q532,S532,U532,W532,Y532,AA532,AC532,AE532)=11,"done","in progress"),IF(I532="N","excluded",""))</f>
        <v/>
      </c>
      <c r="D532" s="7" t="s">
        <v>1317</v>
      </c>
      <c r="E532" s="8" t="s">
        <v>96</v>
      </c>
      <c r="F532" s="9" t="s">
        <v>1318</v>
      </c>
      <c r="G532" s="7" t="s">
        <v>238</v>
      </c>
      <c r="H532" s="7"/>
      <c r="I532" s="10"/>
      <c r="J532" s="10"/>
      <c r="K532" s="10"/>
      <c r="L532" s="11"/>
      <c r="M532" s="10"/>
      <c r="N532" s="11"/>
      <c r="O532" s="10"/>
      <c r="P532" s="11"/>
      <c r="Q532" s="10"/>
      <c r="R532" s="11"/>
      <c r="S532" s="10"/>
      <c r="T532" s="11"/>
      <c r="U532" s="10"/>
      <c r="V532" s="11"/>
      <c r="W532" s="10"/>
      <c r="X532" s="11"/>
      <c r="Y532" s="10"/>
      <c r="Z532" s="11"/>
      <c r="AA532" s="10"/>
      <c r="AB532" s="11"/>
      <c r="AC532" s="10"/>
      <c r="AD532" s="11"/>
      <c r="AE532" s="10"/>
      <c r="AF532" s="11"/>
      <c r="AG532" s="11"/>
      <c r="AH532" s="11"/>
      <c r="AI532" s="10"/>
      <c r="AJ532" s="10"/>
    </row>
    <row r="533" customFormat="false" ht="52.2" hidden="false" customHeight="false" outlineLevel="0" collapsed="false">
      <c r="A533" s="7" t="n">
        <v>531</v>
      </c>
      <c r="B533" s="7" t="str">
        <f aca="false">IF(I533="Y",IF(COUNTIF(I$3:I533,"Y")&lt;=20,"pilot",IF(COUNTIF(I$3:I533,"Y")&lt;=40,"dev",IF(COUNTIF(I$3:I533,"Y")&lt;=200,"test","extra"))),"")</f>
        <v/>
      </c>
      <c r="C533" s="7" t="str">
        <f aca="false">IF(I533="Y",IF(COUNTA(K533,M533,O533,Q533,S533,U533,W533,Y533,AA533,AC533,AE533)=11,"done","in progress"),IF(I533="N","excluded",""))</f>
        <v/>
      </c>
      <c r="D533" s="7" t="s">
        <v>1319</v>
      </c>
      <c r="E533" s="8" t="s">
        <v>96</v>
      </c>
      <c r="F533" s="9" t="s">
        <v>1320</v>
      </c>
      <c r="G533" s="7" t="s">
        <v>617</v>
      </c>
      <c r="H533" s="7"/>
      <c r="I533" s="10"/>
      <c r="J533" s="10"/>
      <c r="K533" s="10"/>
      <c r="L533" s="11"/>
      <c r="M533" s="10"/>
      <c r="N533" s="11"/>
      <c r="O533" s="10"/>
      <c r="P533" s="11"/>
      <c r="Q533" s="10"/>
      <c r="R533" s="11"/>
      <c r="S533" s="10"/>
      <c r="T533" s="11"/>
      <c r="U533" s="10"/>
      <c r="V533" s="11"/>
      <c r="W533" s="10"/>
      <c r="X533" s="11"/>
      <c r="Y533" s="10"/>
      <c r="Z533" s="11"/>
      <c r="AA533" s="10"/>
      <c r="AB533" s="11"/>
      <c r="AC533" s="10"/>
      <c r="AD533" s="11"/>
      <c r="AE533" s="10"/>
      <c r="AF533" s="11"/>
      <c r="AG533" s="11"/>
      <c r="AH533" s="11"/>
      <c r="AI533" s="10"/>
      <c r="AJ533" s="10"/>
    </row>
    <row r="534" customFormat="false" ht="39.55" hidden="false" customHeight="false" outlineLevel="0" collapsed="false">
      <c r="A534" s="7" t="n">
        <v>532</v>
      </c>
      <c r="B534" s="7" t="str">
        <f aca="false">IF(I534="Y",IF(COUNTIF(I$3:I534,"Y")&lt;=20,"pilot",IF(COUNTIF(I$3:I534,"Y")&lt;=40,"dev",IF(COUNTIF(I$3:I534,"Y")&lt;=200,"test","extra"))),"")</f>
        <v/>
      </c>
      <c r="C534" s="7" t="str">
        <f aca="false">IF(I534="Y",IF(COUNTA(K534,M534,O534,Q534,S534,U534,W534,Y534,AA534,AC534,AE534)=11,"done","in progress"),IF(I534="N","excluded",""))</f>
        <v/>
      </c>
      <c r="D534" s="7" t="s">
        <v>1321</v>
      </c>
      <c r="E534" s="8" t="s">
        <v>96</v>
      </c>
      <c r="F534" s="9" t="s">
        <v>1322</v>
      </c>
      <c r="G534" s="7" t="s">
        <v>98</v>
      </c>
      <c r="H534" s="7"/>
      <c r="I534" s="10"/>
      <c r="J534" s="10"/>
      <c r="K534" s="10"/>
      <c r="L534" s="11"/>
      <c r="M534" s="10"/>
      <c r="N534" s="11"/>
      <c r="O534" s="10"/>
      <c r="P534" s="11"/>
      <c r="Q534" s="10"/>
      <c r="R534" s="11"/>
      <c r="S534" s="10"/>
      <c r="T534" s="11"/>
      <c r="U534" s="10"/>
      <c r="V534" s="11"/>
      <c r="W534" s="10"/>
      <c r="X534" s="11"/>
      <c r="Y534" s="10"/>
      <c r="Z534" s="11"/>
      <c r="AA534" s="10"/>
      <c r="AB534" s="11"/>
      <c r="AC534" s="10"/>
      <c r="AD534" s="11"/>
      <c r="AE534" s="10"/>
      <c r="AF534" s="11"/>
      <c r="AG534" s="11"/>
      <c r="AH534" s="11"/>
      <c r="AI534" s="10"/>
      <c r="AJ534" s="10"/>
    </row>
    <row r="535" customFormat="false" ht="39.55" hidden="false" customHeight="false" outlineLevel="0" collapsed="false">
      <c r="A535" s="7" t="n">
        <v>533</v>
      </c>
      <c r="B535" s="7" t="str">
        <f aca="false">IF(I535="Y",IF(COUNTIF(I$3:I535,"Y")&lt;=20,"pilot",IF(COUNTIF(I$3:I535,"Y")&lt;=40,"dev",IF(COUNTIF(I$3:I535,"Y")&lt;=200,"test","extra"))),"")</f>
        <v/>
      </c>
      <c r="C535" s="7" t="str">
        <f aca="false">IF(I535="Y",IF(COUNTA(K535,M535,O535,Q535,S535,U535,W535,Y535,AA535,AC535,AE535)=11,"done","in progress"),IF(I535="N","excluded",""))</f>
        <v/>
      </c>
      <c r="D535" s="7" t="s">
        <v>1323</v>
      </c>
      <c r="E535" s="8" t="s">
        <v>96</v>
      </c>
      <c r="F535" s="9" t="s">
        <v>1324</v>
      </c>
      <c r="G535" s="7" t="s">
        <v>333</v>
      </c>
      <c r="H535" s="7"/>
      <c r="I535" s="10"/>
      <c r="J535" s="10"/>
      <c r="K535" s="10"/>
      <c r="L535" s="11"/>
      <c r="M535" s="10"/>
      <c r="N535" s="11"/>
      <c r="O535" s="10"/>
      <c r="P535" s="11"/>
      <c r="Q535" s="10"/>
      <c r="R535" s="11"/>
      <c r="S535" s="10"/>
      <c r="T535" s="11"/>
      <c r="U535" s="10"/>
      <c r="V535" s="11"/>
      <c r="W535" s="10"/>
      <c r="X535" s="11"/>
      <c r="Y535" s="10"/>
      <c r="Z535" s="11"/>
      <c r="AA535" s="10"/>
      <c r="AB535" s="11"/>
      <c r="AC535" s="10"/>
      <c r="AD535" s="11"/>
      <c r="AE535" s="10"/>
      <c r="AF535" s="11"/>
      <c r="AG535" s="11"/>
      <c r="AH535" s="11"/>
      <c r="AI535" s="10"/>
      <c r="AJ535" s="10"/>
    </row>
    <row r="536" customFormat="false" ht="64.9" hidden="false" customHeight="false" outlineLevel="0" collapsed="false">
      <c r="A536" s="7" t="n">
        <v>534</v>
      </c>
      <c r="B536" s="7" t="str">
        <f aca="false">IF(I536="Y",IF(COUNTIF(I$3:I536,"Y")&lt;=20,"pilot",IF(COUNTIF(I$3:I536,"Y")&lt;=40,"dev",IF(COUNTIF(I$3:I536,"Y")&lt;=200,"test","extra"))),"")</f>
        <v/>
      </c>
      <c r="C536" s="7" t="str">
        <f aca="false">IF(I536="Y",IF(COUNTA(K536,M536,O536,Q536,S536,U536,W536,Y536,AA536,AC536,AE536)=11,"done","in progress"),IF(I536="N","excluded",""))</f>
        <v/>
      </c>
      <c r="D536" s="7" t="s">
        <v>1325</v>
      </c>
      <c r="E536" s="8" t="s">
        <v>96</v>
      </c>
      <c r="F536" s="9" t="s">
        <v>1326</v>
      </c>
      <c r="G536" s="7" t="s">
        <v>212</v>
      </c>
      <c r="H536" s="7"/>
      <c r="I536" s="10"/>
      <c r="J536" s="10"/>
      <c r="K536" s="10"/>
      <c r="L536" s="11"/>
      <c r="M536" s="10"/>
      <c r="N536" s="11"/>
      <c r="O536" s="10"/>
      <c r="P536" s="11"/>
      <c r="Q536" s="10"/>
      <c r="R536" s="11"/>
      <c r="S536" s="10"/>
      <c r="T536" s="11"/>
      <c r="U536" s="10"/>
      <c r="V536" s="11"/>
      <c r="W536" s="10"/>
      <c r="X536" s="11"/>
      <c r="Y536" s="10"/>
      <c r="Z536" s="11"/>
      <c r="AA536" s="10"/>
      <c r="AB536" s="11"/>
      <c r="AC536" s="10"/>
      <c r="AD536" s="11"/>
      <c r="AE536" s="10"/>
      <c r="AF536" s="11"/>
      <c r="AG536" s="11"/>
      <c r="AH536" s="11"/>
      <c r="AI536" s="10"/>
      <c r="AJ536" s="10"/>
    </row>
    <row r="537" customFormat="false" ht="39.55" hidden="false" customHeight="false" outlineLevel="0" collapsed="false">
      <c r="A537" s="7" t="n">
        <v>535</v>
      </c>
      <c r="B537" s="7" t="str">
        <f aca="false">IF(I537="Y",IF(COUNTIF(I$3:I537,"Y")&lt;=20,"pilot",IF(COUNTIF(I$3:I537,"Y")&lt;=40,"dev",IF(COUNTIF(I$3:I537,"Y")&lt;=200,"test","extra"))),"")</f>
        <v/>
      </c>
      <c r="C537" s="7" t="str">
        <f aca="false">IF(I537="Y",IF(COUNTA(K537,M537,O537,Q537,S537,U537,W537,Y537,AA537,AC537,AE537)=11,"done","in progress"),IF(I537="N","excluded",""))</f>
        <v/>
      </c>
      <c r="D537" s="7" t="s">
        <v>1327</v>
      </c>
      <c r="E537" s="8" t="s">
        <v>96</v>
      </c>
      <c r="F537" s="9" t="s">
        <v>1328</v>
      </c>
      <c r="G537" s="7" t="s">
        <v>133</v>
      </c>
      <c r="H537" s="7"/>
      <c r="I537" s="10"/>
      <c r="J537" s="10"/>
      <c r="K537" s="10"/>
      <c r="L537" s="11"/>
      <c r="M537" s="10"/>
      <c r="N537" s="11"/>
      <c r="O537" s="10"/>
      <c r="P537" s="11"/>
      <c r="Q537" s="10"/>
      <c r="R537" s="11"/>
      <c r="S537" s="10"/>
      <c r="T537" s="11"/>
      <c r="U537" s="10"/>
      <c r="V537" s="11"/>
      <c r="W537" s="10"/>
      <c r="X537" s="11"/>
      <c r="Y537" s="10"/>
      <c r="Z537" s="11"/>
      <c r="AA537" s="10"/>
      <c r="AB537" s="11"/>
      <c r="AC537" s="10"/>
      <c r="AD537" s="11"/>
      <c r="AE537" s="10"/>
      <c r="AF537" s="11"/>
      <c r="AG537" s="11"/>
      <c r="AH537" s="11"/>
      <c r="AI537" s="10"/>
      <c r="AJ537" s="10"/>
    </row>
    <row r="538" customFormat="false" ht="39.55" hidden="false" customHeight="false" outlineLevel="0" collapsed="false">
      <c r="A538" s="7" t="n">
        <v>536</v>
      </c>
      <c r="B538" s="7" t="str">
        <f aca="false">IF(I538="Y",IF(COUNTIF(I$3:I538,"Y")&lt;=20,"pilot",IF(COUNTIF(I$3:I538,"Y")&lt;=40,"dev",IF(COUNTIF(I$3:I538,"Y")&lt;=200,"test","extra"))),"")</f>
        <v/>
      </c>
      <c r="C538" s="7" t="str">
        <f aca="false">IF(I538="Y",IF(COUNTA(K538,M538,O538,Q538,S538,U538,W538,Y538,AA538,AC538,AE538)=11,"done","in progress"),IF(I538="N","excluded",""))</f>
        <v/>
      </c>
      <c r="D538" s="7" t="s">
        <v>1329</v>
      </c>
      <c r="E538" s="8" t="s">
        <v>96</v>
      </c>
      <c r="F538" s="9" t="s">
        <v>1330</v>
      </c>
      <c r="G538" s="7" t="s">
        <v>500</v>
      </c>
      <c r="H538" s="7"/>
      <c r="I538" s="10"/>
      <c r="J538" s="10"/>
      <c r="K538" s="10"/>
      <c r="L538" s="11"/>
      <c r="M538" s="10"/>
      <c r="N538" s="11"/>
      <c r="O538" s="10"/>
      <c r="P538" s="11"/>
      <c r="Q538" s="10"/>
      <c r="R538" s="11"/>
      <c r="S538" s="10"/>
      <c r="T538" s="11"/>
      <c r="U538" s="10"/>
      <c r="V538" s="11"/>
      <c r="W538" s="10"/>
      <c r="X538" s="11"/>
      <c r="Y538" s="10"/>
      <c r="Z538" s="11"/>
      <c r="AA538" s="10"/>
      <c r="AB538" s="11"/>
      <c r="AC538" s="10"/>
      <c r="AD538" s="11"/>
      <c r="AE538" s="10"/>
      <c r="AF538" s="11"/>
      <c r="AG538" s="11"/>
      <c r="AH538" s="11"/>
      <c r="AI538" s="10"/>
      <c r="AJ538" s="10"/>
    </row>
    <row r="539" customFormat="false" ht="39.55" hidden="false" customHeight="false" outlineLevel="0" collapsed="false">
      <c r="A539" s="7" t="n">
        <v>537</v>
      </c>
      <c r="B539" s="7" t="str">
        <f aca="false">IF(I539="Y",IF(COUNTIF(I$3:I539,"Y")&lt;=20,"pilot",IF(COUNTIF(I$3:I539,"Y")&lt;=40,"dev",IF(COUNTIF(I$3:I539,"Y")&lt;=200,"test","extra"))),"")</f>
        <v/>
      </c>
      <c r="C539" s="7" t="str">
        <f aca="false">IF(I539="Y",IF(COUNTA(K539,M539,O539,Q539,S539,U539,W539,Y539,AA539,AC539,AE539)=11,"done","in progress"),IF(I539="N","excluded",""))</f>
        <v/>
      </c>
      <c r="D539" s="7" t="s">
        <v>1331</v>
      </c>
      <c r="E539" s="8" t="s">
        <v>96</v>
      </c>
      <c r="F539" s="9" t="s">
        <v>1332</v>
      </c>
      <c r="G539" s="7" t="s">
        <v>116</v>
      </c>
      <c r="H539" s="7"/>
      <c r="I539" s="10"/>
      <c r="J539" s="10"/>
      <c r="K539" s="10"/>
      <c r="L539" s="11"/>
      <c r="M539" s="10"/>
      <c r="N539" s="11"/>
      <c r="O539" s="10"/>
      <c r="P539" s="11"/>
      <c r="Q539" s="10"/>
      <c r="R539" s="11"/>
      <c r="S539" s="10"/>
      <c r="T539" s="11"/>
      <c r="U539" s="10"/>
      <c r="V539" s="11"/>
      <c r="W539" s="10"/>
      <c r="X539" s="11"/>
      <c r="Y539" s="10"/>
      <c r="Z539" s="11"/>
      <c r="AA539" s="10"/>
      <c r="AB539" s="11"/>
      <c r="AC539" s="10"/>
      <c r="AD539" s="11"/>
      <c r="AE539" s="10"/>
      <c r="AF539" s="11"/>
      <c r="AG539" s="11"/>
      <c r="AH539" s="11"/>
      <c r="AI539" s="10"/>
      <c r="AJ539" s="10"/>
    </row>
    <row r="540" customFormat="false" ht="26.85" hidden="false" customHeight="false" outlineLevel="0" collapsed="false">
      <c r="A540" s="7" t="n">
        <v>538</v>
      </c>
      <c r="B540" s="7" t="str">
        <f aca="false">IF(I540="Y",IF(COUNTIF(I$3:I540,"Y")&lt;=20,"pilot",IF(COUNTIF(I$3:I540,"Y")&lt;=40,"dev",IF(COUNTIF(I$3:I540,"Y")&lt;=200,"test","extra"))),"")</f>
        <v/>
      </c>
      <c r="C540" s="7" t="str">
        <f aca="false">IF(I540="Y",IF(COUNTA(K540,M540,O540,Q540,S540,U540,W540,Y540,AA540,AC540,AE540)=11,"done","in progress"),IF(I540="N","excluded",""))</f>
        <v/>
      </c>
      <c r="D540" s="7" t="s">
        <v>1333</v>
      </c>
      <c r="E540" s="8" t="s">
        <v>96</v>
      </c>
      <c r="F540" s="9" t="s">
        <v>1334</v>
      </c>
      <c r="G540" s="7" t="s">
        <v>238</v>
      </c>
      <c r="H540" s="7"/>
      <c r="I540" s="10"/>
      <c r="J540" s="10"/>
      <c r="K540" s="10"/>
      <c r="L540" s="11"/>
      <c r="M540" s="10"/>
      <c r="N540" s="11"/>
      <c r="O540" s="10"/>
      <c r="P540" s="11"/>
      <c r="Q540" s="10"/>
      <c r="R540" s="11"/>
      <c r="S540" s="10"/>
      <c r="T540" s="11"/>
      <c r="U540" s="10"/>
      <c r="V540" s="11"/>
      <c r="W540" s="10"/>
      <c r="X540" s="11"/>
      <c r="Y540" s="10"/>
      <c r="Z540" s="11"/>
      <c r="AA540" s="10"/>
      <c r="AB540" s="11"/>
      <c r="AC540" s="10"/>
      <c r="AD540" s="11"/>
      <c r="AE540" s="10"/>
      <c r="AF540" s="11"/>
      <c r="AG540" s="11"/>
      <c r="AH540" s="11"/>
      <c r="AI540" s="10"/>
      <c r="AJ540" s="10"/>
    </row>
    <row r="541" customFormat="false" ht="39.55" hidden="false" customHeight="false" outlineLevel="0" collapsed="false">
      <c r="A541" s="7" t="n">
        <v>539</v>
      </c>
      <c r="B541" s="7" t="str">
        <f aca="false">IF(I541="Y",IF(COUNTIF(I$3:I541,"Y")&lt;=20,"pilot",IF(COUNTIF(I$3:I541,"Y")&lt;=40,"dev",IF(COUNTIF(I$3:I541,"Y")&lt;=200,"test","extra"))),"")</f>
        <v/>
      </c>
      <c r="C541" s="7" t="str">
        <f aca="false">IF(I541="Y",IF(COUNTA(K541,M541,O541,Q541,S541,U541,W541,Y541,AA541,AC541,AE541)=11,"done","in progress"),IF(I541="N","excluded",""))</f>
        <v/>
      </c>
      <c r="D541" s="7" t="s">
        <v>1335</v>
      </c>
      <c r="E541" s="8" t="s">
        <v>96</v>
      </c>
      <c r="F541" s="9" t="s">
        <v>1336</v>
      </c>
      <c r="G541" s="7" t="s">
        <v>302</v>
      </c>
      <c r="H541" s="7"/>
      <c r="I541" s="10"/>
      <c r="J541" s="10"/>
      <c r="K541" s="10"/>
      <c r="L541" s="11"/>
      <c r="M541" s="10"/>
      <c r="N541" s="11"/>
      <c r="O541" s="10"/>
      <c r="P541" s="11"/>
      <c r="Q541" s="10"/>
      <c r="R541" s="11"/>
      <c r="S541" s="10"/>
      <c r="T541" s="11"/>
      <c r="U541" s="10"/>
      <c r="V541" s="11"/>
      <c r="W541" s="10"/>
      <c r="X541" s="11"/>
      <c r="Y541" s="10"/>
      <c r="Z541" s="11"/>
      <c r="AA541" s="10"/>
      <c r="AB541" s="11"/>
      <c r="AC541" s="10"/>
      <c r="AD541" s="11"/>
      <c r="AE541" s="10"/>
      <c r="AF541" s="11"/>
      <c r="AG541" s="11"/>
      <c r="AH541" s="11"/>
      <c r="AI541" s="10"/>
      <c r="AJ541" s="10"/>
    </row>
    <row r="542" customFormat="false" ht="39.55" hidden="false" customHeight="false" outlineLevel="0" collapsed="false">
      <c r="A542" s="7" t="n">
        <v>540</v>
      </c>
      <c r="B542" s="7" t="str">
        <f aca="false">IF(I542="Y",IF(COUNTIF(I$3:I542,"Y")&lt;=20,"pilot",IF(COUNTIF(I$3:I542,"Y")&lt;=40,"dev",IF(COUNTIF(I$3:I542,"Y")&lt;=200,"test","extra"))),"")</f>
        <v/>
      </c>
      <c r="C542" s="7" t="str">
        <f aca="false">IF(I542="Y",IF(COUNTA(K542,M542,O542,Q542,S542,U542,W542,Y542,AA542,AC542,AE542)=11,"done","in progress"),IF(I542="N","excluded",""))</f>
        <v/>
      </c>
      <c r="D542" s="7" t="s">
        <v>1337</v>
      </c>
      <c r="E542" s="8" t="s">
        <v>96</v>
      </c>
      <c r="F542" s="9" t="s">
        <v>1338</v>
      </c>
      <c r="G542" s="7" t="s">
        <v>438</v>
      </c>
      <c r="H542" s="7"/>
      <c r="I542" s="10"/>
      <c r="J542" s="10"/>
      <c r="K542" s="10"/>
      <c r="L542" s="11"/>
      <c r="M542" s="10"/>
      <c r="N542" s="11"/>
      <c r="O542" s="10"/>
      <c r="P542" s="11"/>
      <c r="Q542" s="10"/>
      <c r="R542" s="11"/>
      <c r="S542" s="10"/>
      <c r="T542" s="11"/>
      <c r="U542" s="10"/>
      <c r="V542" s="11"/>
      <c r="W542" s="10"/>
      <c r="X542" s="11"/>
      <c r="Y542" s="10"/>
      <c r="Z542" s="11"/>
      <c r="AA542" s="10"/>
      <c r="AB542" s="11"/>
      <c r="AC542" s="10"/>
      <c r="AD542" s="11"/>
      <c r="AE542" s="10"/>
      <c r="AF542" s="11"/>
      <c r="AG542" s="11"/>
      <c r="AH542" s="11"/>
      <c r="AI542" s="10"/>
      <c r="AJ542" s="10"/>
    </row>
    <row r="543" customFormat="false" ht="26.85" hidden="false" customHeight="false" outlineLevel="0" collapsed="false">
      <c r="A543" s="7" t="n">
        <v>541</v>
      </c>
      <c r="B543" s="7" t="str">
        <f aca="false">IF(I543="Y",IF(COUNTIF(I$3:I543,"Y")&lt;=20,"pilot",IF(COUNTIF(I$3:I543,"Y")&lt;=40,"dev",IF(COUNTIF(I$3:I543,"Y")&lt;=200,"test","extra"))),"")</f>
        <v/>
      </c>
      <c r="C543" s="7" t="str">
        <f aca="false">IF(I543="Y",IF(COUNTA(K543,M543,O543,Q543,S543,U543,W543,Y543,AA543,AC543,AE543)=11,"done","in progress"),IF(I543="N","excluded",""))</f>
        <v/>
      </c>
      <c r="D543" s="7" t="s">
        <v>1339</v>
      </c>
      <c r="E543" s="8" t="s">
        <v>96</v>
      </c>
      <c r="F543" s="9" t="s">
        <v>1340</v>
      </c>
      <c r="G543" s="7" t="s">
        <v>1341</v>
      </c>
      <c r="H543" s="7"/>
      <c r="I543" s="10"/>
      <c r="J543" s="10"/>
      <c r="K543" s="10"/>
      <c r="L543" s="11"/>
      <c r="M543" s="10"/>
      <c r="N543" s="11"/>
      <c r="O543" s="10"/>
      <c r="P543" s="11"/>
      <c r="Q543" s="10"/>
      <c r="R543" s="11"/>
      <c r="S543" s="10"/>
      <c r="T543" s="11"/>
      <c r="U543" s="10"/>
      <c r="V543" s="11"/>
      <c r="W543" s="10"/>
      <c r="X543" s="11"/>
      <c r="Y543" s="10"/>
      <c r="Z543" s="11"/>
      <c r="AA543" s="10"/>
      <c r="AB543" s="11"/>
      <c r="AC543" s="10"/>
      <c r="AD543" s="11"/>
      <c r="AE543" s="10"/>
      <c r="AF543" s="11"/>
      <c r="AG543" s="11"/>
      <c r="AH543" s="11"/>
      <c r="AI543" s="10"/>
      <c r="AJ543" s="10"/>
    </row>
    <row r="544" customFormat="false" ht="39.55" hidden="false" customHeight="false" outlineLevel="0" collapsed="false">
      <c r="A544" s="7" t="n">
        <v>542</v>
      </c>
      <c r="B544" s="7" t="str">
        <f aca="false">IF(I544="Y",IF(COUNTIF(I$3:I544,"Y")&lt;=20,"pilot",IF(COUNTIF(I$3:I544,"Y")&lt;=40,"dev",IF(COUNTIF(I$3:I544,"Y")&lt;=200,"test","extra"))),"")</f>
        <v/>
      </c>
      <c r="C544" s="7" t="str">
        <f aca="false">IF(I544="Y",IF(COUNTA(K544,M544,O544,Q544,S544,U544,W544,Y544,AA544,AC544,AE544)=11,"done","in progress"),IF(I544="N","excluded",""))</f>
        <v/>
      </c>
      <c r="D544" s="7" t="s">
        <v>1342</v>
      </c>
      <c r="E544" s="8" t="s">
        <v>96</v>
      </c>
      <c r="F544" s="9" t="s">
        <v>1343</v>
      </c>
      <c r="G544" s="7" t="s">
        <v>1344</v>
      </c>
      <c r="H544" s="7"/>
      <c r="I544" s="10"/>
      <c r="J544" s="10"/>
      <c r="K544" s="10"/>
      <c r="L544" s="11"/>
      <c r="M544" s="10"/>
      <c r="N544" s="11"/>
      <c r="O544" s="10"/>
      <c r="P544" s="11"/>
      <c r="Q544" s="10"/>
      <c r="R544" s="11"/>
      <c r="S544" s="10"/>
      <c r="T544" s="11"/>
      <c r="U544" s="10"/>
      <c r="V544" s="11"/>
      <c r="W544" s="10"/>
      <c r="X544" s="11"/>
      <c r="Y544" s="10"/>
      <c r="Z544" s="11"/>
      <c r="AA544" s="10"/>
      <c r="AB544" s="11"/>
      <c r="AC544" s="10"/>
      <c r="AD544" s="11"/>
      <c r="AE544" s="10"/>
      <c r="AF544" s="11"/>
      <c r="AG544" s="11"/>
      <c r="AH544" s="11"/>
      <c r="AI544" s="10"/>
      <c r="AJ544" s="10"/>
    </row>
  </sheetData>
  <autoFilter ref="A1:AJ544"/>
  <conditionalFormatting sqref="K3:AE544">
    <cfRule type="cellIs" priority="2" operator="equal" aboveAverage="0" equalAverage="0" bottom="0" percent="0" rank="0" text="" dxfId="7">
      <formula>"RISK"</formula>
    </cfRule>
    <cfRule type="cellIs" priority="3" operator="equal" aboveAverage="0" equalAverage="0" bottom="0" percent="0" rank="0" text="" dxfId="8">
      <formula>"UNCLEAR"</formula>
    </cfRule>
    <cfRule type="cellIs" priority="4" operator="equal" aboveAverage="0" equalAverage="0" bottom="0" percent="0" rank="0" text="" dxfId="9">
      <formula>"SAFE"</formula>
    </cfRule>
  </conditionalFormatting>
  <dataValidations count="12">
    <dataValidation allowBlank="true" error="Choose one of: Y,N" errorStyle="stop" errorTitle="Invalid label" operator="between" showDropDown="false" showErrorMessage="true" showInputMessage="false" sqref="I3:I544" type="list">
      <formula1>"Y,N"</formula1>
      <formula2>0</formula2>
    </dataValidation>
    <dataValidation allowBlank="true" error="Choose one of: SAFE,RISK,UNCLEAR" errorStyle="stop" errorTitle="Invalid label" operator="between" showDropDown="false" showErrorMessage="true" showInputMessage="false" sqref="K3:K544" type="list">
      <formula1>"SAFE,RISK,UNCLEAR"</formula1>
      <formula2>0</formula2>
    </dataValidation>
    <dataValidation allowBlank="true" error="Choose one of: SAFE,RISK,UNCLEAR" errorStyle="stop" errorTitle="Invalid label" operator="between" showDropDown="false" showErrorMessage="true" showInputMessage="false" sqref="M3:M544" type="list">
      <formula1>"SAFE,RISK,UNCLEAR"</formula1>
      <formula2>0</formula2>
    </dataValidation>
    <dataValidation allowBlank="true" error="Choose one of: SAFE,RISK,UNCLEAR,N/A" errorStyle="stop" errorTitle="Invalid label" operator="between" showDropDown="false" showErrorMessage="true" showInputMessage="false" sqref="O3:O544" type="list">
      <formula1>"SAFE,RISK,UNCLEAR,N/A"</formula1>
      <formula2>0</formula2>
    </dataValidation>
    <dataValidation allowBlank="true" error="Choose one of: SAFE,RISK,UNCLEAR" errorStyle="stop" errorTitle="Invalid label" operator="between" showDropDown="false" showErrorMessage="true" showInputMessage="false" sqref="Q3:Q544" type="list">
      <formula1>"SAFE,RISK,UNCLEAR"</formula1>
      <formula2>0</formula2>
    </dataValidation>
    <dataValidation allowBlank="true" error="Choose one of: YES,NO" errorStyle="stop" errorTitle="Invalid label" operator="between" showDropDown="false" showErrorMessage="true" showInputMessage="false" sqref="S3:S544" type="list">
      <formula1>"YES,NO"</formula1>
      <formula2>0</formula2>
    </dataValidation>
    <dataValidation allowBlank="true" error="Choose one of: YES,NO" errorStyle="stop" errorTitle="Invalid label" operator="between" showDropDown="false" showErrorMessage="true" showInputMessage="false" sqref="U3:U544" type="list">
      <formula1>"YES,NO"</formula1>
      <formula2>0</formula2>
    </dataValidation>
    <dataValidation allowBlank="true" error="Choose one of: YES,NO" errorStyle="stop" errorTitle="Invalid label" operator="between" showDropDown="false" showErrorMessage="true" showInputMessage="false" sqref="W3:W544" type="list">
      <formula1>"YES,NO"</formula1>
      <formula2>0</formula2>
    </dataValidation>
    <dataValidation allowBlank="true" error="Choose one of: YES,NO,N/A" errorStyle="stop" errorTitle="Invalid label" operator="between" showDropDown="false" showErrorMessage="true" showInputMessage="false" sqref="Y3:Y544" type="list">
      <formula1>"YES,NO,N/A"</formula1>
      <formula2>0</formula2>
    </dataValidation>
    <dataValidation allowBlank="true" error="Choose one of: SAFE,RISK,UNCLEAR,N/A" errorStyle="stop" errorTitle="Invalid label" operator="between" showDropDown="false" showErrorMessage="true" showInputMessage="false" sqref="AA3:AA544" type="list">
      <formula1>"SAFE,RISK,UNCLEAR,N/A"</formula1>
      <formula2>0</formula2>
    </dataValidation>
    <dataValidation allowBlank="true" error="Choose one of: YES,REQUEST,NO" errorStyle="stop" errorTitle="Invalid label" operator="between" showDropDown="false" showErrorMessage="true" showInputMessage="false" sqref="AC3:AC544" type="list">
      <formula1>"YES,REQUEST,NO"</formula1>
      <formula2>0</formula2>
    </dataValidation>
    <dataValidation allowBlank="true" error="Choose one of: PUBLIC,RESTRICTED,NO" errorStyle="stop" errorTitle="Invalid label" operator="between" showDropDown="false" showErrorMessage="true" showInputMessage="false" sqref="AE3:AE544" type="list">
      <formula1>"PUBLIC,RESTRICTED,NO"</formula1>
      <formula2>0</formula2>
    </dataValidation>
  </dataValidations>
  <hyperlinks>
    <hyperlink ref="E3" r:id="rId1" display="Europe PMC"/>
    <hyperlink ref="E4" r:id="rId2" display="Europe PMC"/>
    <hyperlink ref="E5" r:id="rId3" display="Europe PMC"/>
    <hyperlink ref="E6" r:id="rId4" display="Europe PMC"/>
    <hyperlink ref="E7" r:id="rId5" display="Europe PMC"/>
    <hyperlink ref="E8" r:id="rId6" display="Europe PMC"/>
    <hyperlink ref="E9" r:id="rId7" display="Europe PMC"/>
    <hyperlink ref="E10" r:id="rId8" display="Europe PMC"/>
    <hyperlink ref="E11" r:id="rId9" display="Europe PMC"/>
    <hyperlink ref="E12" r:id="rId10" display="Europe PMC"/>
    <hyperlink ref="E13" r:id="rId11" display="Europe PMC"/>
    <hyperlink ref="E14" r:id="rId12" display="Europe PMC"/>
    <hyperlink ref="E15" r:id="rId13" display="Europe PMC"/>
    <hyperlink ref="E16" r:id="rId14" display="Europe PMC"/>
    <hyperlink ref="E17" r:id="rId15" display="Europe PMC"/>
    <hyperlink ref="E18" r:id="rId16" display="Europe PMC"/>
    <hyperlink ref="E19" r:id="rId17" display="Europe PMC"/>
    <hyperlink ref="E20" r:id="rId18" display="Europe PMC"/>
    <hyperlink ref="E21" r:id="rId19" display="Europe PMC"/>
    <hyperlink ref="E22" r:id="rId20" display="Europe PMC"/>
    <hyperlink ref="E23" r:id="rId21" display="Europe PMC"/>
    <hyperlink ref="E24" r:id="rId22" display="Europe PMC"/>
    <hyperlink ref="E25" r:id="rId23" display="Europe PMC"/>
    <hyperlink ref="E26" r:id="rId24" display="Europe PMC"/>
    <hyperlink ref="E27" r:id="rId25" display="Europe PMC"/>
    <hyperlink ref="E28" r:id="rId26" display="Europe PMC"/>
    <hyperlink ref="E29" r:id="rId27" display="Europe PMC"/>
    <hyperlink ref="E30" r:id="rId28" display="Europe PMC"/>
    <hyperlink ref="E31" r:id="rId29" display="Europe PMC"/>
    <hyperlink ref="E32" r:id="rId30" display="Europe PMC"/>
    <hyperlink ref="E33" r:id="rId31" display="Europe PMC"/>
    <hyperlink ref="E34" r:id="rId32" display="Europe PMC"/>
    <hyperlink ref="E35" r:id="rId33" display="Europe PMC"/>
    <hyperlink ref="E36" r:id="rId34" display="Europe PMC"/>
    <hyperlink ref="E37" r:id="rId35" display="Europe PMC"/>
    <hyperlink ref="E38" r:id="rId36" display="Europe PMC"/>
    <hyperlink ref="E39" r:id="rId37" display="Europe PMC"/>
    <hyperlink ref="E40" r:id="rId38" display="Europe PMC"/>
    <hyperlink ref="E41" r:id="rId39" display="Europe PMC"/>
    <hyperlink ref="E42" r:id="rId40" display="Europe PMC"/>
    <hyperlink ref="E43" r:id="rId41" display="Europe PMC"/>
    <hyperlink ref="E44" r:id="rId42" display="Europe PMC"/>
    <hyperlink ref="E45" r:id="rId43" display="Europe PMC"/>
    <hyperlink ref="E46" r:id="rId44" display="Europe PMC"/>
    <hyperlink ref="E47" r:id="rId45" display="Europe PMC"/>
    <hyperlink ref="E48" r:id="rId46" display="Europe PMC"/>
    <hyperlink ref="E49" r:id="rId47" display="Europe PMC"/>
    <hyperlink ref="E50" r:id="rId48" display="Europe PMC"/>
    <hyperlink ref="E51" r:id="rId49" display="Europe PMC"/>
    <hyperlink ref="E52" r:id="rId50" display="Europe PMC"/>
    <hyperlink ref="E53" r:id="rId51" display="Europe PMC"/>
    <hyperlink ref="E54" r:id="rId52" display="Europe PMC"/>
    <hyperlink ref="E55" r:id="rId53" display="Europe PMC"/>
    <hyperlink ref="E56" r:id="rId54" display="Europe PMC"/>
    <hyperlink ref="E57" r:id="rId55" display="Europe PMC"/>
    <hyperlink ref="E58" r:id="rId56" display="Europe PMC"/>
    <hyperlink ref="E59" r:id="rId57" display="Europe PMC"/>
    <hyperlink ref="E60" r:id="rId58" display="Europe PMC"/>
    <hyperlink ref="E61" r:id="rId59" display="Europe PMC"/>
    <hyperlink ref="E62" r:id="rId60" display="Europe PMC"/>
    <hyperlink ref="E63" r:id="rId61" display="Europe PMC"/>
    <hyperlink ref="E64" r:id="rId62" display="Europe PMC"/>
    <hyperlink ref="E65" r:id="rId63" display="Europe PMC"/>
    <hyperlink ref="E66" r:id="rId64" display="Europe PMC"/>
    <hyperlink ref="E67" r:id="rId65" display="Europe PMC"/>
    <hyperlink ref="E68" r:id="rId66" display="Europe PMC"/>
    <hyperlink ref="E69" r:id="rId67" display="Europe PMC"/>
    <hyperlink ref="E70" r:id="rId68" display="Europe PMC"/>
    <hyperlink ref="E71" r:id="rId69" display="Europe PMC"/>
    <hyperlink ref="E72" r:id="rId70" display="Europe PMC"/>
    <hyperlink ref="E73" r:id="rId71" display="Europe PMC"/>
    <hyperlink ref="E74" r:id="rId72" display="Europe PMC"/>
    <hyperlink ref="E75" r:id="rId73" display="Europe PMC"/>
    <hyperlink ref="E76" r:id="rId74" display="Europe PMC"/>
    <hyperlink ref="E77" r:id="rId75" display="Europe PMC"/>
    <hyperlink ref="E78" r:id="rId76" display="Europe PMC"/>
    <hyperlink ref="E79" r:id="rId77" display="Europe PMC"/>
    <hyperlink ref="E80" r:id="rId78" display="Europe PMC"/>
    <hyperlink ref="E81" r:id="rId79" display="Europe PMC"/>
    <hyperlink ref="E82" r:id="rId80" display="Europe PMC"/>
    <hyperlink ref="E83" r:id="rId81" display="Europe PMC"/>
    <hyperlink ref="E84" r:id="rId82" display="Europe PMC"/>
    <hyperlink ref="E85" r:id="rId83" display="Europe PMC"/>
    <hyperlink ref="E86" r:id="rId84" display="Europe PMC"/>
    <hyperlink ref="E87" r:id="rId85" display="Europe PMC"/>
    <hyperlink ref="E88" r:id="rId86" display="Europe PMC"/>
    <hyperlink ref="E89" r:id="rId87" display="Europe PMC"/>
    <hyperlink ref="E90" r:id="rId88" display="Europe PMC"/>
    <hyperlink ref="E91" r:id="rId89" display="Europe PMC"/>
    <hyperlink ref="E92" r:id="rId90" display="Europe PMC"/>
    <hyperlink ref="E93" r:id="rId91" display="Europe PMC"/>
    <hyperlink ref="E94" r:id="rId92" display="Europe PMC"/>
    <hyperlink ref="E95" r:id="rId93" display="Europe PMC"/>
    <hyperlink ref="E96" r:id="rId94" display="Europe PMC"/>
    <hyperlink ref="E97" r:id="rId95" display="Europe PMC"/>
    <hyperlink ref="E98" r:id="rId96" display="Europe PMC"/>
    <hyperlink ref="E99" r:id="rId97" display="Europe PMC"/>
    <hyperlink ref="E100" r:id="rId98" display="Europe PMC"/>
    <hyperlink ref="E101" r:id="rId99" display="Europe PMC"/>
    <hyperlink ref="E102" r:id="rId100" display="Europe PMC"/>
    <hyperlink ref="E103" r:id="rId101" display="Europe PMC"/>
    <hyperlink ref="E104" r:id="rId102" display="Europe PMC"/>
    <hyperlink ref="E105" r:id="rId103" display="Europe PMC"/>
    <hyperlink ref="E106" r:id="rId104" display="Europe PMC"/>
    <hyperlink ref="E107" r:id="rId105" display="Europe PMC"/>
    <hyperlink ref="E108" r:id="rId106" display="Europe PMC"/>
    <hyperlink ref="E109" r:id="rId107" display="Europe PMC"/>
    <hyperlink ref="E110" r:id="rId108" display="Europe PMC"/>
    <hyperlink ref="E111" r:id="rId109" display="Europe PMC"/>
    <hyperlink ref="E112" r:id="rId110" display="Europe PMC"/>
    <hyperlink ref="E113" r:id="rId111" display="Europe PMC"/>
    <hyperlink ref="E114" r:id="rId112" display="Europe PMC"/>
    <hyperlink ref="E115" r:id="rId113" display="Europe PMC"/>
    <hyperlink ref="E116" r:id="rId114" display="Europe PMC"/>
    <hyperlink ref="E117" r:id="rId115" display="Europe PMC"/>
    <hyperlink ref="E118" r:id="rId116" display="Europe PMC"/>
    <hyperlink ref="E119" r:id="rId117" display="Europe PMC"/>
    <hyperlink ref="E120" r:id="rId118" display="Europe PMC"/>
    <hyperlink ref="E121" r:id="rId119" display="Europe PMC"/>
    <hyperlink ref="E122" r:id="rId120" display="Europe PMC"/>
    <hyperlink ref="E123" r:id="rId121" display="Europe PMC"/>
    <hyperlink ref="E124" r:id="rId122" display="Europe PMC"/>
    <hyperlink ref="E125" r:id="rId123" display="Europe PMC"/>
    <hyperlink ref="E126" r:id="rId124" display="Europe PMC"/>
    <hyperlink ref="E127" r:id="rId125" display="Europe PMC"/>
    <hyperlink ref="E128" r:id="rId126" display="Europe PMC"/>
    <hyperlink ref="E129" r:id="rId127" display="Europe PMC"/>
    <hyperlink ref="E130" r:id="rId128" display="Europe PMC"/>
    <hyperlink ref="E131" r:id="rId129" display="Europe PMC"/>
    <hyperlink ref="E132" r:id="rId130" display="Europe PMC"/>
    <hyperlink ref="E133" r:id="rId131" display="Europe PMC"/>
    <hyperlink ref="E134" r:id="rId132" display="Europe PMC"/>
    <hyperlink ref="E135" r:id="rId133" display="Europe PMC"/>
    <hyperlink ref="E136" r:id="rId134" display="Europe PMC"/>
    <hyperlink ref="E137" r:id="rId135" display="Europe PMC"/>
    <hyperlink ref="E138" r:id="rId136" display="Europe PMC"/>
    <hyperlink ref="E139" r:id="rId137" display="Europe PMC"/>
    <hyperlink ref="E140" r:id="rId138" display="Europe PMC"/>
    <hyperlink ref="E141" r:id="rId139" display="Europe PMC"/>
    <hyperlink ref="E142" r:id="rId140" display="Europe PMC"/>
    <hyperlink ref="E143" r:id="rId141" display="Europe PMC"/>
    <hyperlink ref="E144" r:id="rId142" display="Europe PMC"/>
    <hyperlink ref="E145" r:id="rId143" display="Europe PMC"/>
    <hyperlink ref="E146" r:id="rId144" display="Europe PMC"/>
    <hyperlink ref="E147" r:id="rId145" display="Europe PMC"/>
    <hyperlink ref="E148" r:id="rId146" display="Europe PMC"/>
    <hyperlink ref="E149" r:id="rId147" display="Europe PMC"/>
    <hyperlink ref="E150" r:id="rId148" display="Europe PMC"/>
    <hyperlink ref="E151" r:id="rId149" display="Europe PMC"/>
    <hyperlink ref="E152" r:id="rId150" display="Europe PMC"/>
    <hyperlink ref="E153" r:id="rId151" display="Europe PMC"/>
    <hyperlink ref="E154" r:id="rId152" display="Europe PMC"/>
    <hyperlink ref="E155" r:id="rId153" display="Europe PMC"/>
    <hyperlink ref="E156" r:id="rId154" display="Europe PMC"/>
    <hyperlink ref="E157" r:id="rId155" display="Europe PMC"/>
    <hyperlink ref="E158" r:id="rId156" display="Europe PMC"/>
    <hyperlink ref="E159" r:id="rId157" display="Europe PMC"/>
    <hyperlink ref="E160" r:id="rId158" display="Europe PMC"/>
    <hyperlink ref="E161" r:id="rId159" display="Europe PMC"/>
    <hyperlink ref="E162" r:id="rId160" display="Europe PMC"/>
    <hyperlink ref="E163" r:id="rId161" display="Europe PMC"/>
    <hyperlink ref="E164" r:id="rId162" display="Europe PMC"/>
    <hyperlink ref="E165" r:id="rId163" display="Europe PMC"/>
    <hyperlink ref="E166" r:id="rId164" display="Europe PMC"/>
    <hyperlink ref="E167" r:id="rId165" display="Europe PMC"/>
    <hyperlink ref="E168" r:id="rId166" display="Europe PMC"/>
    <hyperlink ref="E169" r:id="rId167" display="Europe PMC"/>
    <hyperlink ref="E170" r:id="rId168" display="Europe PMC"/>
    <hyperlink ref="E171" r:id="rId169" display="Europe PMC"/>
    <hyperlink ref="E172" r:id="rId170" display="Europe PMC"/>
    <hyperlink ref="E173" r:id="rId171" display="Europe PMC"/>
    <hyperlink ref="E174" r:id="rId172" display="Europe PMC"/>
    <hyperlink ref="E175" r:id="rId173" display="Europe PMC"/>
    <hyperlink ref="E176" r:id="rId174" display="Europe PMC"/>
    <hyperlink ref="E177" r:id="rId175" display="Europe PMC"/>
    <hyperlink ref="E178" r:id="rId176" display="Europe PMC"/>
    <hyperlink ref="E179" r:id="rId177" display="Europe PMC"/>
    <hyperlink ref="E180" r:id="rId178" display="Europe PMC"/>
    <hyperlink ref="E181" r:id="rId179" display="Europe PMC"/>
    <hyperlink ref="E182" r:id="rId180" display="Europe PMC"/>
    <hyperlink ref="E183" r:id="rId181" display="Europe PMC"/>
    <hyperlink ref="E184" r:id="rId182" display="Europe PMC"/>
    <hyperlink ref="E185" r:id="rId183" display="Europe PMC"/>
    <hyperlink ref="E186" r:id="rId184" display="Europe PMC"/>
    <hyperlink ref="E187" r:id="rId185" display="Europe PMC"/>
    <hyperlink ref="E188" r:id="rId186" display="Europe PMC"/>
    <hyperlink ref="E189" r:id="rId187" display="Europe PMC"/>
    <hyperlink ref="E190" r:id="rId188" display="Europe PMC"/>
    <hyperlink ref="E191" r:id="rId189" display="Europe PMC"/>
    <hyperlink ref="E192" r:id="rId190" display="Europe PMC"/>
    <hyperlink ref="E193" r:id="rId191" display="Europe PMC"/>
    <hyperlink ref="E194" r:id="rId192" display="Europe PMC"/>
    <hyperlink ref="E195" r:id="rId193" display="Europe PMC"/>
    <hyperlink ref="E196" r:id="rId194" display="Europe PMC"/>
    <hyperlink ref="E197" r:id="rId195" display="Europe PMC"/>
    <hyperlink ref="E198" r:id="rId196" display="Europe PMC"/>
    <hyperlink ref="E199" r:id="rId197" display="Europe PMC"/>
    <hyperlink ref="E200" r:id="rId198" display="Europe PMC"/>
    <hyperlink ref="E201" r:id="rId199" display="Europe PMC"/>
    <hyperlink ref="E202" r:id="rId200" display="Europe PMC"/>
    <hyperlink ref="E203" r:id="rId201" display="Europe PMC"/>
    <hyperlink ref="E204" r:id="rId202" display="Europe PMC"/>
    <hyperlink ref="E205" r:id="rId203" display="Europe PMC"/>
    <hyperlink ref="E206" r:id="rId204" display="Europe PMC"/>
    <hyperlink ref="E207" r:id="rId205" display="Europe PMC"/>
    <hyperlink ref="E208" r:id="rId206" display="Europe PMC"/>
    <hyperlink ref="E209" r:id="rId207" display="Europe PMC"/>
    <hyperlink ref="E210" r:id="rId208" display="Europe PMC"/>
    <hyperlink ref="E211" r:id="rId209" display="Europe PMC"/>
    <hyperlink ref="E212" r:id="rId210" display="Europe PMC"/>
    <hyperlink ref="E213" r:id="rId211" display="Europe PMC"/>
    <hyperlink ref="E214" r:id="rId212" display="Europe PMC"/>
    <hyperlink ref="E215" r:id="rId213" display="Europe PMC"/>
    <hyperlink ref="E216" r:id="rId214" display="Europe PMC"/>
    <hyperlink ref="E217" r:id="rId215" display="Europe PMC"/>
    <hyperlink ref="E218" r:id="rId216" display="Europe PMC"/>
    <hyperlink ref="E219" r:id="rId217" display="Europe PMC"/>
    <hyperlink ref="E220" r:id="rId218" display="Europe PMC"/>
    <hyperlink ref="E221" r:id="rId219" display="Europe PMC"/>
    <hyperlink ref="E222" r:id="rId220" display="Europe PMC"/>
    <hyperlink ref="E223" r:id="rId221" display="Europe PMC"/>
    <hyperlink ref="E224" r:id="rId222" display="Europe PMC"/>
    <hyperlink ref="E225" r:id="rId223" display="Europe PMC"/>
    <hyperlink ref="E226" r:id="rId224" display="Europe PMC"/>
    <hyperlink ref="E227" r:id="rId225" display="Europe PMC"/>
    <hyperlink ref="E228" r:id="rId226" display="Europe PMC"/>
    <hyperlink ref="E229" r:id="rId227" display="Europe PMC"/>
    <hyperlink ref="E230" r:id="rId228" display="Europe PMC"/>
    <hyperlink ref="E231" r:id="rId229" display="Europe PMC"/>
    <hyperlink ref="E232" r:id="rId230" display="Europe PMC"/>
    <hyperlink ref="E233" r:id="rId231" display="Europe PMC"/>
    <hyperlink ref="E234" r:id="rId232" display="Europe PMC"/>
    <hyperlink ref="E235" r:id="rId233" display="Europe PMC"/>
    <hyperlink ref="E236" r:id="rId234" display="Europe PMC"/>
    <hyperlink ref="E237" r:id="rId235" display="Europe PMC"/>
    <hyperlink ref="E238" r:id="rId236" display="Europe PMC"/>
    <hyperlink ref="E239" r:id="rId237" display="Europe PMC"/>
    <hyperlink ref="E240" r:id="rId238" display="Europe PMC"/>
    <hyperlink ref="E241" r:id="rId239" display="Europe PMC"/>
    <hyperlink ref="E242" r:id="rId240" display="Europe PMC"/>
    <hyperlink ref="E243" r:id="rId241" display="Europe PMC"/>
    <hyperlink ref="E244" r:id="rId242" display="Europe PMC"/>
    <hyperlink ref="E245" r:id="rId243" display="Europe PMC"/>
    <hyperlink ref="E246" r:id="rId244" display="Europe PMC"/>
    <hyperlink ref="E247" r:id="rId245" display="Europe PMC"/>
    <hyperlink ref="E248" r:id="rId246" display="Europe PMC"/>
    <hyperlink ref="E249" r:id="rId247" display="Europe PMC"/>
    <hyperlink ref="E250" r:id="rId248" display="Europe PMC"/>
    <hyperlink ref="E251" r:id="rId249" display="Europe PMC"/>
    <hyperlink ref="E252" r:id="rId250" display="Europe PMC"/>
    <hyperlink ref="E253" r:id="rId251" display="Europe PMC"/>
    <hyperlink ref="E254" r:id="rId252" display="Europe PMC"/>
    <hyperlink ref="E255" r:id="rId253" display="Europe PMC"/>
    <hyperlink ref="E256" r:id="rId254" display="Europe PMC"/>
    <hyperlink ref="E257" r:id="rId255" display="Europe PMC"/>
    <hyperlink ref="E258" r:id="rId256" display="Europe PMC"/>
    <hyperlink ref="E259" r:id="rId257" display="Europe PMC"/>
    <hyperlink ref="E260" r:id="rId258" display="Europe PMC"/>
    <hyperlink ref="E261" r:id="rId259" display="Europe PMC"/>
    <hyperlink ref="E262" r:id="rId260" display="Europe PMC"/>
    <hyperlink ref="E263" r:id="rId261" display="Europe PMC"/>
    <hyperlink ref="E264" r:id="rId262" display="Europe PMC"/>
    <hyperlink ref="E265" r:id="rId263" display="Europe PMC"/>
    <hyperlink ref="E266" r:id="rId264" display="Europe PMC"/>
    <hyperlink ref="E267" r:id="rId265" display="Europe PMC"/>
    <hyperlink ref="E268" r:id="rId266" display="Europe PMC"/>
    <hyperlink ref="E269" r:id="rId267" display="Europe PMC"/>
    <hyperlink ref="E270" r:id="rId268" display="Europe PMC"/>
    <hyperlink ref="E271" r:id="rId269" display="Europe PMC"/>
    <hyperlink ref="E272" r:id="rId270" display="Europe PMC"/>
    <hyperlink ref="E273" r:id="rId271" display="Europe PMC"/>
    <hyperlink ref="E274" r:id="rId272" display="Europe PMC"/>
    <hyperlink ref="E275" r:id="rId273" display="Europe PMC"/>
    <hyperlink ref="E276" r:id="rId274" display="Europe PMC"/>
    <hyperlink ref="E277" r:id="rId275" display="Europe PMC"/>
    <hyperlink ref="E278" r:id="rId276" display="Europe PMC"/>
    <hyperlink ref="E279" r:id="rId277" display="Europe PMC"/>
    <hyperlink ref="E280" r:id="rId278" display="Europe PMC"/>
    <hyperlink ref="E281" r:id="rId279" display="Europe PMC"/>
    <hyperlink ref="E282" r:id="rId280" display="Europe PMC"/>
    <hyperlink ref="E283" r:id="rId281" display="Europe PMC"/>
    <hyperlink ref="E284" r:id="rId282" display="Europe PMC"/>
    <hyperlink ref="E285" r:id="rId283" display="Europe PMC"/>
    <hyperlink ref="E286" r:id="rId284" display="Europe PMC"/>
    <hyperlink ref="E287" r:id="rId285" display="Europe PMC"/>
    <hyperlink ref="E288" r:id="rId286" display="Europe PMC"/>
    <hyperlink ref="E289" r:id="rId287" display="Europe PMC"/>
    <hyperlink ref="E290" r:id="rId288" display="Europe PMC"/>
    <hyperlink ref="E291" r:id="rId289" display="Europe PMC"/>
    <hyperlink ref="E292" r:id="rId290" display="Europe PMC"/>
    <hyperlink ref="E293" r:id="rId291" display="Europe PMC"/>
    <hyperlink ref="E294" r:id="rId292" display="Europe PMC"/>
    <hyperlink ref="E295" r:id="rId293" display="Europe PMC"/>
    <hyperlink ref="E296" r:id="rId294" display="Europe PMC"/>
    <hyperlink ref="E297" r:id="rId295" display="Europe PMC"/>
    <hyperlink ref="E298" r:id="rId296" display="Europe PMC"/>
    <hyperlink ref="E299" r:id="rId297" display="Europe PMC"/>
    <hyperlink ref="E300" r:id="rId298" display="Europe PMC"/>
    <hyperlink ref="E301" r:id="rId299" display="Europe PMC"/>
    <hyperlink ref="E302" r:id="rId300" display="Europe PMC"/>
    <hyperlink ref="E303" r:id="rId301" display="Europe PMC"/>
    <hyperlink ref="E304" r:id="rId302" display="Europe PMC"/>
    <hyperlink ref="E305" r:id="rId303" display="Europe PMC"/>
    <hyperlink ref="E306" r:id="rId304" display="Europe PMC"/>
    <hyperlink ref="E307" r:id="rId305" display="Europe PMC"/>
    <hyperlink ref="E308" r:id="rId306" display="Europe PMC"/>
    <hyperlink ref="E309" r:id="rId307" display="Europe PMC"/>
    <hyperlink ref="E310" r:id="rId308" display="Europe PMC"/>
    <hyperlink ref="E311" r:id="rId309" display="Europe PMC"/>
    <hyperlink ref="E312" r:id="rId310" display="Europe PMC"/>
    <hyperlink ref="E313" r:id="rId311" display="Europe PMC"/>
    <hyperlink ref="E314" r:id="rId312" display="Europe PMC"/>
    <hyperlink ref="E315" r:id="rId313" display="Europe PMC"/>
    <hyperlink ref="E316" r:id="rId314" display="Europe PMC"/>
    <hyperlink ref="E317" r:id="rId315" display="Europe PMC"/>
    <hyperlink ref="E318" r:id="rId316" display="Europe PMC"/>
    <hyperlink ref="E319" r:id="rId317" display="Europe PMC"/>
    <hyperlink ref="E320" r:id="rId318" display="Europe PMC"/>
    <hyperlink ref="E321" r:id="rId319" display="Europe PMC"/>
    <hyperlink ref="E322" r:id="rId320" display="Europe PMC"/>
    <hyperlink ref="E323" r:id="rId321" display="Europe PMC"/>
    <hyperlink ref="E324" r:id="rId322" display="Europe PMC"/>
    <hyperlink ref="E325" r:id="rId323" display="Europe PMC"/>
    <hyperlink ref="E326" r:id="rId324" display="Europe PMC"/>
    <hyperlink ref="E327" r:id="rId325" display="Europe PMC"/>
    <hyperlink ref="E328" r:id="rId326" display="Europe PMC"/>
    <hyperlink ref="E329" r:id="rId327" display="Europe PMC"/>
    <hyperlink ref="E330" r:id="rId328" display="Europe PMC"/>
    <hyperlink ref="E331" r:id="rId329" display="Europe PMC"/>
    <hyperlink ref="E332" r:id="rId330" display="Europe PMC"/>
    <hyperlink ref="E333" r:id="rId331" display="Europe PMC"/>
    <hyperlink ref="E334" r:id="rId332" display="Europe PMC"/>
    <hyperlink ref="E335" r:id="rId333" display="Europe PMC"/>
    <hyperlink ref="E336" r:id="rId334" display="Europe PMC"/>
    <hyperlink ref="E337" r:id="rId335" display="Europe PMC"/>
    <hyperlink ref="E338" r:id="rId336" display="Europe PMC"/>
    <hyperlink ref="E339" r:id="rId337" display="Europe PMC"/>
    <hyperlink ref="E340" r:id="rId338" display="Europe PMC"/>
    <hyperlink ref="E341" r:id="rId339" display="Europe PMC"/>
    <hyperlink ref="E342" r:id="rId340" display="Europe PMC"/>
    <hyperlink ref="E343" r:id="rId341" display="Europe PMC"/>
    <hyperlink ref="E344" r:id="rId342" display="Europe PMC"/>
    <hyperlink ref="E345" r:id="rId343" display="Europe PMC"/>
    <hyperlink ref="E346" r:id="rId344" display="Europe PMC"/>
    <hyperlink ref="E347" r:id="rId345" display="Europe PMC"/>
    <hyperlink ref="E348" r:id="rId346" display="Europe PMC"/>
    <hyperlink ref="E349" r:id="rId347" display="Europe PMC"/>
    <hyperlink ref="E350" r:id="rId348" display="Europe PMC"/>
    <hyperlink ref="E351" r:id="rId349" display="Europe PMC"/>
    <hyperlink ref="E352" r:id="rId350" display="Europe PMC"/>
    <hyperlink ref="E353" r:id="rId351" display="Europe PMC"/>
    <hyperlink ref="E354" r:id="rId352" display="Europe PMC"/>
    <hyperlink ref="E355" r:id="rId353" display="Europe PMC"/>
    <hyperlink ref="E356" r:id="rId354" display="Europe PMC"/>
    <hyperlink ref="E357" r:id="rId355" display="Europe PMC"/>
    <hyperlink ref="E358" r:id="rId356" display="Europe PMC"/>
    <hyperlink ref="E359" r:id="rId357" display="Europe PMC"/>
    <hyperlink ref="E360" r:id="rId358" display="Europe PMC"/>
    <hyperlink ref="E361" r:id="rId359" display="Europe PMC"/>
    <hyperlink ref="E362" r:id="rId360" display="Europe PMC"/>
    <hyperlink ref="E363" r:id="rId361" display="Europe PMC"/>
    <hyperlink ref="E364" r:id="rId362" display="Europe PMC"/>
    <hyperlink ref="E365" r:id="rId363" display="Europe PMC"/>
    <hyperlink ref="E366" r:id="rId364" display="Europe PMC"/>
    <hyperlink ref="E367" r:id="rId365" display="Europe PMC"/>
    <hyperlink ref="E368" r:id="rId366" display="Europe PMC"/>
    <hyperlink ref="E369" r:id="rId367" display="Europe PMC"/>
    <hyperlink ref="E370" r:id="rId368" display="Europe PMC"/>
    <hyperlink ref="E371" r:id="rId369" display="Europe PMC"/>
    <hyperlink ref="E372" r:id="rId370" display="Europe PMC"/>
    <hyperlink ref="E373" r:id="rId371" display="Europe PMC"/>
    <hyperlink ref="E374" r:id="rId372" display="Europe PMC"/>
    <hyperlink ref="E375" r:id="rId373" display="Europe PMC"/>
    <hyperlink ref="E376" r:id="rId374" display="Europe PMC"/>
    <hyperlink ref="E377" r:id="rId375" display="Europe PMC"/>
    <hyperlink ref="E378" r:id="rId376" display="Europe PMC"/>
    <hyperlink ref="E379" r:id="rId377" display="Europe PMC"/>
    <hyperlink ref="E380" r:id="rId378" display="Europe PMC"/>
    <hyperlink ref="E381" r:id="rId379" display="Europe PMC"/>
    <hyperlink ref="E382" r:id="rId380" display="Europe PMC"/>
    <hyperlink ref="E383" r:id="rId381" display="Europe PMC"/>
    <hyperlink ref="E384" r:id="rId382" display="Europe PMC"/>
    <hyperlink ref="E385" r:id="rId383" display="Europe PMC"/>
    <hyperlink ref="E386" r:id="rId384" display="Europe PMC"/>
    <hyperlink ref="E387" r:id="rId385" display="Europe PMC"/>
    <hyperlink ref="E388" r:id="rId386" display="Europe PMC"/>
    <hyperlink ref="E389" r:id="rId387" display="Europe PMC"/>
    <hyperlink ref="E390" r:id="rId388" display="Europe PMC"/>
    <hyperlink ref="E391" r:id="rId389" display="Europe PMC"/>
    <hyperlink ref="E392" r:id="rId390" display="Europe PMC"/>
    <hyperlink ref="E393" r:id="rId391" display="Europe PMC"/>
    <hyperlink ref="E394" r:id="rId392" display="Europe PMC"/>
    <hyperlink ref="E395" r:id="rId393" display="Europe PMC"/>
    <hyperlink ref="E396" r:id="rId394" display="Europe PMC"/>
    <hyperlink ref="E397" r:id="rId395" display="Europe PMC"/>
    <hyperlink ref="E398" r:id="rId396" display="Europe PMC"/>
    <hyperlink ref="E399" r:id="rId397" display="Europe PMC"/>
    <hyperlink ref="E400" r:id="rId398" display="Europe PMC"/>
    <hyperlink ref="E401" r:id="rId399" display="Europe PMC"/>
    <hyperlink ref="E402" r:id="rId400" display="Europe PMC"/>
    <hyperlink ref="E403" r:id="rId401" display="Europe PMC"/>
    <hyperlink ref="E404" r:id="rId402" display="Europe PMC"/>
    <hyperlink ref="E405" r:id="rId403" display="Europe PMC"/>
    <hyperlink ref="E406" r:id="rId404" display="Europe PMC"/>
    <hyperlink ref="E407" r:id="rId405" display="Europe PMC"/>
    <hyperlink ref="E408" r:id="rId406" display="Europe PMC"/>
    <hyperlink ref="E409" r:id="rId407" display="Europe PMC"/>
    <hyperlink ref="E410" r:id="rId408" display="Europe PMC"/>
    <hyperlink ref="E411" r:id="rId409" display="Europe PMC"/>
    <hyperlink ref="E412" r:id="rId410" display="Europe PMC"/>
    <hyperlink ref="E413" r:id="rId411" display="Europe PMC"/>
    <hyperlink ref="E414" r:id="rId412" display="Europe PMC"/>
    <hyperlink ref="E415" r:id="rId413" display="Europe PMC"/>
    <hyperlink ref="E416" r:id="rId414" display="Europe PMC"/>
    <hyperlink ref="E417" r:id="rId415" display="Europe PMC"/>
    <hyperlink ref="E418" r:id="rId416" display="Europe PMC"/>
    <hyperlink ref="E419" r:id="rId417" display="Europe PMC"/>
    <hyperlink ref="E420" r:id="rId418" display="Europe PMC"/>
    <hyperlink ref="E421" r:id="rId419" display="Europe PMC"/>
    <hyperlink ref="E422" r:id="rId420" display="Europe PMC"/>
    <hyperlink ref="E423" r:id="rId421" display="Europe PMC"/>
    <hyperlink ref="E424" r:id="rId422" display="Europe PMC"/>
    <hyperlink ref="E425" r:id="rId423" display="Europe PMC"/>
    <hyperlink ref="E426" r:id="rId424" display="Europe PMC"/>
    <hyperlink ref="E427" r:id="rId425" display="Europe PMC"/>
    <hyperlink ref="E428" r:id="rId426" display="Europe PMC"/>
    <hyperlink ref="E429" r:id="rId427" display="Europe PMC"/>
    <hyperlink ref="E430" r:id="rId428" display="Europe PMC"/>
    <hyperlink ref="E431" r:id="rId429" display="Europe PMC"/>
    <hyperlink ref="E432" r:id="rId430" display="Europe PMC"/>
    <hyperlink ref="E433" r:id="rId431" display="Europe PMC"/>
    <hyperlink ref="E434" r:id="rId432" display="Europe PMC"/>
    <hyperlink ref="E435" r:id="rId433" display="Europe PMC"/>
    <hyperlink ref="E436" r:id="rId434" display="Europe PMC"/>
    <hyperlink ref="E437" r:id="rId435" display="Europe PMC"/>
    <hyperlink ref="E438" r:id="rId436" display="Europe PMC"/>
    <hyperlink ref="E439" r:id="rId437" display="Europe PMC"/>
    <hyperlink ref="E440" r:id="rId438" display="Europe PMC"/>
    <hyperlink ref="E441" r:id="rId439" display="Europe PMC"/>
    <hyperlink ref="E442" r:id="rId440" display="Europe PMC"/>
    <hyperlink ref="E443" r:id="rId441" display="Europe PMC"/>
    <hyperlink ref="E444" r:id="rId442" display="Europe PMC"/>
    <hyperlink ref="E445" r:id="rId443" display="Europe PMC"/>
    <hyperlink ref="E446" r:id="rId444" display="Europe PMC"/>
    <hyperlink ref="E447" r:id="rId445" display="Europe PMC"/>
    <hyperlink ref="E448" r:id="rId446" display="Europe PMC"/>
    <hyperlink ref="E449" r:id="rId447" display="Europe PMC"/>
    <hyperlink ref="E450" r:id="rId448" display="Europe PMC"/>
    <hyperlink ref="E451" r:id="rId449" display="Europe PMC"/>
    <hyperlink ref="E452" r:id="rId450" display="Europe PMC"/>
    <hyperlink ref="E453" r:id="rId451" display="Europe PMC"/>
    <hyperlink ref="E454" r:id="rId452" display="Europe PMC"/>
    <hyperlink ref="E455" r:id="rId453" display="Europe PMC"/>
    <hyperlink ref="E456" r:id="rId454" display="Europe PMC"/>
    <hyperlink ref="E457" r:id="rId455" display="Europe PMC"/>
    <hyperlink ref="E458" r:id="rId456" display="Europe PMC"/>
    <hyperlink ref="E459" r:id="rId457" display="Europe PMC"/>
    <hyperlink ref="E460" r:id="rId458" display="Europe PMC"/>
    <hyperlink ref="E461" r:id="rId459" display="Europe PMC"/>
    <hyperlink ref="E462" r:id="rId460" display="Europe PMC"/>
    <hyperlink ref="E463" r:id="rId461" display="Europe PMC"/>
    <hyperlink ref="E464" r:id="rId462" display="Europe PMC"/>
    <hyperlink ref="E465" r:id="rId463" display="Europe PMC"/>
    <hyperlink ref="E466" r:id="rId464" display="Europe PMC"/>
    <hyperlink ref="E467" r:id="rId465" display="Europe PMC"/>
    <hyperlink ref="E468" r:id="rId466" display="Europe PMC"/>
    <hyperlink ref="E469" r:id="rId467" display="Europe PMC"/>
    <hyperlink ref="E470" r:id="rId468" display="Europe PMC"/>
    <hyperlink ref="E471" r:id="rId469" display="Europe PMC"/>
    <hyperlink ref="E472" r:id="rId470" display="Europe PMC"/>
    <hyperlink ref="E473" r:id="rId471" display="Europe PMC"/>
    <hyperlink ref="E474" r:id="rId472" display="Europe PMC"/>
    <hyperlink ref="E475" r:id="rId473" display="Europe PMC"/>
    <hyperlink ref="E476" r:id="rId474" display="Europe PMC"/>
    <hyperlink ref="E477" r:id="rId475" display="Europe PMC"/>
    <hyperlink ref="E478" r:id="rId476" display="Europe PMC"/>
    <hyperlink ref="E479" r:id="rId477" display="Europe PMC"/>
    <hyperlink ref="E480" r:id="rId478" display="Europe PMC"/>
    <hyperlink ref="E481" r:id="rId479" display="Europe PMC"/>
    <hyperlink ref="E482" r:id="rId480" display="Europe PMC"/>
    <hyperlink ref="E483" r:id="rId481" display="Europe PMC"/>
    <hyperlink ref="E484" r:id="rId482" display="Europe PMC"/>
    <hyperlink ref="E485" r:id="rId483" display="Europe PMC"/>
    <hyperlink ref="E486" r:id="rId484" display="Europe PMC"/>
    <hyperlink ref="E487" r:id="rId485" display="Europe PMC"/>
    <hyperlink ref="E488" r:id="rId486" display="Europe PMC"/>
    <hyperlink ref="E489" r:id="rId487" display="Europe PMC"/>
    <hyperlink ref="E490" r:id="rId488" display="Europe PMC"/>
    <hyperlink ref="E491" r:id="rId489" display="Europe PMC"/>
    <hyperlink ref="E492" r:id="rId490" display="Europe PMC"/>
    <hyperlink ref="E493" r:id="rId491" display="Europe PMC"/>
    <hyperlink ref="E494" r:id="rId492" display="Europe PMC"/>
    <hyperlink ref="E495" r:id="rId493" display="Europe PMC"/>
    <hyperlink ref="E496" r:id="rId494" display="Europe PMC"/>
    <hyperlink ref="E497" r:id="rId495" display="Europe PMC"/>
    <hyperlink ref="E498" r:id="rId496" display="Europe PMC"/>
    <hyperlink ref="E499" r:id="rId497" display="Europe PMC"/>
    <hyperlink ref="E500" r:id="rId498" display="Europe PMC"/>
    <hyperlink ref="E501" r:id="rId499" display="Europe PMC"/>
    <hyperlink ref="E502" r:id="rId500" display="Europe PMC"/>
    <hyperlink ref="E503" r:id="rId501" display="Europe PMC"/>
    <hyperlink ref="E504" r:id="rId502" display="Europe PMC"/>
    <hyperlink ref="E505" r:id="rId503" display="Europe PMC"/>
    <hyperlink ref="E506" r:id="rId504" display="Europe PMC"/>
    <hyperlink ref="E507" r:id="rId505" display="Europe PMC"/>
    <hyperlink ref="E508" r:id="rId506" display="Europe PMC"/>
    <hyperlink ref="E509" r:id="rId507" display="Europe PMC"/>
    <hyperlink ref="E510" r:id="rId508" display="Europe PMC"/>
    <hyperlink ref="E511" r:id="rId509" display="Europe PMC"/>
    <hyperlink ref="E512" r:id="rId510" display="Europe PMC"/>
    <hyperlink ref="E513" r:id="rId511" display="Europe PMC"/>
    <hyperlink ref="E514" r:id="rId512" display="Europe PMC"/>
    <hyperlink ref="E515" r:id="rId513" display="Europe PMC"/>
    <hyperlink ref="E516" r:id="rId514" display="Europe PMC"/>
    <hyperlink ref="E517" r:id="rId515" display="Europe PMC"/>
    <hyperlink ref="E518" r:id="rId516" display="Europe PMC"/>
    <hyperlink ref="E519" r:id="rId517" display="Europe PMC"/>
    <hyperlink ref="E520" r:id="rId518" display="Europe PMC"/>
    <hyperlink ref="E521" r:id="rId519" display="Europe PMC"/>
    <hyperlink ref="E522" r:id="rId520" display="Europe PMC"/>
    <hyperlink ref="E523" r:id="rId521" display="Europe PMC"/>
    <hyperlink ref="E524" r:id="rId522" display="Europe PMC"/>
    <hyperlink ref="E525" r:id="rId523" display="Europe PMC"/>
    <hyperlink ref="E526" r:id="rId524" display="Europe PMC"/>
    <hyperlink ref="E527" r:id="rId525" display="Europe PMC"/>
    <hyperlink ref="E528" r:id="rId526" display="Europe PMC"/>
    <hyperlink ref="E529" r:id="rId527" display="Europe PMC"/>
    <hyperlink ref="E530" r:id="rId528" display="Europe PMC"/>
    <hyperlink ref="E531" r:id="rId529" display="Europe PMC"/>
    <hyperlink ref="E532" r:id="rId530" display="Europe PMC"/>
    <hyperlink ref="E533" r:id="rId531" display="Europe PMC"/>
    <hyperlink ref="E534" r:id="rId532" display="Europe PMC"/>
    <hyperlink ref="E535" r:id="rId533" display="Europe PMC"/>
    <hyperlink ref="E536" r:id="rId534" display="Europe PMC"/>
    <hyperlink ref="E537" r:id="rId535" display="Europe PMC"/>
    <hyperlink ref="E538" r:id="rId536" display="Europe PMC"/>
    <hyperlink ref="E539" r:id="rId537" display="Europe PMC"/>
    <hyperlink ref="E540" r:id="rId538" display="Europe PMC"/>
    <hyperlink ref="E541" r:id="rId539" display="Europe PMC"/>
    <hyperlink ref="E542" r:id="rId540" display="Europe PMC"/>
    <hyperlink ref="E543" r:id="rId541" display="Europe PMC"/>
    <hyperlink ref="E544" r:id="rId542" display="Europe PMC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4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  <col collapsed="false" customWidth="true" hidden="false" outlineLevel="0" max="3" min="3" style="0" width="30"/>
  </cols>
  <sheetData>
    <row r="1" customFormat="false" ht="15" hidden="false" customHeight="false" outlineLevel="0" collapsed="false">
      <c r="A1" s="12" t="s">
        <v>1345</v>
      </c>
      <c r="B1" s="12" t="s">
        <v>1346</v>
      </c>
      <c r="C1" s="12" t="s">
        <v>1347</v>
      </c>
    </row>
    <row r="2" customFormat="false" ht="15" hidden="false" customHeight="false" outlineLevel="0" collapsed="false">
      <c r="A2" s="13" t="s">
        <v>46</v>
      </c>
      <c r="B2" s="13" t="s">
        <v>1348</v>
      </c>
      <c r="C2" s="13" t="s">
        <v>1349</v>
      </c>
    </row>
    <row r="3" customFormat="false" ht="15" hidden="false" customHeight="false" outlineLevel="0" collapsed="false">
      <c r="A3" s="13" t="s">
        <v>48</v>
      </c>
      <c r="B3" s="13" t="s">
        <v>1350</v>
      </c>
      <c r="C3" s="13" t="s">
        <v>1349</v>
      </c>
    </row>
    <row r="4" customFormat="false" ht="15" hidden="false" customHeight="false" outlineLevel="0" collapsed="false">
      <c r="A4" s="13" t="s">
        <v>50</v>
      </c>
      <c r="B4" s="13" t="s">
        <v>1351</v>
      </c>
      <c r="C4" s="13" t="s">
        <v>22</v>
      </c>
    </row>
    <row r="5" customFormat="false" ht="15" hidden="false" customHeight="false" outlineLevel="0" collapsed="false">
      <c r="A5" s="13" t="s">
        <v>52</v>
      </c>
      <c r="B5" s="13" t="s">
        <v>1352</v>
      </c>
      <c r="C5" s="13" t="s">
        <v>1349</v>
      </c>
    </row>
    <row r="6" customFormat="false" ht="15" hidden="false" customHeight="false" outlineLevel="0" collapsed="false">
      <c r="A6" s="13" t="s">
        <v>54</v>
      </c>
      <c r="B6" s="13" t="s">
        <v>1353</v>
      </c>
      <c r="C6" s="13" t="s">
        <v>1354</v>
      </c>
    </row>
    <row r="7" customFormat="false" ht="15" hidden="false" customHeight="false" outlineLevel="0" collapsed="false">
      <c r="A7" s="13" t="s">
        <v>56</v>
      </c>
      <c r="B7" s="13" t="s">
        <v>1355</v>
      </c>
      <c r="C7" s="13" t="s">
        <v>1354</v>
      </c>
    </row>
    <row r="8" customFormat="false" ht="15" hidden="false" customHeight="false" outlineLevel="0" collapsed="false">
      <c r="A8" s="13" t="s">
        <v>58</v>
      </c>
      <c r="B8" s="13" t="s">
        <v>1356</v>
      </c>
      <c r="C8" s="13" t="s">
        <v>1354</v>
      </c>
    </row>
    <row r="9" customFormat="false" ht="15" hidden="false" customHeight="false" outlineLevel="0" collapsed="false">
      <c r="A9" s="13" t="s">
        <v>60</v>
      </c>
      <c r="B9" s="13" t="s">
        <v>1357</v>
      </c>
      <c r="C9" s="13" t="s">
        <v>1358</v>
      </c>
    </row>
    <row r="10" customFormat="false" ht="15" hidden="false" customHeight="false" outlineLevel="0" collapsed="false">
      <c r="A10" s="13" t="s">
        <v>62</v>
      </c>
      <c r="B10" s="13" t="s">
        <v>1359</v>
      </c>
      <c r="C10" s="13" t="s">
        <v>22</v>
      </c>
    </row>
    <row r="11" customFormat="false" ht="15" hidden="false" customHeight="false" outlineLevel="0" collapsed="false">
      <c r="A11" s="13" t="s">
        <v>64</v>
      </c>
      <c r="B11" s="13" t="s">
        <v>1360</v>
      </c>
      <c r="C11" s="13" t="s">
        <v>1361</v>
      </c>
    </row>
    <row r="12" customFormat="false" ht="15" hidden="false" customHeight="false" outlineLevel="0" collapsed="false">
      <c r="A12" s="13" t="s">
        <v>66</v>
      </c>
      <c r="B12" s="13" t="s">
        <v>1362</v>
      </c>
      <c r="C12" s="13" t="s">
        <v>1363</v>
      </c>
    </row>
    <row r="14" customFormat="false" ht="15" hidden="false" customHeight="false" outlineLevel="0" collapsed="false">
      <c r="A14" s="14" t="s">
        <v>1364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2026-09-22T22:25:20Z</dcterms:created>
  <dc:creator>openpyxl</dc:creator>
  <dc:description/>
  <dc:language>en-US</dc:language>
  <cp:lastModifiedBy/>
  <dcterms:modified xsi:type="dcterms:W3CDTF">2026-09-22T22:25:21Z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